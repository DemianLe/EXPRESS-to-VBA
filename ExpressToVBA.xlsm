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tables/table5.xml" ContentType="application/vnd.openxmlformats-officedocument.spreadsheetml.table+xml"/>
  <Override PartName="/xl/comments5.xml" ContentType="application/vnd.openxmlformats-officedocument.spreadsheetml.comments+xml"/>
  <Override PartName="/xl/tables/table6.xml" ContentType="application/vnd.openxmlformats-officedocument.spreadsheetml.table+xml"/>
  <Override PartName="/xl/comments6.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App" defaultThemeVersion="124226"/>
  <bookViews>
    <workbookView xWindow="750" yWindow="-75" windowWidth="23715" windowHeight="10800"/>
  </bookViews>
  <sheets>
    <sheet name="Module" sheetId="1" r:id="rId1"/>
    <sheet name="Entities" sheetId="2" r:id="rId2"/>
    <sheet name="DefinedTypes" sheetId="6" r:id="rId3"/>
    <sheet name="Select Types" sheetId="7" r:id="rId4"/>
    <sheet name="Enums" sheetId="8" r:id="rId5"/>
    <sheet name="Functions" sheetId="9" r:id="rId6"/>
    <sheet name="Einstellungen" sheetId="3" r:id="rId7"/>
    <sheet name="Tabelle1" sheetId="10" r:id="rId8"/>
    <sheet name="EnuMember" sheetId="13" r:id="rId9"/>
    <sheet name="Klassen" sheetId="14" r:id="rId10"/>
  </sheets>
  <functionGroups builtInGroupCount="17"/>
  <definedNames>
    <definedName name="CreateModulSubPath">Einstellungen!$E$4</definedName>
    <definedName name="DebugCodePart">Einstellungen!$C$9</definedName>
    <definedName name="DebugInfo">Einstellungen!$D$9</definedName>
    <definedName name="DebugInfoTyp">Einstellungen!$E$9</definedName>
    <definedName name="ExpressFile" comment="vollständiger Pfad zur EXPRESS-Datei">Einstellungen!$D$2</definedName>
    <definedName name="HTMLDokuPath">Einstellungen!$D$6</definedName>
    <definedName name="OutputPath" comment="Stammverzeichnis zur Ausgabe des erzeugten VBA-Codes">Einstellungen!$D$4</definedName>
    <definedName name="Snip">Tabelle1!$B$3</definedName>
  </definedNames>
  <calcPr calcId="145621"/>
</workbook>
</file>

<file path=xl/calcChain.xml><?xml version="1.0" encoding="utf-8"?>
<calcChain xmlns="http://schemas.openxmlformats.org/spreadsheetml/2006/main">
  <c r="E4" i="2" l="1"/>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C130" i="2"/>
  <c r="C84" i="2"/>
  <c r="C205" i="2"/>
  <c r="C4" i="2"/>
  <c r="C19" i="2"/>
  <c r="C5" i="2"/>
  <c r="C174" i="2"/>
  <c r="C175" i="2"/>
  <c r="C176" i="2"/>
  <c r="C20" i="2"/>
  <c r="C325" i="2"/>
  <c r="C370" i="2"/>
  <c r="C307" i="2"/>
  <c r="C308" i="2"/>
  <c r="C309" i="2"/>
  <c r="C310" i="2"/>
  <c r="C311" i="2"/>
  <c r="C312" i="2"/>
  <c r="C313" i="2"/>
  <c r="C314" i="2"/>
  <c r="C653" i="2"/>
  <c r="C42" i="2"/>
  <c r="C43" i="2"/>
  <c r="C12" i="2"/>
  <c r="C13" i="2"/>
  <c r="C14" i="2"/>
  <c r="C15" i="2"/>
  <c r="C428" i="2"/>
  <c r="C429" i="2"/>
  <c r="C430" i="2"/>
  <c r="C559" i="2"/>
  <c r="C431" i="2"/>
  <c r="C131" i="2"/>
  <c r="C132" i="2"/>
  <c r="C133" i="2"/>
  <c r="C485" i="2"/>
  <c r="C486" i="2"/>
  <c r="C134" i="2"/>
  <c r="C275" i="2"/>
  <c r="C103" i="2"/>
  <c r="C177" i="2"/>
  <c r="C104" i="2"/>
  <c r="C105" i="2"/>
  <c r="C611" i="2"/>
  <c r="C612" i="2"/>
  <c r="C613" i="2"/>
  <c r="C614" i="2"/>
  <c r="C615" i="2"/>
  <c r="C135" i="2"/>
  <c r="C136" i="2"/>
  <c r="C106" i="2"/>
  <c r="C107" i="2"/>
  <c r="C137" i="2"/>
  <c r="C371" i="2"/>
  <c r="C372" i="2"/>
  <c r="C601" i="2"/>
  <c r="C602" i="2"/>
  <c r="C373" i="2"/>
  <c r="C374" i="2"/>
  <c r="C375" i="2"/>
  <c r="C376" i="2"/>
  <c r="C52" i="2"/>
  <c r="C53" i="2"/>
  <c r="C54" i="2"/>
  <c r="C48" i="2"/>
  <c r="C138" i="2"/>
  <c r="C139" i="2"/>
  <c r="C140" i="2"/>
  <c r="C141" i="2"/>
  <c r="C142" i="2"/>
  <c r="C143" i="2"/>
  <c r="C432" i="2"/>
  <c r="C548" i="2"/>
  <c r="C178" i="2"/>
  <c r="C144" i="2"/>
  <c r="C433" i="2"/>
  <c r="C434" i="2"/>
  <c r="C71" i="2"/>
  <c r="C72" i="2"/>
  <c r="C73" i="2"/>
  <c r="C74" i="2"/>
  <c r="C75" i="2"/>
  <c r="C76" i="2"/>
  <c r="C634" i="2"/>
  <c r="C179" i="2"/>
  <c r="C352" i="2"/>
  <c r="C353" i="2"/>
  <c r="C487" i="2"/>
  <c r="C488" i="2"/>
  <c r="C452" i="2"/>
  <c r="C145" i="2"/>
  <c r="C146" i="2"/>
  <c r="C435" i="2"/>
  <c r="C180" i="2"/>
  <c r="C181" i="2"/>
  <c r="C85" i="2"/>
  <c r="C86" i="2"/>
  <c r="C147" i="2"/>
  <c r="C635" i="2"/>
  <c r="C92" i="2"/>
  <c r="C93" i="2"/>
  <c r="C94" i="2"/>
  <c r="C95" i="2"/>
  <c r="C96" i="2"/>
  <c r="C97" i="2"/>
  <c r="C24" i="2"/>
  <c r="C25" i="2"/>
  <c r="C26" i="2"/>
  <c r="C27" i="2"/>
  <c r="C31" i="2"/>
  <c r="C32" i="2"/>
  <c r="C33" i="2"/>
  <c r="C34" i="2"/>
  <c r="C261" i="2"/>
  <c r="C206" i="2"/>
  <c r="C21" i="2"/>
  <c r="C262" i="2"/>
  <c r="C182" i="2"/>
  <c r="C183" i="2"/>
  <c r="C49" i="2"/>
  <c r="C567" i="2"/>
  <c r="C568" i="2"/>
  <c r="C44" i="2"/>
  <c r="C377" i="2"/>
  <c r="C378" i="2"/>
  <c r="C436" i="2"/>
  <c r="C437" i="2"/>
  <c r="C35" i="2"/>
  <c r="C108" i="2"/>
  <c r="C109" i="2"/>
  <c r="C438" i="2"/>
  <c r="C45" i="2"/>
  <c r="C489" i="2"/>
  <c r="C490" i="2"/>
  <c r="C148" i="2"/>
  <c r="C149" i="2"/>
  <c r="C276" i="2"/>
  <c r="C277" i="2"/>
  <c r="C278" i="2"/>
  <c r="C279" i="2"/>
  <c r="C184" i="2"/>
  <c r="C50" i="2"/>
  <c r="C315" i="2"/>
  <c r="C439" i="2"/>
  <c r="C263" i="2"/>
  <c r="C264" i="2"/>
  <c r="C326" i="2"/>
  <c r="C265" i="2"/>
  <c r="C327" i="2"/>
  <c r="C328" i="2"/>
  <c r="C329" i="2"/>
  <c r="C330" i="2"/>
  <c r="C331" i="2"/>
  <c r="C150" i="2"/>
  <c r="C549" i="2"/>
  <c r="C550" i="2"/>
  <c r="C518" i="2"/>
  <c r="C519" i="2"/>
  <c r="C520" i="2"/>
  <c r="C521" i="2"/>
  <c r="C379" i="2"/>
  <c r="C380" i="2"/>
  <c r="C522" i="2"/>
  <c r="C523" i="2"/>
  <c r="C524" i="2"/>
  <c r="C77" i="2"/>
  <c r="C78" i="2"/>
  <c r="C79" i="2"/>
  <c r="C80" i="2"/>
  <c r="C491" i="2"/>
  <c r="C492" i="2"/>
  <c r="C493" i="2"/>
  <c r="C494" i="2"/>
  <c r="C332" i="2"/>
  <c r="C333" i="2"/>
  <c r="C354" i="2"/>
  <c r="C280" i="2"/>
  <c r="C355" i="2"/>
  <c r="C185" i="2"/>
  <c r="C186" i="2"/>
  <c r="C187" i="2"/>
  <c r="C636" i="2"/>
  <c r="C637" i="2"/>
  <c r="C551" i="2"/>
  <c r="C638" i="2"/>
  <c r="C525" i="2"/>
  <c r="C55" i="2"/>
  <c r="C381" i="2"/>
  <c r="C56" i="2"/>
  <c r="C57" i="2"/>
  <c r="C58" i="2"/>
  <c r="C59" i="2"/>
  <c r="C60" i="2"/>
  <c r="C61" i="2"/>
  <c r="C62" i="2"/>
  <c r="C382" i="2"/>
  <c r="C151" i="2"/>
  <c r="C383" i="2"/>
  <c r="C552" i="2"/>
  <c r="C553" i="2"/>
  <c r="C384" i="2"/>
  <c r="C385" i="2"/>
  <c r="C152" i="2"/>
  <c r="C440" i="2"/>
  <c r="C526" i="2"/>
  <c r="C527" i="2"/>
  <c r="C528" i="2"/>
  <c r="C46" i="2"/>
  <c r="C386" i="2"/>
  <c r="C87" i="2"/>
  <c r="C188" i="2"/>
  <c r="C189" i="2"/>
  <c r="C242" i="2"/>
  <c r="C281" i="2"/>
  <c r="C282" i="2"/>
  <c r="C316" i="2"/>
  <c r="C356" i="2"/>
  <c r="C81" i="2"/>
  <c r="C110" i="2"/>
  <c r="C639" i="2"/>
  <c r="C111" i="2"/>
  <c r="C640" i="2"/>
  <c r="C641" i="2"/>
  <c r="C642" i="2"/>
  <c r="C112" i="2"/>
  <c r="C113" i="2"/>
  <c r="C616" i="2"/>
  <c r="C190" i="2"/>
  <c r="C554" i="2"/>
  <c r="C555" i="2"/>
  <c r="C387" i="2"/>
  <c r="C388" i="2"/>
  <c r="C389" i="2"/>
  <c r="C283" i="2"/>
  <c r="C284" i="2"/>
  <c r="C285" i="2"/>
  <c r="C286" i="2"/>
  <c r="C191" i="2"/>
  <c r="C271" i="2"/>
  <c r="C529" i="2"/>
  <c r="C530" i="2"/>
  <c r="C531" i="2"/>
  <c r="C532" i="2"/>
  <c r="C22" i="2"/>
  <c r="C192" i="2"/>
  <c r="C533" i="2"/>
  <c r="C534" i="2"/>
  <c r="C535" i="2"/>
  <c r="C536" i="2"/>
  <c r="C537" i="2"/>
  <c r="C538" i="2"/>
  <c r="C539" i="2"/>
  <c r="C540" i="2"/>
  <c r="C541" i="2"/>
  <c r="C542" i="2"/>
  <c r="C543" i="2"/>
  <c r="C603" i="2"/>
  <c r="C243" i="2"/>
  <c r="C390" i="2"/>
  <c r="C391" i="2"/>
  <c r="C88" i="2"/>
  <c r="C560" i="2"/>
  <c r="C193" i="2"/>
  <c r="C244" i="2"/>
  <c r="C420" i="2"/>
  <c r="C114" i="2"/>
  <c r="C472" i="2"/>
  <c r="C153" i="2"/>
  <c r="C473" i="2"/>
  <c r="C115" i="2"/>
  <c r="C392" i="2"/>
  <c r="C98" i="2"/>
  <c r="C99" i="2"/>
  <c r="C207" i="2"/>
  <c r="C116" i="2"/>
  <c r="C194" i="2"/>
  <c r="C195" i="2"/>
  <c r="C245" i="2"/>
  <c r="C287" i="2"/>
  <c r="C561" i="2"/>
  <c r="C628" i="2"/>
  <c r="C629" i="2"/>
  <c r="C441" i="2"/>
  <c r="C63" i="2"/>
  <c r="C36" i="2"/>
  <c r="C64" i="2"/>
  <c r="C82" i="2"/>
  <c r="C83" i="2"/>
  <c r="C342" i="2"/>
  <c r="C65" i="2"/>
  <c r="C343" i="2"/>
  <c r="C344" i="2"/>
  <c r="C345" i="2"/>
  <c r="C346" i="2"/>
  <c r="C347" i="2"/>
  <c r="C348" i="2"/>
  <c r="C349" i="2"/>
  <c r="C154" i="2"/>
  <c r="C334" i="2"/>
  <c r="C100" i="2"/>
  <c r="C51" i="2"/>
  <c r="C643" i="2"/>
  <c r="C442" i="2"/>
  <c r="C117" i="2"/>
  <c r="C155" i="2"/>
  <c r="C255" i="2"/>
  <c r="C256" i="2"/>
  <c r="C474" i="2"/>
  <c r="C257" i="2"/>
  <c r="C258" i="2"/>
  <c r="C259" i="2"/>
  <c r="C260" i="2"/>
  <c r="C246" i="2"/>
  <c r="C266" i="2"/>
  <c r="C247" i="2"/>
  <c r="C556" i="2"/>
  <c r="C557" i="2"/>
  <c r="C248" i="2"/>
  <c r="C249" i="2"/>
  <c r="C495" i="2"/>
  <c r="C496" i="2"/>
  <c r="C28" i="2"/>
  <c r="C267" i="2"/>
  <c r="C66" i="2"/>
  <c r="C89" i="2"/>
  <c r="C268" i="2"/>
  <c r="C208" i="2"/>
  <c r="C209" i="2"/>
  <c r="C29" i="2"/>
  <c r="C101" i="2"/>
  <c r="C562" i="2"/>
  <c r="C156" i="2"/>
  <c r="C157" i="2"/>
  <c r="C288" i="2"/>
  <c r="C393" i="2"/>
  <c r="C644" i="2"/>
  <c r="C250" i="2"/>
  <c r="C90" i="2"/>
  <c r="C6" i="2"/>
  <c r="C7" i="2"/>
  <c r="C645" i="2"/>
  <c r="C67" i="2"/>
  <c r="C654" i="2"/>
  <c r="C443" i="2"/>
  <c r="C646" i="2"/>
  <c r="C38" i="2"/>
  <c r="C16" i="2"/>
  <c r="C91" i="2"/>
  <c r="C8" i="2"/>
  <c r="C9" i="2"/>
  <c r="C463" i="2"/>
  <c r="C464" i="2"/>
  <c r="C465" i="2"/>
  <c r="C604" i="2"/>
  <c r="C196" i="2"/>
  <c r="C197" i="2"/>
  <c r="C289" i="2"/>
  <c r="C158" i="2"/>
  <c r="C357" i="2"/>
  <c r="C358" i="2"/>
  <c r="C159" i="2"/>
  <c r="C497" i="2"/>
  <c r="C498" i="2"/>
  <c r="C160" i="2"/>
  <c r="C161" i="2"/>
  <c r="C162" i="2"/>
  <c r="C118" i="2"/>
  <c r="C163" i="2"/>
  <c r="C647" i="2"/>
  <c r="C394" i="2"/>
  <c r="C10" i="2"/>
  <c r="C359" i="2"/>
  <c r="C290" i="2"/>
  <c r="C335" i="2"/>
  <c r="C360" i="2"/>
  <c r="C336" i="2"/>
  <c r="C317" i="2"/>
  <c r="C337" i="2"/>
  <c r="C361" i="2"/>
  <c r="C350" i="2"/>
  <c r="C351" i="2"/>
  <c r="C291" i="2"/>
  <c r="C292" i="2"/>
  <c r="C363" i="2"/>
  <c r="C210" i="2"/>
  <c r="C211" i="2"/>
  <c r="C475" i="2"/>
  <c r="C476" i="2"/>
  <c r="C251" i="2"/>
  <c r="C444" i="2"/>
  <c r="C421" i="2"/>
  <c r="C212" i="2"/>
  <c r="C338" i="2"/>
  <c r="C395" i="2"/>
  <c r="C569" i="2"/>
  <c r="C570" i="2"/>
  <c r="C453" i="2"/>
  <c r="C454" i="2"/>
  <c r="C30" i="2"/>
  <c r="C213" i="2"/>
  <c r="C455" i="2"/>
  <c r="C456" i="2"/>
  <c r="C457" i="2"/>
  <c r="C458" i="2"/>
  <c r="C459" i="2"/>
  <c r="C214" i="2"/>
  <c r="C215" i="2"/>
  <c r="C460" i="2"/>
  <c r="C461" i="2"/>
  <c r="C68" i="2"/>
  <c r="C216" i="2"/>
  <c r="C198" i="2"/>
  <c r="C466" i="2"/>
  <c r="C467" i="2"/>
  <c r="C468" i="2"/>
  <c r="C469" i="2"/>
  <c r="C470" i="2"/>
  <c r="C471" i="2"/>
  <c r="C339" i="2"/>
  <c r="C499" i="2"/>
  <c r="C500" i="2"/>
  <c r="C501" i="2"/>
  <c r="C502" i="2"/>
  <c r="C503" i="2"/>
  <c r="C164" i="2"/>
  <c r="C445" i="2"/>
  <c r="C446" i="2"/>
  <c r="C119" i="2"/>
  <c r="C165" i="2"/>
  <c r="C47" i="2"/>
  <c r="C630" i="2"/>
  <c r="C422" i="2"/>
  <c r="C605" i="2"/>
  <c r="C606" i="2"/>
  <c r="C607" i="2"/>
  <c r="C608" i="2"/>
  <c r="C217" i="2"/>
  <c r="C218" i="2"/>
  <c r="C364" i="2"/>
  <c r="C219" i="2"/>
  <c r="C220" i="2"/>
  <c r="C221" i="2"/>
  <c r="C222" i="2"/>
  <c r="C223" i="2"/>
  <c r="C571" i="2"/>
  <c r="C224" i="2"/>
  <c r="C225" i="2"/>
  <c r="C572" i="2"/>
  <c r="C39" i="2"/>
  <c r="C226" i="2"/>
  <c r="C40" i="2"/>
  <c r="C227" i="2"/>
  <c r="C228" i="2"/>
  <c r="C396" i="2"/>
  <c r="C574" i="2"/>
  <c r="C229" i="2"/>
  <c r="C252" i="2"/>
  <c r="C230" i="2"/>
  <c r="C397" i="2"/>
  <c r="C504" i="2"/>
  <c r="C398" i="2"/>
  <c r="C399" i="2"/>
  <c r="C575" i="2"/>
  <c r="C576" i="2"/>
  <c r="C577" i="2"/>
  <c r="C578" i="2"/>
  <c r="C400" i="2"/>
  <c r="C401" i="2"/>
  <c r="C402" i="2"/>
  <c r="C403" i="2"/>
  <c r="C231" i="2"/>
  <c r="C232" i="2"/>
  <c r="C233" i="2"/>
  <c r="C234" i="2"/>
  <c r="C404" i="2"/>
  <c r="C544" i="2"/>
  <c r="C17" i="2"/>
  <c r="C235" i="2"/>
  <c r="C563" i="2"/>
  <c r="C236" i="2"/>
  <c r="C405" i="2"/>
  <c r="C406" i="2"/>
  <c r="C573" i="2"/>
  <c r="C237" i="2"/>
  <c r="C407" i="2"/>
  <c r="C408" i="2"/>
  <c r="C409" i="2"/>
  <c r="C477" i="2"/>
  <c r="C478" i="2"/>
  <c r="C166" i="2"/>
  <c r="C167" i="2"/>
  <c r="C238" i="2"/>
  <c r="C120" i="2"/>
  <c r="C423" i="2"/>
  <c r="C121" i="2"/>
  <c r="C122" i="2"/>
  <c r="C505" i="2"/>
  <c r="C239" i="2"/>
  <c r="C558" i="2"/>
  <c r="C447" i="2"/>
  <c r="C272" i="2"/>
  <c r="C365" i="2"/>
  <c r="C123" i="2"/>
  <c r="C424" i="2"/>
  <c r="C425" i="2"/>
  <c r="C23" i="2"/>
  <c r="C564" i="2"/>
  <c r="C565" i="2"/>
  <c r="C479" i="2"/>
  <c r="C480" i="2"/>
  <c r="C481" i="2"/>
  <c r="C124" i="2"/>
  <c r="C462" i="2"/>
  <c r="C410" i="2"/>
  <c r="C269" i="2"/>
  <c r="C506" i="2"/>
  <c r="C507" i="2"/>
  <c r="C617" i="2"/>
  <c r="C125" i="2"/>
  <c r="C545" i="2"/>
  <c r="C546" i="2"/>
  <c r="C411" i="2"/>
  <c r="C199" i="2"/>
  <c r="C18" i="2"/>
  <c r="C547" i="2"/>
  <c r="C412" i="2"/>
  <c r="C413" i="2"/>
  <c r="C414" i="2"/>
  <c r="C126" i="2"/>
  <c r="C273" i="2"/>
  <c r="C508" i="2"/>
  <c r="C509" i="2"/>
  <c r="C510" i="2"/>
  <c r="C579" i="2"/>
  <c r="C580" i="2"/>
  <c r="C581" i="2"/>
  <c r="C582" i="2"/>
  <c r="C618" i="2"/>
  <c r="C583" i="2"/>
  <c r="C584" i="2"/>
  <c r="C585" i="2"/>
  <c r="C586" i="2"/>
  <c r="C587" i="2"/>
  <c r="C588" i="2"/>
  <c r="C619" i="2"/>
  <c r="C589" i="2"/>
  <c r="C620" i="2"/>
  <c r="C621" i="2"/>
  <c r="C622" i="2"/>
  <c r="C623" i="2"/>
  <c r="C624" i="2"/>
  <c r="C625" i="2"/>
  <c r="C626" i="2"/>
  <c r="C627" i="2"/>
  <c r="C590" i="2"/>
  <c r="C591" i="2"/>
  <c r="C592" i="2"/>
  <c r="C593" i="2"/>
  <c r="C594" i="2"/>
  <c r="C595" i="2"/>
  <c r="C426" i="2"/>
  <c r="C596" i="2"/>
  <c r="C597" i="2"/>
  <c r="C427" i="2"/>
  <c r="C598" i="2"/>
  <c r="C599" i="2"/>
  <c r="C600" i="2"/>
  <c r="C340" i="2"/>
  <c r="C293" i="2"/>
  <c r="C482" i="2"/>
  <c r="C483" i="2"/>
  <c r="C37" i="2"/>
  <c r="C648" i="2"/>
  <c r="C168" i="2"/>
  <c r="C127" i="2"/>
  <c r="C169" i="2"/>
  <c r="C170" i="2"/>
  <c r="C294" i="2"/>
  <c r="C295" i="2"/>
  <c r="C296" i="2"/>
  <c r="C297" i="2"/>
  <c r="C298" i="2"/>
  <c r="C299" i="2"/>
  <c r="C300" i="2"/>
  <c r="C128" i="2"/>
  <c r="C129" i="2"/>
  <c r="C171" i="2"/>
  <c r="C69" i="2"/>
  <c r="C301" i="2"/>
  <c r="C415" i="2"/>
  <c r="C566" i="2"/>
  <c r="C655" i="2"/>
  <c r="C656" i="2"/>
  <c r="C200" i="2"/>
  <c r="C366" i="2"/>
  <c r="C11" i="2"/>
  <c r="C609" i="2"/>
  <c r="C610" i="2"/>
  <c r="C341" i="2"/>
  <c r="C318" i="2"/>
  <c r="C319" i="2"/>
  <c r="C302" i="2"/>
  <c r="C362" i="2"/>
  <c r="C303" i="2"/>
  <c r="C304" i="2"/>
  <c r="C305" i="2"/>
  <c r="C320" i="2"/>
  <c r="C321" i="2"/>
  <c r="C322" i="2"/>
  <c r="C323" i="2"/>
  <c r="C253" i="2"/>
  <c r="C631" i="2"/>
  <c r="C632" i="2"/>
  <c r="C41" i="2"/>
  <c r="C633" i="2"/>
  <c r="C649" i="2"/>
  <c r="C484" i="2"/>
  <c r="C70" i="2"/>
  <c r="C416" i="2"/>
  <c r="C417" i="2"/>
  <c r="C448" i="2"/>
  <c r="C172" i="2"/>
  <c r="C449" i="2"/>
  <c r="C201" i="2"/>
  <c r="C306" i="2"/>
  <c r="C240" i="2"/>
  <c r="C241" i="2"/>
  <c r="C202" i="2"/>
  <c r="C270" i="2"/>
  <c r="C450" i="2"/>
  <c r="C203" i="2"/>
  <c r="C173" i="2"/>
  <c r="C650" i="2"/>
  <c r="C324" i="2"/>
  <c r="C651" i="2"/>
  <c r="C652" i="2"/>
  <c r="C204" i="2"/>
  <c r="C418" i="2"/>
  <c r="C102" i="2"/>
  <c r="C511" i="2"/>
  <c r="C512" i="2"/>
  <c r="C513" i="2"/>
  <c r="C274" i="2"/>
  <c r="C254" i="2"/>
  <c r="C514" i="2"/>
  <c r="C515" i="2"/>
  <c r="C516" i="2"/>
  <c r="C517" i="2"/>
  <c r="C367" i="2"/>
  <c r="C368" i="2"/>
  <c r="C369" i="2"/>
  <c r="C419" i="2"/>
  <c r="C451" i="2"/>
  <c r="R3" i="1" l="1"/>
  <c r="F3" i="1" s="1"/>
  <c r="R4" i="1"/>
  <c r="F4" i="1" s="1"/>
  <c r="R5" i="1"/>
  <c r="F5" i="1" s="1"/>
  <c r="R6" i="1"/>
  <c r="F6" i="1" s="1"/>
  <c r="R7" i="1"/>
  <c r="F7" i="1" s="1"/>
  <c r="R8" i="1"/>
  <c r="F8" i="1" s="1"/>
  <c r="R9" i="1"/>
  <c r="F9" i="1" s="1"/>
  <c r="R10" i="1"/>
  <c r="F10" i="1" s="1"/>
  <c r="R11" i="1"/>
  <c r="F11" i="1" s="1"/>
  <c r="R12" i="1"/>
  <c r="F12" i="1" s="1"/>
  <c r="R13" i="1"/>
  <c r="F13" i="1" s="1"/>
  <c r="R14" i="1"/>
  <c r="F14" i="1" s="1"/>
  <c r="R15" i="1"/>
  <c r="F15" i="1" s="1"/>
  <c r="R16" i="1"/>
  <c r="F16" i="1" s="1"/>
  <c r="R17" i="1"/>
  <c r="F17" i="1" s="1"/>
  <c r="R18" i="1"/>
  <c r="F18" i="1" s="1"/>
  <c r="R19" i="1"/>
  <c r="F19" i="1" s="1"/>
  <c r="R20" i="1"/>
  <c r="F20" i="1" s="1"/>
  <c r="R21" i="1"/>
  <c r="F21" i="1" s="1"/>
  <c r="R22" i="1"/>
  <c r="F22" i="1" s="1"/>
  <c r="R23" i="1"/>
  <c r="F23" i="1" s="1"/>
  <c r="R24" i="1"/>
  <c r="F24" i="1" s="1"/>
  <c r="R25" i="1"/>
  <c r="F25" i="1" s="1"/>
  <c r="R26" i="1"/>
  <c r="F26" i="1" s="1"/>
  <c r="R27" i="1"/>
  <c r="F27" i="1" s="1"/>
  <c r="R28" i="1"/>
  <c r="F28" i="1" s="1"/>
  <c r="R29" i="1"/>
  <c r="F29" i="1" s="1"/>
  <c r="R30" i="1"/>
  <c r="F30" i="1" s="1"/>
  <c r="R31" i="1"/>
  <c r="F31" i="1" s="1"/>
  <c r="R32" i="1"/>
  <c r="F32" i="1" s="1"/>
  <c r="R33" i="1"/>
  <c r="F33" i="1" s="1"/>
  <c r="R34" i="1"/>
  <c r="F34" i="1" s="1"/>
  <c r="R35" i="1"/>
  <c r="F35" i="1" s="1"/>
  <c r="R36" i="1"/>
  <c r="F36" i="1" s="1"/>
  <c r="R37" i="1"/>
  <c r="F37" i="1" s="1"/>
  <c r="R38" i="1"/>
  <c r="F38" i="1" s="1"/>
  <c r="R39" i="1"/>
  <c r="F39" i="1" s="1"/>
  <c r="R40" i="1"/>
  <c r="F40" i="1" s="1"/>
  <c r="R41" i="1"/>
  <c r="F41" i="1" s="1"/>
  <c r="R42" i="1"/>
  <c r="F42" i="1" s="1"/>
  <c r="R43" i="1"/>
  <c r="F43" i="1" s="1"/>
  <c r="R44" i="1"/>
  <c r="F44" i="1" s="1"/>
  <c r="R45" i="1"/>
  <c r="F45" i="1" s="1"/>
  <c r="R46" i="1"/>
  <c r="F46" i="1" s="1"/>
  <c r="R47" i="1"/>
  <c r="F47" i="1" s="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3" i="13" l="1"/>
  <c r="I3" i="13" s="1"/>
  <c r="E4" i="13"/>
  <c r="I4" i="13" s="1"/>
  <c r="E5" i="13"/>
  <c r="I5" i="13" s="1"/>
  <c r="E6" i="13"/>
  <c r="I6" i="13" s="1"/>
  <c r="E7" i="13"/>
  <c r="I7" i="13" s="1"/>
  <c r="E8" i="13"/>
  <c r="I8" i="13" s="1"/>
  <c r="E9" i="13"/>
  <c r="I9" i="13" s="1"/>
  <c r="E10" i="13"/>
  <c r="I10" i="13" s="1"/>
  <c r="E11" i="13"/>
  <c r="I11" i="13" s="1"/>
  <c r="E12" i="13"/>
  <c r="I12" i="13" s="1"/>
  <c r="E13" i="13"/>
  <c r="I13" i="13" s="1"/>
  <c r="E14" i="13"/>
  <c r="I14" i="13" s="1"/>
  <c r="E15" i="13"/>
  <c r="I15" i="13" s="1"/>
  <c r="E16" i="13"/>
  <c r="I16" i="13" s="1"/>
  <c r="E17" i="13"/>
  <c r="I17" i="13" s="1"/>
  <c r="E18" i="13"/>
  <c r="I18" i="13" s="1"/>
  <c r="E19" i="13"/>
  <c r="I19" i="13" s="1"/>
  <c r="E20" i="13"/>
  <c r="I20" i="13" s="1"/>
  <c r="E21" i="13"/>
  <c r="I21" i="13" s="1"/>
  <c r="E22" i="13"/>
  <c r="I22" i="13" s="1"/>
  <c r="E23" i="13"/>
  <c r="I23" i="13" s="1"/>
  <c r="E24" i="13"/>
  <c r="I24" i="13" s="1"/>
  <c r="E25" i="13"/>
  <c r="I25" i="13" s="1"/>
  <c r="E26" i="13"/>
  <c r="I26" i="13" s="1"/>
  <c r="E27" i="13"/>
  <c r="I27" i="13" s="1"/>
  <c r="E28" i="13"/>
  <c r="I28" i="13" s="1"/>
  <c r="E29" i="13"/>
  <c r="I29" i="13" s="1"/>
  <c r="E30" i="13"/>
  <c r="I30" i="13" s="1"/>
  <c r="E31" i="13"/>
  <c r="I31" i="13" s="1"/>
  <c r="E32" i="13"/>
  <c r="I32" i="13" s="1"/>
  <c r="E33" i="13"/>
  <c r="I33" i="13" s="1"/>
  <c r="E34" i="13"/>
  <c r="I34" i="13" s="1"/>
  <c r="E35" i="13"/>
  <c r="I35" i="13" s="1"/>
  <c r="E36" i="13"/>
  <c r="I36" i="13" s="1"/>
  <c r="E37" i="13"/>
  <c r="I37" i="13" s="1"/>
  <c r="E38" i="13"/>
  <c r="I38" i="13" s="1"/>
  <c r="E39" i="13"/>
  <c r="I39" i="13" s="1"/>
  <c r="E40" i="13"/>
  <c r="I40" i="13" s="1"/>
  <c r="E41" i="13"/>
  <c r="I41" i="13" s="1"/>
  <c r="E42" i="13"/>
  <c r="I42" i="13" s="1"/>
  <c r="E43" i="13"/>
  <c r="I43" i="13" s="1"/>
  <c r="E44" i="13"/>
  <c r="I44" i="13" s="1"/>
  <c r="E45" i="13"/>
  <c r="I45" i="13" s="1"/>
  <c r="E46" i="13"/>
  <c r="I46" i="13" s="1"/>
  <c r="E47" i="13"/>
  <c r="I47" i="13" s="1"/>
  <c r="E48" i="13"/>
  <c r="I48" i="13" s="1"/>
  <c r="E49" i="13"/>
  <c r="I49" i="13" s="1"/>
  <c r="E50" i="13"/>
  <c r="I50" i="13" s="1"/>
  <c r="E51" i="13"/>
  <c r="I51" i="13" s="1"/>
  <c r="E52" i="13"/>
  <c r="I52" i="13" s="1"/>
  <c r="E53" i="13"/>
  <c r="I53" i="13" s="1"/>
  <c r="E54" i="13"/>
  <c r="I54" i="13" s="1"/>
  <c r="E55" i="13"/>
  <c r="I55" i="13" s="1"/>
  <c r="E56" i="13"/>
  <c r="I56" i="13" s="1"/>
  <c r="E57" i="13"/>
  <c r="I57" i="13" s="1"/>
  <c r="E58" i="13"/>
  <c r="I58" i="13" s="1"/>
  <c r="E59" i="13"/>
  <c r="I59" i="13" s="1"/>
  <c r="E60" i="13"/>
  <c r="I60" i="13" s="1"/>
  <c r="E61" i="13"/>
  <c r="I61" i="13" s="1"/>
  <c r="E62" i="13"/>
  <c r="I62" i="13" s="1"/>
  <c r="E63" i="13"/>
  <c r="I63" i="13" s="1"/>
  <c r="E64" i="13"/>
  <c r="I64" i="13" s="1"/>
  <c r="E65" i="13"/>
  <c r="I65" i="13" s="1"/>
  <c r="E66" i="13"/>
  <c r="I66" i="13" s="1"/>
  <c r="E67" i="13"/>
  <c r="I67" i="13" s="1"/>
  <c r="E68" i="13"/>
  <c r="I68" i="13" s="1"/>
  <c r="E69" i="13"/>
  <c r="I69" i="13" s="1"/>
  <c r="E70" i="13"/>
  <c r="I70" i="13" s="1"/>
  <c r="E71" i="13"/>
  <c r="I71" i="13" s="1"/>
  <c r="E72" i="13"/>
  <c r="I72" i="13" s="1"/>
  <c r="E73" i="13"/>
  <c r="I73" i="13" s="1"/>
  <c r="E74" i="13"/>
  <c r="I74" i="13" s="1"/>
  <c r="E75" i="13"/>
  <c r="I75" i="13" s="1"/>
  <c r="E76" i="13"/>
  <c r="I76" i="13" s="1"/>
  <c r="E77" i="13"/>
  <c r="I77" i="13" s="1"/>
  <c r="E78" i="13"/>
  <c r="I78" i="13" s="1"/>
  <c r="E79" i="13"/>
  <c r="I79" i="13" s="1"/>
  <c r="E80" i="13"/>
  <c r="I80" i="13" s="1"/>
  <c r="E81" i="13"/>
  <c r="I81" i="13" s="1"/>
  <c r="E82" i="13"/>
  <c r="I82" i="13" s="1"/>
  <c r="E83" i="13"/>
  <c r="I83" i="13" s="1"/>
  <c r="E84" i="13"/>
  <c r="I84" i="13" s="1"/>
  <c r="E85" i="13"/>
  <c r="I85" i="13" s="1"/>
  <c r="E86" i="13"/>
  <c r="I86" i="13" s="1"/>
  <c r="E87" i="13"/>
  <c r="I87" i="13" s="1"/>
  <c r="E88" i="13"/>
  <c r="I88" i="13" s="1"/>
  <c r="E89" i="13"/>
  <c r="I89" i="13" s="1"/>
  <c r="E90" i="13"/>
  <c r="I90" i="13" s="1"/>
  <c r="E91" i="13"/>
  <c r="I91" i="13" s="1"/>
  <c r="E92" i="13"/>
  <c r="I92" i="13" s="1"/>
  <c r="E93" i="13"/>
  <c r="I93" i="13" s="1"/>
  <c r="E94" i="13"/>
  <c r="I94" i="13" s="1"/>
  <c r="E95" i="13"/>
  <c r="I95" i="13" s="1"/>
  <c r="E96" i="13"/>
  <c r="I96" i="13" s="1"/>
  <c r="E97" i="13"/>
  <c r="I97" i="13" s="1"/>
  <c r="E98" i="13"/>
  <c r="I98" i="13" s="1"/>
  <c r="E99" i="13"/>
  <c r="I99" i="13" s="1"/>
  <c r="E100" i="13"/>
  <c r="I100" i="13" s="1"/>
  <c r="E101" i="13"/>
  <c r="I101" i="13" s="1"/>
  <c r="E102" i="13"/>
  <c r="I102" i="13" s="1"/>
  <c r="E103" i="13"/>
  <c r="I103" i="13" s="1"/>
  <c r="E104" i="13"/>
  <c r="I104" i="13" s="1"/>
  <c r="E105" i="13"/>
  <c r="I105" i="13" s="1"/>
  <c r="E106" i="13"/>
  <c r="I106" i="13" s="1"/>
  <c r="E107" i="13"/>
  <c r="I107" i="13" s="1"/>
  <c r="E108" i="13"/>
  <c r="I108" i="13" s="1"/>
  <c r="E109" i="13"/>
  <c r="I109" i="13" s="1"/>
  <c r="E110" i="13"/>
  <c r="I110" i="13" s="1"/>
  <c r="E111" i="13"/>
  <c r="I111" i="13" s="1"/>
  <c r="E112" i="13"/>
  <c r="I112" i="13" s="1"/>
  <c r="E113" i="13"/>
  <c r="I113" i="13" s="1"/>
  <c r="E114" i="13"/>
  <c r="I114" i="13" s="1"/>
  <c r="E115" i="13"/>
  <c r="I115" i="13" s="1"/>
  <c r="E116" i="13"/>
  <c r="I116" i="13" s="1"/>
  <c r="E117" i="13"/>
  <c r="I117" i="13" s="1"/>
  <c r="E118" i="13"/>
  <c r="I118" i="13" s="1"/>
  <c r="E119" i="13"/>
  <c r="I119" i="13" s="1"/>
  <c r="E120" i="13"/>
  <c r="I120" i="13" s="1"/>
  <c r="E121" i="13"/>
  <c r="I121" i="13" s="1"/>
  <c r="E122" i="13"/>
  <c r="I122" i="13" s="1"/>
  <c r="E123" i="13"/>
  <c r="I123" i="13" s="1"/>
  <c r="E124" i="13"/>
  <c r="I124" i="13" s="1"/>
  <c r="E125" i="13"/>
  <c r="I125" i="13" s="1"/>
  <c r="E126" i="13"/>
  <c r="I126" i="13" s="1"/>
  <c r="E127" i="13"/>
  <c r="I127" i="13" s="1"/>
  <c r="E128" i="13"/>
  <c r="I128" i="13" s="1"/>
  <c r="E129" i="13"/>
  <c r="I129" i="13" s="1"/>
  <c r="E130" i="13"/>
  <c r="I130" i="13" s="1"/>
  <c r="E131" i="13"/>
  <c r="I131" i="13" s="1"/>
  <c r="E132" i="13"/>
  <c r="I132" i="13" s="1"/>
  <c r="E133" i="13"/>
  <c r="I133" i="13" s="1"/>
  <c r="E134" i="13"/>
  <c r="I134" i="13" s="1"/>
  <c r="E135" i="13"/>
  <c r="I135" i="13" s="1"/>
  <c r="E136" i="13"/>
  <c r="I136" i="13" s="1"/>
  <c r="E137" i="13"/>
  <c r="I137" i="13" s="1"/>
  <c r="E138" i="13"/>
  <c r="I138" i="13" s="1"/>
  <c r="E139" i="13"/>
  <c r="I139" i="13" s="1"/>
  <c r="E140" i="13"/>
  <c r="I140" i="13" s="1"/>
  <c r="E141" i="13"/>
  <c r="I141" i="13" s="1"/>
  <c r="E142" i="13"/>
  <c r="I142" i="13" s="1"/>
  <c r="E143" i="13"/>
  <c r="I143" i="13" s="1"/>
  <c r="E144" i="13"/>
  <c r="I144" i="13" s="1"/>
  <c r="E145" i="13"/>
  <c r="I145" i="13" s="1"/>
  <c r="E146" i="13"/>
  <c r="I146" i="13" s="1"/>
  <c r="E147" i="13"/>
  <c r="I147" i="13" s="1"/>
  <c r="E148" i="13"/>
  <c r="I148" i="13" s="1"/>
  <c r="E149" i="13"/>
  <c r="I149" i="13" s="1"/>
  <c r="E150" i="13"/>
  <c r="I150" i="13" s="1"/>
  <c r="E151" i="13"/>
  <c r="I151" i="13" s="1"/>
  <c r="E152" i="13"/>
  <c r="I152" i="13" s="1"/>
  <c r="E153" i="13"/>
  <c r="I153" i="13" s="1"/>
  <c r="E154" i="13"/>
  <c r="I154" i="13" s="1"/>
  <c r="E155" i="13"/>
  <c r="I155" i="13" s="1"/>
  <c r="E156" i="13"/>
  <c r="I156" i="13" s="1"/>
  <c r="E157" i="13"/>
  <c r="I157" i="13" s="1"/>
  <c r="E158" i="13"/>
  <c r="I158" i="13" s="1"/>
  <c r="E159" i="13"/>
  <c r="I159" i="13" s="1"/>
  <c r="E160" i="13"/>
  <c r="I160" i="13" s="1"/>
  <c r="E161" i="13"/>
  <c r="I161" i="13" s="1"/>
  <c r="E162" i="13"/>
  <c r="I162" i="13" s="1"/>
  <c r="E163" i="13"/>
  <c r="I163" i="13" s="1"/>
  <c r="E164" i="13"/>
  <c r="I164" i="13" s="1"/>
  <c r="E165" i="13"/>
  <c r="I165" i="13" s="1"/>
  <c r="E166" i="13"/>
  <c r="I166" i="13" s="1"/>
  <c r="E167" i="13"/>
  <c r="I167" i="13" s="1"/>
  <c r="E168" i="13"/>
  <c r="I168" i="13" s="1"/>
  <c r="E169" i="13"/>
  <c r="I169" i="13" s="1"/>
  <c r="E170" i="13"/>
  <c r="I170" i="13" s="1"/>
  <c r="E171" i="13"/>
  <c r="I171" i="13" s="1"/>
  <c r="E172" i="13"/>
  <c r="I172" i="13" s="1"/>
  <c r="E173" i="13"/>
  <c r="I173" i="13" s="1"/>
  <c r="E174" i="13"/>
  <c r="I174" i="13" s="1"/>
  <c r="E175" i="13"/>
  <c r="I175" i="13" s="1"/>
  <c r="E176" i="13"/>
  <c r="I176" i="13" s="1"/>
  <c r="E177" i="13"/>
  <c r="I177" i="13" s="1"/>
  <c r="E178" i="13"/>
  <c r="I178" i="13" s="1"/>
  <c r="E179" i="13"/>
  <c r="I179" i="13" s="1"/>
  <c r="E180" i="13"/>
  <c r="I180" i="13" s="1"/>
  <c r="E181" i="13"/>
  <c r="I181" i="13" s="1"/>
  <c r="E182" i="13"/>
  <c r="I182" i="13" s="1"/>
  <c r="E183" i="13"/>
  <c r="I183" i="13" s="1"/>
  <c r="E184" i="13"/>
  <c r="I184" i="13" s="1"/>
  <c r="E185" i="13"/>
  <c r="I185" i="13" s="1"/>
  <c r="E186" i="13"/>
  <c r="I186" i="13" s="1"/>
  <c r="E187" i="13"/>
  <c r="I187" i="13" s="1"/>
  <c r="E188" i="13"/>
  <c r="I188" i="13" s="1"/>
  <c r="E189" i="13"/>
  <c r="I189" i="13" s="1"/>
  <c r="E190" i="13"/>
  <c r="I190" i="13" s="1"/>
  <c r="E191" i="13"/>
  <c r="I191" i="13" s="1"/>
  <c r="E192" i="13"/>
  <c r="I192" i="13" s="1"/>
  <c r="E193" i="13"/>
  <c r="I193" i="13" s="1"/>
  <c r="E194" i="13"/>
  <c r="I194" i="13" s="1"/>
  <c r="E195" i="13"/>
  <c r="I195" i="13" s="1"/>
  <c r="E196" i="13"/>
  <c r="I196" i="13" s="1"/>
  <c r="E197" i="13"/>
  <c r="I197" i="13" s="1"/>
  <c r="E198" i="13"/>
  <c r="I198" i="13" s="1"/>
  <c r="E199" i="13"/>
  <c r="I199" i="13" s="1"/>
  <c r="E200" i="13"/>
  <c r="I200" i="13" s="1"/>
  <c r="E201" i="13"/>
  <c r="I201" i="13" s="1"/>
  <c r="E202" i="13"/>
  <c r="I202" i="13" s="1"/>
  <c r="E203" i="13"/>
  <c r="I203" i="13" s="1"/>
  <c r="E204" i="13"/>
  <c r="I204" i="13" s="1"/>
  <c r="E205" i="13"/>
  <c r="I205" i="13" s="1"/>
  <c r="E206" i="13"/>
  <c r="I206" i="13" s="1"/>
  <c r="E207" i="13"/>
  <c r="I207" i="13" s="1"/>
  <c r="E208" i="13"/>
  <c r="I208" i="13" s="1"/>
  <c r="E209" i="13"/>
  <c r="I209" i="13" s="1"/>
  <c r="E210" i="13"/>
  <c r="I210" i="13" s="1"/>
  <c r="E211" i="13"/>
  <c r="I211" i="13" s="1"/>
  <c r="E212" i="13"/>
  <c r="I212" i="13" s="1"/>
  <c r="E213" i="13"/>
  <c r="I213" i="13" s="1"/>
  <c r="E214" i="13"/>
  <c r="I214" i="13" s="1"/>
  <c r="E215" i="13"/>
  <c r="I215" i="13" s="1"/>
  <c r="E216" i="13"/>
  <c r="I216" i="13" s="1"/>
  <c r="E217" i="13"/>
  <c r="I217" i="13" s="1"/>
  <c r="E218" i="13"/>
  <c r="I218" i="13" s="1"/>
  <c r="E219" i="13"/>
  <c r="I219" i="13" s="1"/>
  <c r="E220" i="13"/>
  <c r="I220" i="13" s="1"/>
  <c r="E221" i="13"/>
  <c r="I221" i="13" s="1"/>
  <c r="E222" i="13"/>
  <c r="I222" i="13" s="1"/>
  <c r="E223" i="13"/>
  <c r="I223" i="13" s="1"/>
  <c r="E224" i="13"/>
  <c r="I224" i="13" s="1"/>
  <c r="E225" i="13"/>
  <c r="I225" i="13" s="1"/>
  <c r="E226" i="13"/>
  <c r="I226" i="13" s="1"/>
  <c r="E227" i="13"/>
  <c r="I227" i="13" s="1"/>
  <c r="E228" i="13"/>
  <c r="I228" i="13" s="1"/>
  <c r="E229" i="13"/>
  <c r="I229" i="13" s="1"/>
  <c r="E230" i="13"/>
  <c r="I230" i="13" s="1"/>
  <c r="E231" i="13"/>
  <c r="I231" i="13" s="1"/>
  <c r="E232" i="13"/>
  <c r="I232" i="13" s="1"/>
  <c r="E233" i="13"/>
  <c r="I233" i="13" s="1"/>
  <c r="E234" i="13"/>
  <c r="I234" i="13" s="1"/>
  <c r="E235" i="13"/>
  <c r="I235" i="13" s="1"/>
  <c r="E236" i="13"/>
  <c r="I236" i="13" s="1"/>
  <c r="E237" i="13"/>
  <c r="I237" i="13" s="1"/>
  <c r="E238" i="13"/>
  <c r="I238" i="13" s="1"/>
  <c r="E239" i="13"/>
  <c r="I239" i="13" s="1"/>
  <c r="E240" i="13"/>
  <c r="I240" i="13" s="1"/>
  <c r="E241" i="13"/>
  <c r="I241" i="13" s="1"/>
  <c r="E242" i="13"/>
  <c r="I242" i="13" s="1"/>
  <c r="E243" i="13"/>
  <c r="I243" i="13" s="1"/>
  <c r="E244" i="13"/>
  <c r="I244" i="13" s="1"/>
  <c r="E245" i="13"/>
  <c r="I245" i="13" s="1"/>
  <c r="E246" i="13"/>
  <c r="I246" i="13" s="1"/>
  <c r="E247" i="13"/>
  <c r="I247" i="13" s="1"/>
  <c r="E248" i="13"/>
  <c r="I248" i="13" s="1"/>
  <c r="E249" i="13"/>
  <c r="I249" i="13" s="1"/>
  <c r="E250" i="13"/>
  <c r="I250" i="13" s="1"/>
  <c r="E251" i="13"/>
  <c r="I251" i="13" s="1"/>
  <c r="E252" i="13"/>
  <c r="I252" i="13" s="1"/>
  <c r="E253" i="13"/>
  <c r="I253" i="13" s="1"/>
  <c r="E254" i="13"/>
  <c r="I254" i="13" s="1"/>
  <c r="E255" i="13"/>
  <c r="I255" i="13" s="1"/>
  <c r="E256" i="13"/>
  <c r="I256" i="13" s="1"/>
  <c r="E257" i="13"/>
  <c r="I257" i="13" s="1"/>
  <c r="E258" i="13"/>
  <c r="I258" i="13" s="1"/>
  <c r="E259" i="13"/>
  <c r="I259" i="13" s="1"/>
  <c r="E260" i="13"/>
  <c r="I260" i="13" s="1"/>
  <c r="E261" i="13"/>
  <c r="I261" i="13" s="1"/>
  <c r="E262" i="13"/>
  <c r="I262" i="13" s="1"/>
  <c r="E263" i="13"/>
  <c r="I263" i="13" s="1"/>
  <c r="E264" i="13"/>
  <c r="I264" i="13" s="1"/>
  <c r="E265" i="13"/>
  <c r="I265" i="13" s="1"/>
  <c r="E266" i="13"/>
  <c r="I266" i="13" s="1"/>
  <c r="E267" i="13"/>
  <c r="I267" i="13" s="1"/>
  <c r="E268" i="13"/>
  <c r="I268" i="13" s="1"/>
  <c r="E269" i="13"/>
  <c r="I269" i="13" s="1"/>
  <c r="E270" i="13"/>
  <c r="I270" i="13" s="1"/>
  <c r="E271" i="13"/>
  <c r="I271" i="13" s="1"/>
  <c r="E272" i="13"/>
  <c r="I272" i="13" s="1"/>
  <c r="E273" i="13"/>
  <c r="I273" i="13" s="1"/>
  <c r="E274" i="13"/>
  <c r="I274" i="13" s="1"/>
  <c r="E275" i="13"/>
  <c r="I275" i="13" s="1"/>
  <c r="E276" i="13"/>
  <c r="I276" i="13" s="1"/>
  <c r="E277" i="13"/>
  <c r="I277" i="13" s="1"/>
  <c r="E278" i="13"/>
  <c r="I278" i="13" s="1"/>
  <c r="E279" i="13"/>
  <c r="I279" i="13" s="1"/>
  <c r="E280" i="13"/>
  <c r="I280" i="13" s="1"/>
  <c r="E281" i="13"/>
  <c r="I281" i="13" s="1"/>
  <c r="E282" i="13"/>
  <c r="I282" i="13" s="1"/>
  <c r="E283" i="13"/>
  <c r="I283" i="13" s="1"/>
  <c r="E284" i="13"/>
  <c r="I284" i="13" s="1"/>
  <c r="E285" i="13"/>
  <c r="I285" i="13" s="1"/>
  <c r="E286" i="13"/>
  <c r="I286" i="13" s="1"/>
  <c r="E287" i="13"/>
  <c r="I287" i="13" s="1"/>
  <c r="E288" i="13"/>
  <c r="I288" i="13" s="1"/>
  <c r="E289" i="13"/>
  <c r="I289" i="13" s="1"/>
  <c r="E290" i="13"/>
  <c r="I290" i="13" s="1"/>
  <c r="E291" i="13"/>
  <c r="I291" i="13" s="1"/>
  <c r="E292" i="13"/>
  <c r="I292" i="13" s="1"/>
  <c r="E293" i="13"/>
  <c r="I293" i="13" s="1"/>
  <c r="E294" i="13"/>
  <c r="I294" i="13" s="1"/>
  <c r="E295" i="13"/>
  <c r="I295" i="13" s="1"/>
  <c r="E296" i="13"/>
  <c r="I296" i="13" s="1"/>
  <c r="E297" i="13"/>
  <c r="I297" i="13" s="1"/>
  <c r="E298" i="13"/>
  <c r="I298" i="13" s="1"/>
  <c r="E299" i="13"/>
  <c r="I299" i="13" s="1"/>
  <c r="E300" i="13"/>
  <c r="I300" i="13" s="1"/>
  <c r="E301" i="13"/>
  <c r="I301" i="13" s="1"/>
  <c r="E302" i="13"/>
  <c r="I302" i="13" s="1"/>
  <c r="E303" i="13"/>
  <c r="I303" i="13" s="1"/>
  <c r="E304" i="13"/>
  <c r="I304" i="13" s="1"/>
  <c r="E305" i="13"/>
  <c r="I305" i="13" s="1"/>
  <c r="E306" i="13"/>
  <c r="I306" i="13" s="1"/>
  <c r="E307" i="13"/>
  <c r="I307" i="13" s="1"/>
  <c r="E308" i="13"/>
  <c r="I308" i="13" s="1"/>
  <c r="E309" i="13"/>
  <c r="I309" i="13" s="1"/>
  <c r="E310" i="13"/>
  <c r="I310" i="13" s="1"/>
  <c r="E311" i="13"/>
  <c r="I311" i="13" s="1"/>
  <c r="E312" i="13"/>
  <c r="I312" i="13" s="1"/>
  <c r="E313" i="13"/>
  <c r="I313" i="13" s="1"/>
  <c r="E314" i="13"/>
  <c r="I314" i="13" s="1"/>
  <c r="E315" i="13"/>
  <c r="I315" i="13" s="1"/>
  <c r="E316" i="13"/>
  <c r="I316" i="13" s="1"/>
  <c r="E317" i="13"/>
  <c r="I317" i="13" s="1"/>
  <c r="E318" i="13"/>
  <c r="I318" i="13" s="1"/>
  <c r="E319" i="13"/>
  <c r="I319" i="13" s="1"/>
  <c r="E320" i="13"/>
  <c r="I320" i="13" s="1"/>
  <c r="E321" i="13"/>
  <c r="I321" i="13" s="1"/>
  <c r="E322" i="13"/>
  <c r="I322" i="13" s="1"/>
  <c r="E323" i="13"/>
  <c r="I323" i="13" s="1"/>
  <c r="E324" i="13"/>
  <c r="I324" i="13" s="1"/>
  <c r="E325" i="13"/>
  <c r="I325" i="13" s="1"/>
  <c r="E326" i="13"/>
  <c r="I326" i="13" s="1"/>
  <c r="E327" i="13"/>
  <c r="I327" i="13" s="1"/>
  <c r="E328" i="13"/>
  <c r="I328" i="13" s="1"/>
  <c r="E329" i="13"/>
  <c r="I329" i="13" s="1"/>
  <c r="E330" i="13"/>
  <c r="I330" i="13" s="1"/>
  <c r="E331" i="13"/>
  <c r="I331" i="13" s="1"/>
  <c r="E332" i="13"/>
  <c r="I332" i="13" s="1"/>
  <c r="E333" i="13"/>
  <c r="I333" i="13" s="1"/>
  <c r="E334" i="13"/>
  <c r="I334" i="13" s="1"/>
  <c r="E335" i="13"/>
  <c r="I335" i="13" s="1"/>
  <c r="E336" i="13"/>
  <c r="I336" i="13" s="1"/>
  <c r="E337" i="13"/>
  <c r="I337" i="13" s="1"/>
  <c r="E338" i="13"/>
  <c r="I338" i="13" s="1"/>
  <c r="E339" i="13"/>
  <c r="I339" i="13" s="1"/>
  <c r="E340" i="13"/>
  <c r="I340" i="13" s="1"/>
  <c r="E341" i="13"/>
  <c r="I341" i="13" s="1"/>
  <c r="E342" i="13"/>
  <c r="I342" i="13" s="1"/>
  <c r="E343" i="13"/>
  <c r="I343" i="13" s="1"/>
  <c r="E344" i="13"/>
  <c r="I344" i="13" s="1"/>
  <c r="E345" i="13"/>
  <c r="I345" i="13" s="1"/>
  <c r="E346" i="13"/>
  <c r="I346" i="13" s="1"/>
  <c r="E347" i="13"/>
  <c r="I347" i="13" s="1"/>
  <c r="E348" i="13"/>
  <c r="I348" i="13" s="1"/>
  <c r="E349" i="13"/>
  <c r="I349" i="13" s="1"/>
  <c r="E350" i="13"/>
  <c r="I350" i="13" s="1"/>
  <c r="E351" i="13"/>
  <c r="I351" i="13" s="1"/>
  <c r="E352" i="13"/>
  <c r="I352" i="13" s="1"/>
  <c r="E353" i="13"/>
  <c r="I353" i="13" s="1"/>
  <c r="E354" i="13"/>
  <c r="I354" i="13" s="1"/>
  <c r="E355" i="13"/>
  <c r="I355" i="13" s="1"/>
  <c r="E356" i="13"/>
  <c r="I356" i="13" s="1"/>
  <c r="E357" i="13"/>
  <c r="I357" i="13" s="1"/>
  <c r="E358" i="13"/>
  <c r="I358" i="13" s="1"/>
  <c r="E359" i="13"/>
  <c r="I359" i="13" s="1"/>
  <c r="E360" i="13"/>
  <c r="I360" i="13" s="1"/>
  <c r="E361" i="13"/>
  <c r="I361" i="13" s="1"/>
  <c r="E362" i="13"/>
  <c r="I362" i="13" s="1"/>
  <c r="E363" i="13"/>
  <c r="I363" i="13" s="1"/>
  <c r="E364" i="13"/>
  <c r="I364" i="13" s="1"/>
  <c r="E365" i="13"/>
  <c r="I365" i="13" s="1"/>
  <c r="E366" i="13"/>
  <c r="I366" i="13" s="1"/>
  <c r="E367" i="13"/>
  <c r="I367" i="13" s="1"/>
  <c r="E368" i="13"/>
  <c r="I368" i="13" s="1"/>
  <c r="E369" i="13"/>
  <c r="I369" i="13" s="1"/>
  <c r="E370" i="13"/>
  <c r="I370" i="13" s="1"/>
  <c r="E371" i="13"/>
  <c r="I371" i="13" s="1"/>
  <c r="E372" i="13"/>
  <c r="I372" i="13" s="1"/>
  <c r="E373" i="13"/>
  <c r="I373" i="13" s="1"/>
  <c r="E374" i="13"/>
  <c r="I374" i="13" s="1"/>
  <c r="E375" i="13"/>
  <c r="I375" i="13" s="1"/>
  <c r="E376" i="13"/>
  <c r="I376" i="13" s="1"/>
  <c r="E377" i="13"/>
  <c r="I377" i="13" s="1"/>
  <c r="E378" i="13"/>
  <c r="I378" i="13" s="1"/>
  <c r="E379" i="13"/>
  <c r="I379" i="13" s="1"/>
  <c r="E380" i="13"/>
  <c r="I380" i="13" s="1"/>
  <c r="E381" i="13"/>
  <c r="I381" i="13" s="1"/>
  <c r="E382" i="13"/>
  <c r="I382" i="13" s="1"/>
  <c r="E383" i="13"/>
  <c r="I383" i="13" s="1"/>
  <c r="E384" i="13"/>
  <c r="I384" i="13" s="1"/>
  <c r="E385" i="13"/>
  <c r="I385" i="13" s="1"/>
  <c r="E386" i="13"/>
  <c r="I386" i="13" s="1"/>
  <c r="E387" i="13"/>
  <c r="I387" i="13" s="1"/>
  <c r="E388" i="13"/>
  <c r="I388" i="13" s="1"/>
  <c r="E389" i="13"/>
  <c r="I389" i="13" s="1"/>
  <c r="E390" i="13"/>
  <c r="I390" i="13" s="1"/>
  <c r="E391" i="13"/>
  <c r="I391" i="13" s="1"/>
  <c r="E392" i="13"/>
  <c r="I392" i="13" s="1"/>
  <c r="E393" i="13"/>
  <c r="I393" i="13" s="1"/>
  <c r="E394" i="13"/>
  <c r="I394" i="13" s="1"/>
  <c r="E395" i="13"/>
  <c r="I395" i="13" s="1"/>
  <c r="E396" i="13"/>
  <c r="I396" i="13" s="1"/>
  <c r="E397" i="13"/>
  <c r="I397" i="13" s="1"/>
  <c r="E398" i="13"/>
  <c r="I398" i="13" s="1"/>
  <c r="E399" i="13"/>
  <c r="I399" i="13" s="1"/>
  <c r="E400" i="13"/>
  <c r="I400" i="13" s="1"/>
  <c r="E401" i="13"/>
  <c r="I401" i="13" s="1"/>
  <c r="E402" i="13"/>
  <c r="I402" i="13" s="1"/>
  <c r="E403" i="13"/>
  <c r="I403" i="13" s="1"/>
  <c r="E404" i="13"/>
  <c r="I404" i="13" s="1"/>
  <c r="E405" i="13"/>
  <c r="I405" i="13" s="1"/>
  <c r="E406" i="13"/>
  <c r="I406" i="13" s="1"/>
  <c r="E407" i="13"/>
  <c r="I407" i="13" s="1"/>
  <c r="E408" i="13"/>
  <c r="I408" i="13" s="1"/>
  <c r="E409" i="13"/>
  <c r="I409" i="13" s="1"/>
  <c r="E410" i="13"/>
  <c r="I410" i="13" s="1"/>
  <c r="E411" i="13"/>
  <c r="I411" i="13" s="1"/>
  <c r="E412" i="13"/>
  <c r="I412" i="13" s="1"/>
  <c r="E413" i="13"/>
  <c r="I413" i="13" s="1"/>
  <c r="E414" i="13"/>
  <c r="I414" i="13" s="1"/>
  <c r="E415" i="13"/>
  <c r="I415" i="13" s="1"/>
  <c r="E416" i="13"/>
  <c r="I416" i="13" s="1"/>
  <c r="E417" i="13"/>
  <c r="I417" i="13" s="1"/>
  <c r="E418" i="13"/>
  <c r="I418" i="13" s="1"/>
  <c r="E419" i="13"/>
  <c r="I419" i="13" s="1"/>
  <c r="E420" i="13"/>
  <c r="I420" i="13" s="1"/>
  <c r="E421" i="13"/>
  <c r="I421" i="13" s="1"/>
  <c r="E422" i="13"/>
  <c r="I422" i="13" s="1"/>
  <c r="E423" i="13"/>
  <c r="I423" i="13" s="1"/>
  <c r="E424" i="13"/>
  <c r="I424" i="13" s="1"/>
  <c r="E425" i="13"/>
  <c r="I425" i="13" s="1"/>
  <c r="E426" i="13"/>
  <c r="I426" i="13" s="1"/>
  <c r="E427" i="13"/>
  <c r="I427" i="13" s="1"/>
  <c r="E428" i="13"/>
  <c r="I428" i="13" s="1"/>
  <c r="E429" i="13"/>
  <c r="I429" i="13" s="1"/>
  <c r="E430" i="13"/>
  <c r="I430" i="13" s="1"/>
  <c r="E431" i="13"/>
  <c r="I431" i="13" s="1"/>
  <c r="E432" i="13"/>
  <c r="I432" i="13" s="1"/>
  <c r="E433" i="13"/>
  <c r="I433" i="13" s="1"/>
  <c r="E434" i="13"/>
  <c r="I434" i="13" s="1"/>
  <c r="E435" i="13"/>
  <c r="I435" i="13" s="1"/>
  <c r="E436" i="13"/>
  <c r="I436" i="13" s="1"/>
  <c r="E437" i="13"/>
  <c r="I437" i="13" s="1"/>
  <c r="E438" i="13"/>
  <c r="I438" i="13" s="1"/>
  <c r="E439" i="13"/>
  <c r="I439" i="13" s="1"/>
  <c r="E440" i="13"/>
  <c r="I440" i="13" s="1"/>
  <c r="E441" i="13"/>
  <c r="I441" i="13" s="1"/>
  <c r="E442" i="13"/>
  <c r="I442" i="13" s="1"/>
  <c r="E443" i="13"/>
  <c r="I443" i="13" s="1"/>
  <c r="E444" i="13"/>
  <c r="I444" i="13" s="1"/>
  <c r="E445" i="13"/>
  <c r="I445" i="13" s="1"/>
  <c r="E446" i="13"/>
  <c r="I446" i="13" s="1"/>
  <c r="E447" i="13"/>
  <c r="I447" i="13" s="1"/>
  <c r="E448" i="13"/>
  <c r="I448" i="13" s="1"/>
  <c r="E449" i="13"/>
  <c r="I449" i="13" s="1"/>
  <c r="E450" i="13"/>
  <c r="I450" i="13" s="1"/>
  <c r="E451" i="13"/>
  <c r="I451" i="13" s="1"/>
  <c r="E452" i="13"/>
  <c r="I452" i="13" s="1"/>
  <c r="E453" i="13"/>
  <c r="I453" i="13" s="1"/>
  <c r="E454" i="13"/>
  <c r="I454" i="13" s="1"/>
  <c r="E455" i="13"/>
  <c r="I455" i="13" s="1"/>
  <c r="E456" i="13"/>
  <c r="I456" i="13" s="1"/>
  <c r="E457" i="13"/>
  <c r="I457" i="13" s="1"/>
  <c r="E458" i="13"/>
  <c r="I458" i="13" s="1"/>
  <c r="E459" i="13"/>
  <c r="I459" i="13" s="1"/>
  <c r="E460" i="13"/>
  <c r="I460" i="13" s="1"/>
  <c r="E461" i="13"/>
  <c r="I461" i="13" s="1"/>
  <c r="E462" i="13"/>
  <c r="I462" i="13" s="1"/>
  <c r="E463" i="13"/>
  <c r="I463" i="13" s="1"/>
  <c r="E464" i="13"/>
  <c r="I464" i="13" s="1"/>
  <c r="E465" i="13"/>
  <c r="I465" i="13" s="1"/>
  <c r="E466" i="13"/>
  <c r="I466" i="13" s="1"/>
  <c r="E467" i="13"/>
  <c r="I467" i="13" s="1"/>
  <c r="E468" i="13"/>
  <c r="I468" i="13" s="1"/>
  <c r="E469" i="13"/>
  <c r="I469" i="13" s="1"/>
  <c r="E470" i="13"/>
  <c r="I470" i="13" s="1"/>
  <c r="E471" i="13"/>
  <c r="I471" i="13" s="1"/>
  <c r="E472" i="13"/>
  <c r="I472" i="13" s="1"/>
  <c r="E473" i="13"/>
  <c r="I473" i="13" s="1"/>
  <c r="E474" i="13"/>
  <c r="I474" i="13" s="1"/>
  <c r="E475" i="13"/>
  <c r="I475" i="13" s="1"/>
  <c r="E476" i="13"/>
  <c r="I476" i="13" s="1"/>
  <c r="E477" i="13"/>
  <c r="I477" i="13" s="1"/>
  <c r="E478" i="13"/>
  <c r="I478" i="13" s="1"/>
  <c r="E479" i="13"/>
  <c r="I479" i="13" s="1"/>
  <c r="E480" i="13"/>
  <c r="I480" i="13" s="1"/>
  <c r="E481" i="13"/>
  <c r="I481" i="13" s="1"/>
  <c r="E482" i="13"/>
  <c r="I482" i="13" s="1"/>
  <c r="E483" i="13"/>
  <c r="I483" i="13" s="1"/>
  <c r="E484" i="13"/>
  <c r="I484" i="13" s="1"/>
  <c r="E485" i="13"/>
  <c r="I485" i="13" s="1"/>
  <c r="E486" i="13"/>
  <c r="I486" i="13" s="1"/>
  <c r="E487" i="13"/>
  <c r="I487" i="13" s="1"/>
  <c r="E488" i="13"/>
  <c r="I488" i="13" s="1"/>
  <c r="E489" i="13"/>
  <c r="I489" i="13" s="1"/>
  <c r="E490" i="13"/>
  <c r="I490" i="13" s="1"/>
  <c r="E491" i="13"/>
  <c r="I491" i="13" s="1"/>
  <c r="E492" i="13"/>
  <c r="I492" i="13" s="1"/>
  <c r="E493" i="13"/>
  <c r="I493" i="13" s="1"/>
  <c r="E494" i="13"/>
  <c r="I494" i="13" s="1"/>
  <c r="E495" i="13"/>
  <c r="I495" i="13" s="1"/>
  <c r="E496" i="13"/>
  <c r="I496" i="13" s="1"/>
  <c r="E497" i="13"/>
  <c r="I497" i="13" s="1"/>
  <c r="E498" i="13"/>
  <c r="I498" i="13" s="1"/>
  <c r="E499" i="13"/>
  <c r="I499" i="13" s="1"/>
  <c r="E500" i="13"/>
  <c r="I500" i="13" s="1"/>
  <c r="E501" i="13"/>
  <c r="I501" i="13" s="1"/>
  <c r="E502" i="13"/>
  <c r="I502" i="13" s="1"/>
  <c r="E503" i="13"/>
  <c r="I503" i="13" s="1"/>
  <c r="E504" i="13"/>
  <c r="I504" i="13" s="1"/>
  <c r="E505" i="13"/>
  <c r="I505" i="13" s="1"/>
  <c r="E506" i="13"/>
  <c r="I506" i="13" s="1"/>
  <c r="E507" i="13"/>
  <c r="I507" i="13" s="1"/>
  <c r="E508" i="13"/>
  <c r="I508" i="13" s="1"/>
  <c r="E509" i="13"/>
  <c r="I509" i="13" s="1"/>
  <c r="E510" i="13"/>
  <c r="I510" i="13" s="1"/>
  <c r="E511" i="13"/>
  <c r="I511" i="13" s="1"/>
  <c r="E512" i="13"/>
  <c r="I512" i="13" s="1"/>
  <c r="E513" i="13"/>
  <c r="I513" i="13" s="1"/>
  <c r="E514" i="13"/>
  <c r="I514" i="13" s="1"/>
  <c r="E515" i="13"/>
  <c r="I515" i="13" s="1"/>
  <c r="E516" i="13"/>
  <c r="I516" i="13" s="1"/>
  <c r="E517" i="13"/>
  <c r="I517" i="13" s="1"/>
  <c r="E518" i="13"/>
  <c r="I518" i="13" s="1"/>
  <c r="E519" i="13"/>
  <c r="I519" i="13" s="1"/>
  <c r="E520" i="13"/>
  <c r="I520" i="13" s="1"/>
  <c r="E521" i="13"/>
  <c r="I521" i="13" s="1"/>
  <c r="E522" i="13"/>
  <c r="I522" i="13" s="1"/>
  <c r="E523" i="13"/>
  <c r="I523" i="13" s="1"/>
  <c r="E524" i="13"/>
  <c r="I524" i="13" s="1"/>
  <c r="E525" i="13"/>
  <c r="I525" i="13" s="1"/>
  <c r="E526" i="13"/>
  <c r="I526" i="13" s="1"/>
  <c r="E527" i="13"/>
  <c r="I527" i="13" s="1"/>
  <c r="E528" i="13"/>
  <c r="I528" i="13" s="1"/>
  <c r="E529" i="13"/>
  <c r="I529" i="13" s="1"/>
  <c r="E530" i="13"/>
  <c r="I530" i="13" s="1"/>
  <c r="E531" i="13"/>
  <c r="I531" i="13" s="1"/>
  <c r="E532" i="13"/>
  <c r="I532" i="13" s="1"/>
  <c r="E533" i="13"/>
  <c r="I533" i="13" s="1"/>
  <c r="E534" i="13"/>
  <c r="I534" i="13" s="1"/>
  <c r="E535" i="13"/>
  <c r="I535" i="13" s="1"/>
  <c r="E536" i="13"/>
  <c r="I536" i="13" s="1"/>
  <c r="E537" i="13"/>
  <c r="I537" i="13" s="1"/>
  <c r="E538" i="13"/>
  <c r="I538" i="13" s="1"/>
  <c r="E539" i="13"/>
  <c r="I539" i="13" s="1"/>
  <c r="E540" i="13"/>
  <c r="I540" i="13" s="1"/>
  <c r="E541" i="13"/>
  <c r="I541" i="13" s="1"/>
  <c r="E542" i="13"/>
  <c r="I542" i="13" s="1"/>
  <c r="E543" i="13"/>
  <c r="I543" i="13" s="1"/>
  <c r="E544" i="13"/>
  <c r="I544" i="13" s="1"/>
  <c r="E545" i="13"/>
  <c r="I545" i="13" s="1"/>
  <c r="E546" i="13"/>
  <c r="I546" i="13" s="1"/>
  <c r="E547" i="13"/>
  <c r="I547" i="13" s="1"/>
  <c r="E548" i="13"/>
  <c r="I548" i="13" s="1"/>
  <c r="E549" i="13"/>
  <c r="I549" i="13" s="1"/>
  <c r="E550" i="13"/>
  <c r="I550" i="13" s="1"/>
  <c r="E551" i="13"/>
  <c r="I551" i="13" s="1"/>
  <c r="E552" i="13"/>
  <c r="I552" i="13" s="1"/>
  <c r="E553" i="13"/>
  <c r="I553" i="13" s="1"/>
  <c r="E554" i="13"/>
  <c r="I554" i="13" s="1"/>
  <c r="E555" i="13"/>
  <c r="I555" i="13" s="1"/>
  <c r="E556" i="13"/>
  <c r="I556" i="13" s="1"/>
  <c r="E557" i="13"/>
  <c r="I557" i="13" s="1"/>
  <c r="E558" i="13"/>
  <c r="I558" i="13" s="1"/>
  <c r="E559" i="13"/>
  <c r="I559" i="13" s="1"/>
  <c r="E560" i="13"/>
  <c r="I560" i="13" s="1"/>
  <c r="E561" i="13"/>
  <c r="I561" i="13" s="1"/>
  <c r="E562" i="13"/>
  <c r="I562" i="13" s="1"/>
  <c r="E563" i="13"/>
  <c r="I563" i="13" s="1"/>
  <c r="E564" i="13"/>
  <c r="I564" i="13" s="1"/>
  <c r="E565" i="13"/>
  <c r="I565" i="13" s="1"/>
  <c r="E566" i="13"/>
  <c r="I566" i="13" s="1"/>
  <c r="E567" i="13"/>
  <c r="I567" i="13" s="1"/>
  <c r="E568" i="13"/>
  <c r="I568" i="13" s="1"/>
  <c r="E569" i="13"/>
  <c r="I569" i="13" s="1"/>
  <c r="E570" i="13"/>
  <c r="I570" i="13" s="1"/>
  <c r="E571" i="13"/>
  <c r="I571" i="13" s="1"/>
  <c r="E572" i="13"/>
  <c r="I572" i="13" s="1"/>
  <c r="E573" i="13"/>
  <c r="I573" i="13" s="1"/>
  <c r="E574" i="13"/>
  <c r="I574" i="13" s="1"/>
  <c r="E575" i="13"/>
  <c r="I575" i="13" s="1"/>
  <c r="E576" i="13"/>
  <c r="I576" i="13" s="1"/>
  <c r="E577" i="13"/>
  <c r="I577" i="13" s="1"/>
  <c r="E578" i="13"/>
  <c r="I578" i="13" s="1"/>
  <c r="E579" i="13"/>
  <c r="I579" i="13" s="1"/>
  <c r="E580" i="13"/>
  <c r="I580" i="13" s="1"/>
  <c r="E581" i="13"/>
  <c r="I581" i="13" s="1"/>
  <c r="E582" i="13"/>
  <c r="I582" i="13" s="1"/>
  <c r="E583" i="13"/>
  <c r="I583" i="13" s="1"/>
  <c r="E584" i="13"/>
  <c r="I584" i="13" s="1"/>
  <c r="E585" i="13"/>
  <c r="I585" i="13" s="1"/>
  <c r="E586" i="13"/>
  <c r="I586" i="13" s="1"/>
  <c r="E587" i="13"/>
  <c r="I587" i="13" s="1"/>
  <c r="E588" i="13"/>
  <c r="I588" i="13" s="1"/>
  <c r="E589" i="13"/>
  <c r="I589" i="13" s="1"/>
  <c r="E590" i="13"/>
  <c r="E591" i="13"/>
  <c r="I591" i="13" s="1"/>
  <c r="E592" i="13"/>
  <c r="I592" i="13" s="1"/>
  <c r="E593" i="13"/>
  <c r="I593" i="13" s="1"/>
  <c r="E594" i="13"/>
  <c r="I594" i="13" s="1"/>
  <c r="E595" i="13"/>
  <c r="I595" i="13" s="1"/>
  <c r="E596" i="13"/>
  <c r="I596" i="13" s="1"/>
  <c r="E597" i="13"/>
  <c r="I597" i="13" s="1"/>
  <c r="E598" i="13"/>
  <c r="I598" i="13" s="1"/>
  <c r="E599" i="13"/>
  <c r="I599" i="13" s="1"/>
  <c r="E600" i="13"/>
  <c r="I600" i="13" s="1"/>
  <c r="E601" i="13"/>
  <c r="I601" i="13" s="1"/>
  <c r="E602" i="13"/>
  <c r="I602" i="13" s="1"/>
  <c r="E603" i="13"/>
  <c r="I603" i="13" s="1"/>
  <c r="E604" i="13"/>
  <c r="I604" i="13" s="1"/>
  <c r="E605" i="13"/>
  <c r="I605" i="13" s="1"/>
  <c r="E606" i="13"/>
  <c r="I606" i="13" s="1"/>
  <c r="E607" i="13"/>
  <c r="I607" i="13" s="1"/>
  <c r="E608" i="13"/>
  <c r="I608" i="13" s="1"/>
  <c r="E609" i="13"/>
  <c r="I609" i="13" s="1"/>
  <c r="E610" i="13"/>
  <c r="I610" i="13" s="1"/>
  <c r="E611" i="13"/>
  <c r="I611" i="13" s="1"/>
  <c r="E612" i="13"/>
  <c r="I612" i="13" s="1"/>
  <c r="E613" i="13"/>
  <c r="I613" i="13" s="1"/>
  <c r="E614" i="13"/>
  <c r="E615" i="13"/>
  <c r="I615" i="13" s="1"/>
  <c r="E616" i="13"/>
  <c r="I616" i="13" s="1"/>
  <c r="E617" i="13"/>
  <c r="I617" i="13" s="1"/>
  <c r="E618" i="13"/>
  <c r="E619" i="13"/>
  <c r="I619" i="13" s="1"/>
  <c r="E620" i="13"/>
  <c r="I620" i="13" s="1"/>
  <c r="E621" i="13"/>
  <c r="I621" i="13" s="1"/>
  <c r="E622" i="13"/>
  <c r="E623" i="13"/>
  <c r="I623" i="13" s="1"/>
  <c r="E624" i="13"/>
  <c r="I624" i="13" s="1"/>
  <c r="E625" i="13"/>
  <c r="I625" i="13" s="1"/>
  <c r="E626" i="13"/>
  <c r="E627" i="13"/>
  <c r="I627" i="13" s="1"/>
  <c r="E628" i="13"/>
  <c r="I628" i="13" s="1"/>
  <c r="E629" i="13"/>
  <c r="I629" i="13" s="1"/>
  <c r="E630" i="13"/>
  <c r="E631" i="13"/>
  <c r="I631" i="13" s="1"/>
  <c r="E632" i="13"/>
  <c r="I632" i="13" s="1"/>
  <c r="E633" i="13"/>
  <c r="I633" i="13" s="1"/>
  <c r="E634" i="13"/>
  <c r="E635" i="13"/>
  <c r="I635" i="13" s="1"/>
  <c r="E636" i="13"/>
  <c r="I636" i="13" s="1"/>
  <c r="E637" i="13"/>
  <c r="I637" i="13" s="1"/>
  <c r="E638" i="13"/>
  <c r="E639" i="13"/>
  <c r="I639" i="13" s="1"/>
  <c r="E640" i="13"/>
  <c r="I640" i="13" s="1"/>
  <c r="E641" i="13"/>
  <c r="I641" i="13" s="1"/>
  <c r="E642" i="13"/>
  <c r="E643" i="13"/>
  <c r="I643" i="13" s="1"/>
  <c r="E644" i="13"/>
  <c r="I644" i="13" s="1"/>
  <c r="E645" i="13"/>
  <c r="I645" i="13" s="1"/>
  <c r="E646" i="13"/>
  <c r="E647" i="13"/>
  <c r="I647" i="13" s="1"/>
  <c r="E648" i="13"/>
  <c r="I648" i="13" s="1"/>
  <c r="E649" i="13"/>
  <c r="I649" i="13" s="1"/>
  <c r="E650" i="13"/>
  <c r="E651" i="13"/>
  <c r="I651" i="13" s="1"/>
  <c r="E652" i="13"/>
  <c r="I652" i="13" s="1"/>
  <c r="E653" i="13"/>
  <c r="I653" i="13" s="1"/>
  <c r="E654" i="13"/>
  <c r="E655" i="13"/>
  <c r="I655" i="13" s="1"/>
  <c r="E656" i="13"/>
  <c r="I656" i="13" s="1"/>
  <c r="E657" i="13"/>
  <c r="I657" i="13" s="1"/>
  <c r="E658" i="13"/>
  <c r="E659" i="13"/>
  <c r="I659" i="13" s="1"/>
  <c r="E660" i="13"/>
  <c r="I660" i="13" s="1"/>
  <c r="E661" i="13"/>
  <c r="I661" i="13" s="1"/>
  <c r="E662" i="13"/>
  <c r="E663" i="13"/>
  <c r="I663" i="13" s="1"/>
  <c r="E664" i="13"/>
  <c r="I664" i="13" s="1"/>
  <c r="E665" i="13"/>
  <c r="I665" i="13" s="1"/>
  <c r="E666" i="13"/>
  <c r="E667" i="13"/>
  <c r="I667" i="13" s="1"/>
  <c r="E668" i="13"/>
  <c r="I668" i="13" s="1"/>
  <c r="E669" i="13"/>
  <c r="I669" i="13" s="1"/>
  <c r="E670" i="13"/>
  <c r="E671" i="13"/>
  <c r="I671" i="13" s="1"/>
  <c r="E672" i="13"/>
  <c r="I672" i="13" s="1"/>
  <c r="E673" i="13"/>
  <c r="I673" i="13" s="1"/>
  <c r="E674" i="13"/>
  <c r="E675" i="13"/>
  <c r="I675" i="13" s="1"/>
  <c r="E676" i="13"/>
  <c r="I676" i="13" s="1"/>
  <c r="E677" i="13"/>
  <c r="I677" i="13" s="1"/>
  <c r="E678" i="13"/>
  <c r="E679" i="13"/>
  <c r="I679" i="13" s="1"/>
  <c r="E680" i="13"/>
  <c r="I680" i="13" s="1"/>
  <c r="E681" i="13"/>
  <c r="I681" i="13" s="1"/>
  <c r="E682" i="13"/>
  <c r="E683" i="13"/>
  <c r="I683" i="13" s="1"/>
  <c r="E684" i="13"/>
  <c r="I684" i="13" s="1"/>
  <c r="E685" i="13"/>
  <c r="I685" i="13" s="1"/>
  <c r="E686" i="13"/>
  <c r="E687" i="13"/>
  <c r="I687" i="13" s="1"/>
  <c r="E688" i="13"/>
  <c r="I688" i="13" s="1"/>
  <c r="E689" i="13"/>
  <c r="I689" i="13" s="1"/>
  <c r="E690" i="13"/>
  <c r="E691" i="13"/>
  <c r="I691" i="13" s="1"/>
  <c r="E692" i="13"/>
  <c r="I692" i="13" s="1"/>
  <c r="E693" i="13"/>
  <c r="I693" i="13" s="1"/>
  <c r="E694" i="13"/>
  <c r="E695" i="13"/>
  <c r="I695" i="13" s="1"/>
  <c r="E696" i="13"/>
  <c r="I696" i="13" s="1"/>
  <c r="E697" i="13"/>
  <c r="I697" i="13" s="1"/>
  <c r="E698" i="13"/>
  <c r="E699" i="13"/>
  <c r="I699" i="13" s="1"/>
  <c r="E700" i="13"/>
  <c r="I700" i="13" s="1"/>
  <c r="E701" i="13"/>
  <c r="I701" i="13" s="1"/>
  <c r="E702" i="13"/>
  <c r="E703" i="13"/>
  <c r="I703" i="13" s="1"/>
  <c r="E704" i="13"/>
  <c r="I704" i="13" s="1"/>
  <c r="E705" i="13"/>
  <c r="I705" i="13" s="1"/>
  <c r="E706" i="13"/>
  <c r="E707" i="13"/>
  <c r="I707" i="13" s="1"/>
  <c r="E708" i="13"/>
  <c r="I708" i="13" s="1"/>
  <c r="E709" i="13"/>
  <c r="I709" i="13" s="1"/>
  <c r="E710" i="13"/>
  <c r="E711" i="13"/>
  <c r="I711" i="13" s="1"/>
  <c r="E712" i="13"/>
  <c r="I712" i="13" s="1"/>
  <c r="E713" i="13"/>
  <c r="I713" i="13" s="1"/>
  <c r="E714" i="13"/>
  <c r="E715" i="13"/>
  <c r="I715" i="13" s="1"/>
  <c r="E716" i="13"/>
  <c r="I716" i="13" s="1"/>
  <c r="E717" i="13"/>
  <c r="I717" i="13" s="1"/>
  <c r="E718" i="13"/>
  <c r="E719" i="13"/>
  <c r="I719" i="13" s="1"/>
  <c r="E720" i="13"/>
  <c r="I720" i="13" s="1"/>
  <c r="E721" i="13"/>
  <c r="I721" i="13" s="1"/>
  <c r="E722" i="13"/>
  <c r="E723" i="13"/>
  <c r="I723" i="13" s="1"/>
  <c r="E724" i="13"/>
  <c r="I724" i="13" s="1"/>
  <c r="E725" i="13"/>
  <c r="I725" i="13" s="1"/>
  <c r="E726" i="13"/>
  <c r="E727" i="13"/>
  <c r="I727" i="13" s="1"/>
  <c r="E728" i="13"/>
  <c r="I728" i="13" s="1"/>
  <c r="E729" i="13"/>
  <c r="I729" i="13" s="1"/>
  <c r="E730" i="13"/>
  <c r="E731" i="13"/>
  <c r="I731" i="13" s="1"/>
  <c r="E732" i="13"/>
  <c r="I732" i="13" s="1"/>
  <c r="E733" i="13"/>
  <c r="I733" i="13" s="1"/>
  <c r="E734" i="13"/>
  <c r="E735" i="13"/>
  <c r="I735" i="13" s="1"/>
  <c r="E736" i="13"/>
  <c r="I736" i="13" s="1"/>
  <c r="E737" i="13"/>
  <c r="I737" i="13" s="1"/>
  <c r="E738" i="13"/>
  <c r="E739" i="13"/>
  <c r="I739" i="13" s="1"/>
  <c r="E740" i="13"/>
  <c r="I740" i="13" s="1"/>
  <c r="E741" i="13"/>
  <c r="I741" i="13" s="1"/>
  <c r="E742" i="13"/>
  <c r="E743" i="13"/>
  <c r="I743" i="13" s="1"/>
  <c r="E744" i="13"/>
  <c r="I744" i="13" s="1"/>
  <c r="E745" i="13"/>
  <c r="I745" i="13" s="1"/>
  <c r="E746" i="13"/>
  <c r="E747" i="13"/>
  <c r="I747" i="13" s="1"/>
  <c r="E748" i="13"/>
  <c r="I748" i="13" s="1"/>
  <c r="E749" i="13"/>
  <c r="I749" i="13" s="1"/>
  <c r="E750" i="13"/>
  <c r="E751" i="13"/>
  <c r="I751" i="13" s="1"/>
  <c r="E752" i="13"/>
  <c r="I752" i="13" s="1"/>
  <c r="E753" i="13"/>
  <c r="I753" i="13" s="1"/>
  <c r="E754" i="13"/>
  <c r="E755" i="13"/>
  <c r="I755" i="13" s="1"/>
  <c r="E756" i="13"/>
  <c r="I756" i="13" s="1"/>
  <c r="E757" i="13"/>
  <c r="I757" i="13" s="1"/>
  <c r="E758" i="13"/>
  <c r="E759" i="13"/>
  <c r="I759" i="13" s="1"/>
  <c r="E760" i="13"/>
  <c r="I760" i="13" s="1"/>
  <c r="E761" i="13"/>
  <c r="I761" i="13" s="1"/>
  <c r="E762" i="13"/>
  <c r="E763" i="13"/>
  <c r="I763" i="13" s="1"/>
  <c r="E764" i="13"/>
  <c r="I764" i="13" s="1"/>
  <c r="E765" i="13"/>
  <c r="I765" i="13" s="1"/>
  <c r="E766" i="13"/>
  <c r="E767" i="13"/>
  <c r="I767" i="13" s="1"/>
  <c r="E768" i="13"/>
  <c r="I768" i="13" s="1"/>
  <c r="E769" i="13"/>
  <c r="I769" i="13" s="1"/>
  <c r="E770" i="13"/>
  <c r="E771" i="13"/>
  <c r="I771" i="13" s="1"/>
  <c r="E772" i="13"/>
  <c r="I772" i="13" s="1"/>
  <c r="E773" i="13"/>
  <c r="I773" i="13" s="1"/>
  <c r="E774" i="13"/>
  <c r="E775" i="13"/>
  <c r="I775" i="13" s="1"/>
  <c r="E776" i="13"/>
  <c r="I776" i="13" s="1"/>
  <c r="E777" i="13"/>
  <c r="I777" i="13" s="1"/>
  <c r="E778" i="13"/>
  <c r="E779" i="13"/>
  <c r="I779" i="13" s="1"/>
  <c r="E780" i="13"/>
  <c r="I780" i="13" s="1"/>
  <c r="E781" i="13"/>
  <c r="I781" i="13" s="1"/>
  <c r="E782" i="13"/>
  <c r="E783" i="13"/>
  <c r="I783" i="13" s="1"/>
  <c r="E784" i="13"/>
  <c r="I784" i="13" s="1"/>
  <c r="E785" i="13"/>
  <c r="I785" i="13" s="1"/>
  <c r="E786" i="13"/>
  <c r="E787" i="13"/>
  <c r="I787" i="13" s="1"/>
  <c r="E788" i="13"/>
  <c r="I788" i="13" s="1"/>
  <c r="E789" i="13"/>
  <c r="I789" i="13" s="1"/>
  <c r="E790" i="13"/>
  <c r="E791" i="13"/>
  <c r="I791" i="13" s="1"/>
  <c r="E792" i="13"/>
  <c r="I792" i="13" s="1"/>
  <c r="E793" i="13"/>
  <c r="I793" i="13" s="1"/>
  <c r="E794" i="13"/>
  <c r="E795" i="13"/>
  <c r="I795" i="13" s="1"/>
  <c r="E796" i="13"/>
  <c r="I796" i="13" s="1"/>
  <c r="E797" i="13"/>
  <c r="I797" i="13" s="1"/>
  <c r="E798" i="13"/>
  <c r="E799" i="13"/>
  <c r="I799" i="13" s="1"/>
  <c r="E800" i="13"/>
  <c r="I800" i="13" s="1"/>
  <c r="E801" i="13"/>
  <c r="I801" i="13" s="1"/>
  <c r="E802" i="13"/>
  <c r="E803" i="13"/>
  <c r="I803" i="13" s="1"/>
  <c r="E804" i="13"/>
  <c r="I804" i="13" s="1"/>
  <c r="E805" i="13"/>
  <c r="I805" i="13" s="1"/>
  <c r="E806" i="13"/>
  <c r="E807" i="13"/>
  <c r="I807" i="13" s="1"/>
  <c r="E808" i="13"/>
  <c r="I808" i="13" s="1"/>
  <c r="E809" i="13"/>
  <c r="I809" i="13" s="1"/>
  <c r="E810" i="13"/>
  <c r="E811" i="13"/>
  <c r="I811" i="13" s="1"/>
  <c r="E812" i="13"/>
  <c r="I812" i="13" s="1"/>
  <c r="E813" i="13"/>
  <c r="I813" i="13" s="1"/>
  <c r="E814" i="13"/>
  <c r="E815" i="13"/>
  <c r="I815" i="13" s="1"/>
  <c r="E816" i="13"/>
  <c r="I816" i="13" s="1"/>
  <c r="E817" i="13"/>
  <c r="I817" i="13" s="1"/>
  <c r="E818" i="13"/>
  <c r="E819" i="13"/>
  <c r="I819" i="13" s="1"/>
  <c r="E820" i="13"/>
  <c r="I820" i="13" s="1"/>
  <c r="E821" i="13"/>
  <c r="I821" i="13" s="1"/>
  <c r="E822" i="13"/>
  <c r="E823" i="13"/>
  <c r="I823" i="13" s="1"/>
  <c r="E824" i="13"/>
  <c r="I824" i="13" s="1"/>
  <c r="E825" i="13"/>
  <c r="I825" i="13" s="1"/>
  <c r="E826" i="13"/>
  <c r="E827" i="13"/>
  <c r="I827" i="13" s="1"/>
  <c r="E828" i="13"/>
  <c r="I828" i="13" s="1"/>
  <c r="E829" i="13"/>
  <c r="I829" i="13" s="1"/>
  <c r="E830" i="13"/>
  <c r="E831" i="13"/>
  <c r="I831" i="13" s="1"/>
  <c r="E832" i="13"/>
  <c r="I832" i="13" s="1"/>
  <c r="E833" i="13"/>
  <c r="I833" i="13" s="1"/>
  <c r="E834" i="13"/>
  <c r="E835" i="13"/>
  <c r="I835" i="13" s="1"/>
  <c r="E836" i="13"/>
  <c r="I836" i="13" s="1"/>
  <c r="E837" i="13"/>
  <c r="I837" i="13" s="1"/>
  <c r="E838" i="13"/>
  <c r="E839" i="13"/>
  <c r="I839" i="13" s="1"/>
  <c r="E840" i="13"/>
  <c r="I840" i="13" s="1"/>
  <c r="E841" i="13"/>
  <c r="I841" i="13" s="1"/>
  <c r="E842" i="13"/>
  <c r="E843" i="13"/>
  <c r="I843" i="13" s="1"/>
  <c r="E844" i="13"/>
  <c r="I844" i="13" s="1"/>
  <c r="E845" i="13"/>
  <c r="I845" i="13" s="1"/>
  <c r="E846" i="13"/>
  <c r="E847" i="13"/>
  <c r="I847" i="13" s="1"/>
  <c r="E848" i="13"/>
  <c r="I848" i="13" s="1"/>
  <c r="E849" i="13"/>
  <c r="I849" i="13" s="1"/>
  <c r="E850" i="13"/>
  <c r="E851" i="13"/>
  <c r="I851" i="13" s="1"/>
  <c r="E852" i="13"/>
  <c r="I852" i="13" s="1"/>
  <c r="E853" i="13"/>
  <c r="I853" i="13" s="1"/>
  <c r="E854" i="13"/>
  <c r="E855" i="13"/>
  <c r="I855" i="13" s="1"/>
  <c r="E856" i="13"/>
  <c r="I856" i="13" s="1"/>
  <c r="E857" i="13"/>
  <c r="I857" i="13" s="1"/>
  <c r="E858" i="13"/>
  <c r="E859" i="13"/>
  <c r="I859" i="13" s="1"/>
  <c r="E860" i="13"/>
  <c r="I860" i="13" s="1"/>
  <c r="E861" i="13"/>
  <c r="I861" i="13" s="1"/>
  <c r="E862" i="13"/>
  <c r="E863" i="13"/>
  <c r="I863" i="13" s="1"/>
  <c r="E864" i="13"/>
  <c r="I864" i="13" s="1"/>
  <c r="E865" i="13"/>
  <c r="I865" i="13" s="1"/>
  <c r="E866" i="13"/>
  <c r="E867" i="13"/>
  <c r="I867" i="13" s="1"/>
  <c r="E868" i="13"/>
  <c r="I868" i="13" s="1"/>
  <c r="E869" i="13"/>
  <c r="I869" i="13" s="1"/>
  <c r="E870" i="13"/>
  <c r="E871" i="13"/>
  <c r="I871" i="13" s="1"/>
  <c r="E872" i="13"/>
  <c r="I872" i="13" s="1"/>
  <c r="E873" i="13"/>
  <c r="I873" i="13" s="1"/>
  <c r="E874" i="13"/>
  <c r="E875" i="13"/>
  <c r="I875" i="13" s="1"/>
  <c r="E876" i="13"/>
  <c r="I876" i="13" s="1"/>
  <c r="E877" i="13"/>
  <c r="I877" i="13" s="1"/>
  <c r="E878" i="13"/>
  <c r="E879" i="13"/>
  <c r="I879" i="13" s="1"/>
  <c r="E880" i="13"/>
  <c r="I880" i="13" s="1"/>
  <c r="E881" i="13"/>
  <c r="I881" i="13" s="1"/>
  <c r="E882" i="13"/>
  <c r="E883" i="13"/>
  <c r="I883" i="13" s="1"/>
  <c r="E884" i="13"/>
  <c r="I884" i="13" s="1"/>
  <c r="E885" i="13"/>
  <c r="I885" i="13" s="1"/>
  <c r="E886" i="13"/>
  <c r="E887" i="13"/>
  <c r="I887" i="13" s="1"/>
  <c r="E888" i="13"/>
  <c r="I888" i="13" s="1"/>
  <c r="E889" i="13"/>
  <c r="I889" i="13" s="1"/>
  <c r="E890" i="13"/>
  <c r="E891" i="13"/>
  <c r="I891" i="13" s="1"/>
  <c r="E892" i="13"/>
  <c r="I892" i="13" s="1"/>
  <c r="E893" i="13"/>
  <c r="I893" i="13" s="1"/>
  <c r="E894" i="13"/>
  <c r="E895" i="13"/>
  <c r="I895" i="13" s="1"/>
  <c r="E896" i="13"/>
  <c r="I896" i="13" s="1"/>
  <c r="E897" i="13"/>
  <c r="I897" i="13" s="1"/>
  <c r="E898" i="13"/>
  <c r="E899" i="13"/>
  <c r="I899" i="13" s="1"/>
  <c r="E900" i="13"/>
  <c r="I900" i="13" s="1"/>
  <c r="E901" i="13"/>
  <c r="I901" i="13" s="1"/>
  <c r="E902" i="13"/>
  <c r="E903" i="13"/>
  <c r="I903" i="13" s="1"/>
  <c r="E904" i="13"/>
  <c r="I904" i="13" s="1"/>
  <c r="E905" i="13"/>
  <c r="I905" i="13" s="1"/>
  <c r="E906" i="13"/>
  <c r="E907" i="13"/>
  <c r="I907" i="13" s="1"/>
  <c r="E908" i="13"/>
  <c r="I908" i="13" s="1"/>
  <c r="E909" i="13"/>
  <c r="I909" i="13" s="1"/>
  <c r="E910" i="13"/>
  <c r="E911" i="13"/>
  <c r="I911" i="13" s="1"/>
  <c r="E912" i="13"/>
  <c r="I912" i="13" s="1"/>
  <c r="E913" i="13"/>
  <c r="I913" i="13" s="1"/>
  <c r="E914" i="13"/>
  <c r="E915" i="13"/>
  <c r="I915" i="13" s="1"/>
  <c r="E916" i="13"/>
  <c r="I916" i="13" s="1"/>
  <c r="E917" i="13"/>
  <c r="I917" i="13" s="1"/>
  <c r="E918" i="13"/>
  <c r="E919" i="13"/>
  <c r="I919" i="13" s="1"/>
  <c r="E920" i="13"/>
  <c r="I920" i="13" s="1"/>
  <c r="E921" i="13"/>
  <c r="I921" i="13" s="1"/>
  <c r="E922" i="13"/>
  <c r="E923" i="13"/>
  <c r="I923" i="13" s="1"/>
  <c r="E924" i="13"/>
  <c r="I924" i="13" s="1"/>
  <c r="E925" i="13"/>
  <c r="I925" i="13" s="1"/>
  <c r="E926" i="13"/>
  <c r="I926" i="13" s="1"/>
  <c r="E927" i="13"/>
  <c r="I927" i="13" s="1"/>
  <c r="E928" i="13"/>
  <c r="I928" i="13" s="1"/>
  <c r="E929" i="13"/>
  <c r="I929" i="13" s="1"/>
  <c r="E930" i="13"/>
  <c r="I930" i="13" s="1"/>
  <c r="E931" i="13"/>
  <c r="I931" i="13" s="1"/>
  <c r="E932" i="13"/>
  <c r="I932" i="13" s="1"/>
  <c r="E933" i="13"/>
  <c r="I933" i="13" s="1"/>
  <c r="E934" i="13"/>
  <c r="I934" i="13" s="1"/>
  <c r="E935" i="13"/>
  <c r="I935" i="13" s="1"/>
  <c r="E936" i="13"/>
  <c r="I936" i="13" s="1"/>
  <c r="E937" i="13"/>
  <c r="I937" i="13" s="1"/>
  <c r="E938" i="13"/>
  <c r="I938" i="13" s="1"/>
  <c r="E939" i="13"/>
  <c r="I939" i="13" s="1"/>
  <c r="E940" i="13"/>
  <c r="I940" i="13" s="1"/>
  <c r="E941" i="13"/>
  <c r="I941" i="13" s="1"/>
  <c r="E942" i="13"/>
  <c r="I942" i="13" s="1"/>
  <c r="E943" i="13"/>
  <c r="I943" i="13" s="1"/>
  <c r="E944" i="13"/>
  <c r="I944" i="13" s="1"/>
  <c r="E945" i="13"/>
  <c r="I945" i="13" s="1"/>
  <c r="E946" i="13"/>
  <c r="I946" i="13" s="1"/>
  <c r="E947" i="13"/>
  <c r="I947" i="13" s="1"/>
  <c r="E948" i="13"/>
  <c r="I948" i="13" s="1"/>
  <c r="E949" i="13"/>
  <c r="I949" i="13" s="1"/>
  <c r="E950" i="13"/>
  <c r="I950" i="13" s="1"/>
  <c r="E951" i="13"/>
  <c r="I951" i="13" s="1"/>
  <c r="E952" i="13"/>
  <c r="I952" i="13" s="1"/>
  <c r="E953" i="13"/>
  <c r="I953" i="13" s="1"/>
  <c r="E954" i="13"/>
  <c r="I954" i="13" s="1"/>
  <c r="E955" i="13"/>
  <c r="I955" i="13" s="1"/>
  <c r="E956" i="13"/>
  <c r="I956" i="13" s="1"/>
  <c r="E957" i="13"/>
  <c r="I957" i="13" s="1"/>
  <c r="E958" i="13"/>
  <c r="I958" i="13" s="1"/>
  <c r="E959" i="13"/>
  <c r="I959" i="13" s="1"/>
  <c r="E960" i="13"/>
  <c r="I960" i="13" s="1"/>
  <c r="E961" i="13"/>
  <c r="I961" i="13" s="1"/>
  <c r="E962" i="13"/>
  <c r="I962" i="13" s="1"/>
  <c r="E963" i="13"/>
  <c r="I963" i="13" s="1"/>
  <c r="E964" i="13"/>
  <c r="I964" i="13" s="1"/>
  <c r="E965" i="13"/>
  <c r="I965" i="13" s="1"/>
  <c r="E966" i="13"/>
  <c r="I966" i="13" s="1"/>
  <c r="E967" i="13"/>
  <c r="I967" i="13" s="1"/>
  <c r="E968" i="13"/>
  <c r="I968" i="13" s="1"/>
  <c r="E969" i="13"/>
  <c r="I969" i="13" s="1"/>
  <c r="E970" i="13"/>
  <c r="I970" i="13" s="1"/>
  <c r="E971" i="13"/>
  <c r="I971" i="13" s="1"/>
  <c r="E972" i="13"/>
  <c r="I972" i="13" s="1"/>
  <c r="E973" i="13"/>
  <c r="I973" i="13" s="1"/>
  <c r="E974" i="13"/>
  <c r="I974" i="13" s="1"/>
  <c r="E975" i="13"/>
  <c r="I975" i="13" s="1"/>
  <c r="E976" i="13"/>
  <c r="I976" i="13" s="1"/>
  <c r="E977" i="13"/>
  <c r="I977" i="13" s="1"/>
  <c r="E978" i="13"/>
  <c r="I978" i="13" s="1"/>
  <c r="E979" i="13"/>
  <c r="I979" i="13" s="1"/>
  <c r="E980" i="13"/>
  <c r="I980" i="13" s="1"/>
  <c r="E981" i="13"/>
  <c r="I981" i="13" s="1"/>
  <c r="E982" i="13"/>
  <c r="I982" i="13" s="1"/>
  <c r="E983" i="13"/>
  <c r="I983" i="13" s="1"/>
  <c r="E984" i="13"/>
  <c r="I984" i="13" s="1"/>
  <c r="E985" i="13"/>
  <c r="I985" i="13" s="1"/>
  <c r="E986" i="13"/>
  <c r="I986" i="13" s="1"/>
  <c r="E987" i="13"/>
  <c r="I987" i="13" s="1"/>
  <c r="E988" i="13"/>
  <c r="I988" i="13" s="1"/>
  <c r="E989" i="13"/>
  <c r="I989" i="13" s="1"/>
  <c r="E990" i="13"/>
  <c r="I990" i="13" s="1"/>
  <c r="E991" i="13"/>
  <c r="I991" i="13" s="1"/>
  <c r="E992" i="13"/>
  <c r="I992" i="13" s="1"/>
  <c r="E993" i="13"/>
  <c r="I993" i="13" s="1"/>
  <c r="E994" i="13"/>
  <c r="I994" i="13" s="1"/>
  <c r="E995" i="13"/>
  <c r="I995" i="13" s="1"/>
  <c r="E996" i="13"/>
  <c r="I996" i="13" s="1"/>
  <c r="E997" i="13"/>
  <c r="I997" i="13" s="1"/>
  <c r="E998" i="13"/>
  <c r="I998" i="13" s="1"/>
  <c r="E999" i="13"/>
  <c r="I999" i="13" s="1"/>
  <c r="E1000" i="13"/>
  <c r="I1000" i="13" s="1"/>
  <c r="E1001" i="13"/>
  <c r="I1001" i="13" s="1"/>
  <c r="E1002" i="13"/>
  <c r="I1002" i="13" s="1"/>
  <c r="E1003" i="13"/>
  <c r="I1003" i="13" s="1"/>
  <c r="E1004" i="13"/>
  <c r="I1004" i="13" s="1"/>
  <c r="E1005" i="13"/>
  <c r="I1005" i="13" s="1"/>
  <c r="E1006" i="13"/>
  <c r="I1006" i="13" s="1"/>
  <c r="E1007" i="13"/>
  <c r="I1007" i="13" s="1"/>
  <c r="E1008" i="13"/>
  <c r="I1008" i="13" s="1"/>
  <c r="E1009" i="13"/>
  <c r="I1009" i="13" s="1"/>
  <c r="E1010" i="13"/>
  <c r="I1010" i="13" s="1"/>
  <c r="E1011" i="13"/>
  <c r="I1011" i="13" s="1"/>
  <c r="E1012" i="13"/>
  <c r="I1012" i="13" s="1"/>
  <c r="E1013" i="13"/>
  <c r="I1013" i="13" s="1"/>
  <c r="E1014" i="13"/>
  <c r="I1014" i="13" s="1"/>
  <c r="E1015" i="13"/>
  <c r="I1015" i="13" s="1"/>
  <c r="E1016" i="13"/>
  <c r="I1016" i="13" s="1"/>
  <c r="E1017" i="13"/>
  <c r="I1017" i="13" s="1"/>
  <c r="E1018" i="13"/>
  <c r="I1018" i="13" s="1"/>
  <c r="E1019" i="13"/>
  <c r="I1019" i="13" s="1"/>
  <c r="E1020" i="13"/>
  <c r="I1020" i="13" s="1"/>
  <c r="E1021" i="13"/>
  <c r="I1021" i="13" s="1"/>
  <c r="E1022" i="13"/>
  <c r="I1022" i="13" s="1"/>
  <c r="E1023" i="13"/>
  <c r="I1023" i="13" s="1"/>
  <c r="E1024" i="13"/>
  <c r="I1024" i="13" s="1"/>
  <c r="E1025" i="13"/>
  <c r="I1025" i="13" s="1"/>
  <c r="E1026" i="13"/>
  <c r="I1026" i="13" s="1"/>
  <c r="E1027" i="13"/>
  <c r="I1027" i="13" s="1"/>
  <c r="E1028" i="13"/>
  <c r="I1028" i="13" s="1"/>
  <c r="E1029" i="13"/>
  <c r="I1029" i="13" s="1"/>
  <c r="E1030" i="13"/>
  <c r="I1030" i="13" s="1"/>
  <c r="E1031" i="13"/>
  <c r="I1031" i="13" s="1"/>
  <c r="E1032" i="13"/>
  <c r="I1032" i="13" s="1"/>
  <c r="E1033" i="13"/>
  <c r="I1033" i="13" s="1"/>
  <c r="E1034" i="13"/>
  <c r="I1034" i="13" s="1"/>
  <c r="E1035" i="13"/>
  <c r="I1035" i="13" s="1"/>
  <c r="E1036" i="13"/>
  <c r="I1036" i="13" s="1"/>
  <c r="E1037" i="13"/>
  <c r="I1037" i="13" s="1"/>
  <c r="E1038" i="13"/>
  <c r="I1038" i="13" s="1"/>
  <c r="E1039" i="13"/>
  <c r="I1039" i="13" s="1"/>
  <c r="E1040" i="13"/>
  <c r="I1040" i="13" s="1"/>
  <c r="E1041" i="13"/>
  <c r="I1041" i="13" s="1"/>
  <c r="E1042" i="13"/>
  <c r="I1042" i="13" s="1"/>
  <c r="E1043" i="13"/>
  <c r="I1043" i="13" s="1"/>
  <c r="E1044" i="13"/>
  <c r="I1044" i="13" s="1"/>
  <c r="E1045" i="13"/>
  <c r="I1045" i="13" s="1"/>
  <c r="E1046" i="13"/>
  <c r="I1046" i="13" s="1"/>
  <c r="E1047" i="13"/>
  <c r="I1047" i="13" s="1"/>
  <c r="E1048" i="13"/>
  <c r="I1048" i="13" s="1"/>
  <c r="E1049" i="13"/>
  <c r="I1049" i="13" s="1"/>
  <c r="E1050" i="13"/>
  <c r="I1050" i="13" s="1"/>
  <c r="E1051" i="13"/>
  <c r="I1051" i="13" s="1"/>
  <c r="E1052" i="13"/>
  <c r="I1052" i="13" s="1"/>
  <c r="E1053" i="13"/>
  <c r="I1053" i="13" s="1"/>
  <c r="E1054" i="13"/>
  <c r="I1054" i="13" s="1"/>
  <c r="E1055" i="13"/>
  <c r="I1055" i="13" s="1"/>
  <c r="E1056" i="13"/>
  <c r="I1056" i="13" s="1"/>
  <c r="E1057" i="13"/>
  <c r="I1057" i="13" s="1"/>
  <c r="E1058" i="13"/>
  <c r="I1058" i="13" s="1"/>
  <c r="E1059" i="13"/>
  <c r="I1059" i="13" s="1"/>
  <c r="E1060" i="13"/>
  <c r="I1060" i="13" s="1"/>
  <c r="E1061" i="13"/>
  <c r="I1061" i="13" s="1"/>
  <c r="E1062" i="13"/>
  <c r="I1062" i="13" s="1"/>
  <c r="E1063" i="13"/>
  <c r="I1063" i="13" s="1"/>
  <c r="E1064" i="13"/>
  <c r="I1064" i="13" s="1"/>
  <c r="E1065" i="13"/>
  <c r="I1065" i="13" s="1"/>
  <c r="E1066" i="13"/>
  <c r="I1066" i="13" s="1"/>
  <c r="E1067" i="13"/>
  <c r="I1067" i="13" s="1"/>
  <c r="E1068" i="13"/>
  <c r="I1068" i="13" s="1"/>
  <c r="E1069" i="13"/>
  <c r="I1069" i="13" s="1"/>
  <c r="E1070" i="13"/>
  <c r="I1070" i="13" s="1"/>
  <c r="E1071" i="13"/>
  <c r="I1071" i="13" s="1"/>
  <c r="E1072" i="13"/>
  <c r="I1072" i="13" s="1"/>
  <c r="E1073" i="13"/>
  <c r="I1073" i="13" s="1"/>
  <c r="E1074" i="13"/>
  <c r="I1074" i="13" s="1"/>
  <c r="E1075" i="13"/>
  <c r="I1075" i="13" s="1"/>
  <c r="E1076" i="13"/>
  <c r="I1076" i="13" s="1"/>
  <c r="E1077" i="13"/>
  <c r="I1077" i="13" s="1"/>
  <c r="E1078" i="13"/>
  <c r="I1078" i="13" s="1"/>
  <c r="E1079" i="13"/>
  <c r="I1079" i="13" s="1"/>
  <c r="E1080" i="13"/>
  <c r="I1080" i="13" s="1"/>
  <c r="E1081" i="13"/>
  <c r="I1081" i="13" s="1"/>
  <c r="E1082" i="13"/>
  <c r="I1082" i="13" s="1"/>
  <c r="E1083" i="13"/>
  <c r="I1083" i="13" s="1"/>
  <c r="E1084" i="13"/>
  <c r="I1084" i="13" s="1"/>
  <c r="E1085" i="13"/>
  <c r="I1085" i="13" s="1"/>
  <c r="E1086" i="13"/>
  <c r="I1086" i="13" s="1"/>
  <c r="E1087" i="13"/>
  <c r="I1087" i="13" s="1"/>
  <c r="E1088" i="13"/>
  <c r="I1088" i="13" s="1"/>
  <c r="E1089" i="13"/>
  <c r="I1089" i="13" s="1"/>
  <c r="E1090" i="13"/>
  <c r="I1090" i="13" s="1"/>
  <c r="E1091" i="13"/>
  <c r="I1091" i="13" s="1"/>
  <c r="E1092" i="13"/>
  <c r="I1092" i="13" s="1"/>
  <c r="E1093" i="13"/>
  <c r="I1093" i="13" s="1"/>
  <c r="E1094" i="13"/>
  <c r="I1094" i="13" s="1"/>
  <c r="E1095" i="13"/>
  <c r="I1095" i="13" s="1"/>
  <c r="E1096" i="13"/>
  <c r="I1096" i="13" s="1"/>
  <c r="E1097" i="13"/>
  <c r="I1097" i="13" s="1"/>
  <c r="E1098" i="13"/>
  <c r="I1098" i="13" s="1"/>
  <c r="E1099" i="13"/>
  <c r="I1099" i="13" s="1"/>
  <c r="E1100" i="13"/>
  <c r="I1100" i="13" s="1"/>
  <c r="E1101" i="13"/>
  <c r="I1101" i="13" s="1"/>
  <c r="E1102" i="13"/>
  <c r="I1102" i="13" s="1"/>
  <c r="E1103" i="13"/>
  <c r="I1103" i="13" s="1"/>
  <c r="E1104" i="13"/>
  <c r="I1104" i="13" s="1"/>
  <c r="E1105" i="13"/>
  <c r="I1105" i="13" s="1"/>
  <c r="E1106" i="13"/>
  <c r="I1106" i="13" s="1"/>
  <c r="E1107" i="13"/>
  <c r="I1107" i="13" s="1"/>
  <c r="E1108" i="13"/>
  <c r="I1108" i="13" s="1"/>
  <c r="E1109" i="13"/>
  <c r="I1109" i="13" s="1"/>
  <c r="E1110" i="13"/>
  <c r="I1110" i="13" s="1"/>
  <c r="E1111" i="13"/>
  <c r="I1111" i="13" s="1"/>
  <c r="E1112" i="13"/>
  <c r="I1112" i="13" s="1"/>
  <c r="E1113" i="13"/>
  <c r="I1113" i="13" s="1"/>
  <c r="E1114" i="13"/>
  <c r="I1114" i="13" s="1"/>
  <c r="E1115" i="13"/>
  <c r="I1115" i="13" s="1"/>
  <c r="E1116" i="13"/>
  <c r="I1116" i="13" s="1"/>
  <c r="E1117" i="13"/>
  <c r="I1117" i="13" s="1"/>
  <c r="E1118" i="13"/>
  <c r="I1118" i="13" s="1"/>
  <c r="E1119" i="13"/>
  <c r="I1119" i="13" s="1"/>
  <c r="E1120" i="13"/>
  <c r="I1120" i="13" s="1"/>
  <c r="E1121" i="13"/>
  <c r="I1121" i="13" s="1"/>
  <c r="E1122" i="13"/>
  <c r="I1122" i="13" s="1"/>
  <c r="E1123" i="13"/>
  <c r="I1123" i="13" s="1"/>
  <c r="E1124" i="13"/>
  <c r="I1124" i="13" s="1"/>
  <c r="E1125" i="13"/>
  <c r="I1125" i="13" s="1"/>
  <c r="E1126" i="13"/>
  <c r="I1126" i="13" s="1"/>
  <c r="E1127" i="13"/>
  <c r="I1127" i="13" s="1"/>
  <c r="E1128" i="13"/>
  <c r="I1128" i="13" s="1"/>
  <c r="E1129" i="13"/>
  <c r="I1129" i="13" s="1"/>
  <c r="E1130" i="13"/>
  <c r="I1130" i="13" s="1"/>
  <c r="E1131" i="13"/>
  <c r="I1131" i="13" s="1"/>
  <c r="E1132" i="13"/>
  <c r="I1132" i="13" s="1"/>
  <c r="E1133" i="13"/>
  <c r="I1133" i="13" s="1"/>
  <c r="E1134" i="13"/>
  <c r="I1134" i="13" s="1"/>
  <c r="E1135" i="13"/>
  <c r="I1135" i="13" s="1"/>
  <c r="E1136" i="13"/>
  <c r="I1136" i="13" s="1"/>
  <c r="E1137" i="13"/>
  <c r="I1137" i="13" s="1"/>
  <c r="E1138" i="13"/>
  <c r="I1138" i="13" s="1"/>
  <c r="E1139" i="13"/>
  <c r="I1139" i="13" s="1"/>
  <c r="E1140" i="13"/>
  <c r="I1140" i="13" s="1"/>
  <c r="E1141" i="13"/>
  <c r="I1141" i="13" s="1"/>
  <c r="E1142" i="13"/>
  <c r="I1142" i="13" s="1"/>
  <c r="E1143" i="13"/>
  <c r="I1143" i="13" s="1"/>
  <c r="E1144" i="13"/>
  <c r="I1144" i="13" s="1"/>
  <c r="E1145" i="13"/>
  <c r="I1145" i="13" s="1"/>
  <c r="E1146" i="13"/>
  <c r="I1146" i="13" s="1"/>
  <c r="E1147" i="13"/>
  <c r="I1147" i="13" s="1"/>
  <c r="E1148" i="13"/>
  <c r="I1148" i="13" s="1"/>
  <c r="E1149" i="13"/>
  <c r="I1149" i="13" s="1"/>
  <c r="E1150" i="13"/>
  <c r="I1150" i="13" s="1"/>
  <c r="E1151" i="13"/>
  <c r="I1151" i="13" s="1"/>
  <c r="E1152" i="13"/>
  <c r="I1152" i="13" s="1"/>
  <c r="E1153" i="13"/>
  <c r="I1153" i="13" s="1"/>
  <c r="E1154" i="13"/>
  <c r="I1154" i="13" s="1"/>
  <c r="E1155" i="13"/>
  <c r="I1155" i="13" s="1"/>
  <c r="E1156" i="13"/>
  <c r="I1156" i="13" s="1"/>
  <c r="E1157" i="13"/>
  <c r="I1157" i="13" s="1"/>
  <c r="E1158" i="13"/>
  <c r="I1158" i="13" s="1"/>
  <c r="E1159" i="13"/>
  <c r="I1159" i="13" s="1"/>
  <c r="E1160" i="13"/>
  <c r="I1160" i="13" s="1"/>
  <c r="E1161" i="13"/>
  <c r="I1161" i="13" s="1"/>
  <c r="E1162" i="13"/>
  <c r="I1162" i="13" s="1"/>
  <c r="E1163" i="13"/>
  <c r="I1163" i="13" s="1"/>
  <c r="E1164" i="13"/>
  <c r="I1164" i="13" s="1"/>
  <c r="E1165" i="13"/>
  <c r="I1165" i="13" s="1"/>
  <c r="E1166" i="13"/>
  <c r="I1166" i="13" s="1"/>
  <c r="E1167" i="13"/>
  <c r="I1167" i="13" s="1"/>
  <c r="E1168" i="13"/>
  <c r="I1168" i="13" s="1"/>
  <c r="E1169" i="13"/>
  <c r="I1169" i="13" s="1"/>
  <c r="E1170" i="13"/>
  <c r="I1170" i="13" s="1"/>
  <c r="E1171" i="13"/>
  <c r="I1171" i="13" s="1"/>
  <c r="E1172" i="13"/>
  <c r="I1172" i="13" s="1"/>
  <c r="E1173" i="13"/>
  <c r="I1173" i="13" s="1"/>
  <c r="E1174" i="13"/>
  <c r="I1174" i="13" s="1"/>
  <c r="E1175" i="13"/>
  <c r="I1175" i="13" s="1"/>
  <c r="E1176" i="13"/>
  <c r="I1176" i="13" s="1"/>
  <c r="E1177" i="13"/>
  <c r="I1177" i="13" s="1"/>
  <c r="E1178" i="13"/>
  <c r="I1178" i="13" s="1"/>
  <c r="E1179" i="13"/>
  <c r="I1179" i="13" s="1"/>
  <c r="E1180" i="13"/>
  <c r="I1180" i="13" s="1"/>
  <c r="E1181" i="13"/>
  <c r="I1181" i="13" s="1"/>
  <c r="E1182" i="13"/>
  <c r="I1182" i="13" s="1"/>
  <c r="E1183" i="13"/>
  <c r="I1183" i="13" s="1"/>
  <c r="E1184" i="13"/>
  <c r="I1184" i="13" s="1"/>
  <c r="E1185" i="13"/>
  <c r="I1185" i="13" s="1"/>
  <c r="E1186" i="13"/>
  <c r="I1186" i="13" s="1"/>
  <c r="E1187" i="13"/>
  <c r="I1187" i="13" s="1"/>
  <c r="E1188" i="13"/>
  <c r="I1188" i="13" s="1"/>
  <c r="E1189" i="13"/>
  <c r="I1189" i="13" s="1"/>
  <c r="E1190" i="13"/>
  <c r="I1190" i="13" s="1"/>
  <c r="E1191" i="13"/>
  <c r="I1191" i="13" s="1"/>
  <c r="E1192" i="13"/>
  <c r="I1192" i="13" s="1"/>
  <c r="E1193" i="13"/>
  <c r="I1193" i="13" s="1"/>
  <c r="E1194" i="13"/>
  <c r="I1194" i="13" s="1"/>
  <c r="E1195" i="13"/>
  <c r="I1195" i="13" s="1"/>
  <c r="E1196" i="13"/>
  <c r="I1196" i="13" s="1"/>
  <c r="E1197" i="13"/>
  <c r="I1197" i="13" s="1"/>
  <c r="E1198" i="13"/>
  <c r="I1198" i="13" s="1"/>
  <c r="E1199" i="13"/>
  <c r="I1199" i="13" s="1"/>
  <c r="E1200" i="13"/>
  <c r="I1200" i="13" s="1"/>
  <c r="E1201" i="13"/>
  <c r="I1201" i="13" s="1"/>
  <c r="E1202" i="13"/>
  <c r="I1202" i="13" s="1"/>
  <c r="E1203" i="13"/>
  <c r="I1203" i="13" s="1"/>
  <c r="E1204" i="13"/>
  <c r="I1204" i="13" s="1"/>
  <c r="E1205" i="13"/>
  <c r="I1205" i="13" s="1"/>
  <c r="E1206" i="13"/>
  <c r="I1206" i="13" s="1"/>
  <c r="E1207" i="13"/>
  <c r="I1207" i="13" s="1"/>
  <c r="E1208" i="13"/>
  <c r="I1208" i="13" s="1"/>
  <c r="E1209" i="13"/>
  <c r="I1209" i="13" s="1"/>
  <c r="E1210" i="13"/>
  <c r="I1210" i="13" s="1"/>
  <c r="E1211" i="13"/>
  <c r="I1211" i="13" s="1"/>
  <c r="E1212" i="13"/>
  <c r="I1212" i="13" s="1"/>
  <c r="E1213" i="13"/>
  <c r="I1213" i="13" s="1"/>
  <c r="E1214" i="13"/>
  <c r="I1214" i="13" s="1"/>
  <c r="E1215" i="13"/>
  <c r="I1215" i="13" s="1"/>
  <c r="E1216" i="13"/>
  <c r="E1217" i="13"/>
  <c r="I1217" i="13" s="1"/>
  <c r="E1218" i="13"/>
  <c r="I1218" i="13" s="1"/>
  <c r="E1219" i="13"/>
  <c r="I1219" i="13" s="1"/>
  <c r="E1220" i="13"/>
  <c r="I1220" i="13" s="1"/>
  <c r="E1221" i="13"/>
  <c r="I1221" i="13" s="1"/>
  <c r="E1222" i="13"/>
  <c r="I1222" i="13" s="1"/>
  <c r="E1223" i="13"/>
  <c r="I1223" i="13" s="1"/>
  <c r="E1224" i="13"/>
  <c r="I1224" i="13" s="1"/>
  <c r="E1225" i="13"/>
  <c r="I1225" i="13" s="1"/>
  <c r="E1226" i="13"/>
  <c r="I1226" i="13" s="1"/>
  <c r="E1227" i="13"/>
  <c r="I1227" i="13" s="1"/>
  <c r="E1228" i="13"/>
  <c r="I1228" i="13" s="1"/>
  <c r="E1229" i="13"/>
  <c r="I1229" i="13" s="1"/>
  <c r="E1230" i="13"/>
  <c r="I1230" i="13" s="1"/>
  <c r="E1231" i="13"/>
  <c r="I1231" i="13" s="1"/>
  <c r="E1232" i="13"/>
  <c r="I1232" i="13" s="1"/>
  <c r="E1233" i="13"/>
  <c r="I1233" i="13" s="1"/>
  <c r="E1234" i="13"/>
  <c r="I1234" i="13" s="1"/>
  <c r="E1235" i="13"/>
  <c r="I1235" i="13" s="1"/>
  <c r="E1236" i="13"/>
  <c r="E1237" i="13"/>
  <c r="I1237" i="13" s="1"/>
  <c r="E1238" i="13"/>
  <c r="I1238" i="13" s="1"/>
  <c r="E1239" i="13"/>
  <c r="I1239" i="13" s="1"/>
  <c r="E1240" i="13"/>
  <c r="I1240" i="13" s="1"/>
  <c r="E1241" i="13"/>
  <c r="I1241" i="13" s="1"/>
  <c r="E1242" i="13"/>
  <c r="I1242" i="13" s="1"/>
  <c r="E1243" i="13"/>
  <c r="I1243" i="13" s="1"/>
  <c r="E1244" i="13"/>
  <c r="I1244" i="13" s="1"/>
  <c r="E1245" i="13"/>
  <c r="I1245" i="13" s="1"/>
  <c r="E1246" i="13"/>
  <c r="I1246" i="13" s="1"/>
  <c r="E1247" i="13"/>
  <c r="I1247" i="13" s="1"/>
  <c r="E1248" i="13"/>
  <c r="I1248" i="13" s="1"/>
  <c r="E1249" i="13"/>
  <c r="I1249" i="13" s="1"/>
  <c r="E1250" i="13"/>
  <c r="I1250" i="13" s="1"/>
  <c r="E1251" i="13"/>
  <c r="I1251" i="13" s="1"/>
  <c r="E1252" i="13"/>
  <c r="E1253" i="13"/>
  <c r="I1253" i="13" s="1"/>
  <c r="E1254" i="13"/>
  <c r="I1254" i="13" s="1"/>
  <c r="E1255" i="13"/>
  <c r="I1255" i="13" s="1"/>
  <c r="E1256" i="13"/>
  <c r="I1256" i="13" s="1"/>
  <c r="E1257" i="13"/>
  <c r="I1257" i="13" s="1"/>
  <c r="E1258" i="13"/>
  <c r="I1258" i="13" s="1"/>
  <c r="E1259" i="13"/>
  <c r="I1259" i="13" s="1"/>
  <c r="E1260" i="13"/>
  <c r="I1260" i="13" s="1"/>
  <c r="E1261" i="13"/>
  <c r="I1261" i="13" s="1"/>
  <c r="E1262" i="13"/>
  <c r="I1262" i="13" s="1"/>
  <c r="E1263" i="13"/>
  <c r="I1263" i="13" s="1"/>
  <c r="E1264" i="13"/>
  <c r="I1264" i="13" s="1"/>
  <c r="E1265" i="13"/>
  <c r="I1265" i="13" s="1"/>
  <c r="E1266" i="13"/>
  <c r="I1266" i="13" s="1"/>
  <c r="E1267" i="13"/>
  <c r="I1267" i="13" s="1"/>
  <c r="E1268" i="13"/>
  <c r="I1268" i="13" s="1"/>
  <c r="E1269" i="13"/>
  <c r="I1269" i="13" s="1"/>
  <c r="E1270" i="13"/>
  <c r="I1270" i="13" s="1"/>
  <c r="E1271" i="13"/>
  <c r="I1271" i="13" s="1"/>
  <c r="E1272" i="13"/>
  <c r="I1272" i="13" s="1"/>
  <c r="E1273" i="13"/>
  <c r="I1273" i="13" s="1"/>
  <c r="E1274" i="13"/>
  <c r="I1274" i="13" s="1"/>
  <c r="E1275" i="13"/>
  <c r="I1275" i="13" s="1"/>
  <c r="E1276" i="13"/>
  <c r="I1276" i="13" s="1"/>
  <c r="E1277" i="13"/>
  <c r="I1277" i="13" s="1"/>
  <c r="E1278" i="13"/>
  <c r="I1278" i="13" s="1"/>
  <c r="E1279" i="13"/>
  <c r="I1279" i="13" s="1"/>
  <c r="E1280" i="13"/>
  <c r="I1280" i="13" s="1"/>
  <c r="E1281" i="13"/>
  <c r="I1281" i="13" s="1"/>
  <c r="E1282" i="13"/>
  <c r="E1283" i="13"/>
  <c r="I1283" i="13" s="1"/>
  <c r="E1284" i="13"/>
  <c r="I1284" i="13" s="1"/>
  <c r="E1285" i="13"/>
  <c r="I1285" i="13" s="1"/>
  <c r="E1286" i="13"/>
  <c r="I1286" i="13" s="1"/>
  <c r="E1287" i="13"/>
  <c r="I1287" i="13" s="1"/>
  <c r="E1288" i="13"/>
  <c r="I1288" i="13" s="1"/>
  <c r="E1289" i="13"/>
  <c r="I1289" i="13" s="1"/>
  <c r="E1290" i="13"/>
  <c r="I1290" i="13" s="1"/>
  <c r="E1291" i="13"/>
  <c r="I1291" i="13" s="1"/>
  <c r="E1292" i="13"/>
  <c r="I1292" i="13" s="1"/>
  <c r="E1293" i="13"/>
  <c r="I1293" i="13" s="1"/>
  <c r="E1294" i="13"/>
  <c r="I1294" i="13" s="1"/>
  <c r="E1295" i="13"/>
  <c r="I1295" i="13" s="1"/>
  <c r="E1296" i="13"/>
  <c r="I1296" i="13" s="1"/>
  <c r="E1297" i="13"/>
  <c r="I1297" i="13" s="1"/>
  <c r="E1298" i="13"/>
  <c r="I1298" i="13" s="1"/>
  <c r="E1299" i="13"/>
  <c r="I1299" i="13" s="1"/>
  <c r="E1300" i="13"/>
  <c r="I1300" i="13" s="1"/>
  <c r="E1301" i="13"/>
  <c r="I1301" i="13" s="1"/>
  <c r="E1302" i="13"/>
  <c r="I1302" i="13" s="1"/>
  <c r="E1303" i="13"/>
  <c r="I1303" i="13" s="1"/>
  <c r="E1304" i="13"/>
  <c r="I1304" i="13" s="1"/>
  <c r="E1305" i="13"/>
  <c r="I1305" i="13" s="1"/>
  <c r="E1306" i="13"/>
  <c r="I1306" i="13" s="1"/>
  <c r="E1307" i="13"/>
  <c r="I1307" i="13" s="1"/>
  <c r="E1308" i="13"/>
  <c r="I1308" i="13" s="1"/>
  <c r="E1309" i="13"/>
  <c r="I1309" i="13" s="1"/>
  <c r="E1310" i="13"/>
  <c r="I1310" i="13" s="1"/>
  <c r="E1311" i="13"/>
  <c r="I1311" i="13" s="1"/>
  <c r="E1312" i="13"/>
  <c r="I1312" i="13" s="1"/>
  <c r="E1313" i="13"/>
  <c r="I1313" i="13" s="1"/>
  <c r="F1120" i="13" l="1"/>
  <c r="F1302" i="13"/>
  <c r="F1279" i="13"/>
  <c r="F1284" i="13"/>
  <c r="F1217" i="13"/>
  <c r="F1312" i="13"/>
  <c r="F1310" i="13"/>
  <c r="F1258" i="13"/>
  <c r="F1177" i="13"/>
  <c r="F1297" i="13"/>
  <c r="F966" i="13"/>
  <c r="F1305" i="13"/>
  <c r="F1290" i="13"/>
  <c r="F1241" i="13"/>
  <c r="F1150" i="13"/>
  <c r="F1301" i="13"/>
  <c r="F1274" i="13"/>
  <c r="F1194" i="13"/>
  <c r="F1097" i="13"/>
  <c r="F1286" i="13"/>
  <c r="F1249" i="13"/>
  <c r="F1209" i="13"/>
  <c r="F1162" i="13"/>
  <c r="F1140" i="13"/>
  <c r="F1108" i="13"/>
  <c r="F799" i="13"/>
  <c r="F1293" i="13"/>
  <c r="F1109" i="13"/>
  <c r="F1308" i="13"/>
  <c r="F1294" i="13"/>
  <c r="F1270" i="13"/>
  <c r="F1226" i="13"/>
  <c r="F1185" i="13"/>
  <c r="F1062" i="13"/>
  <c r="F1282" i="13"/>
  <c r="F1313" i="13"/>
  <c r="F1306" i="13"/>
  <c r="F1300" i="13"/>
  <c r="F1292" i="13"/>
  <c r="F1285" i="13"/>
  <c r="F1277" i="13"/>
  <c r="F1265" i="13"/>
  <c r="F1242" i="13"/>
  <c r="F1225" i="13"/>
  <c r="F1201" i="13"/>
  <c r="F1178" i="13"/>
  <c r="F1161" i="13"/>
  <c r="F1129" i="13"/>
  <c r="F1098" i="13"/>
  <c r="F1030" i="13"/>
  <c r="F1296" i="13"/>
  <c r="F1289" i="13"/>
  <c r="F1281" i="13"/>
  <c r="F1271" i="13"/>
  <c r="F1257" i="13"/>
  <c r="F1233" i="13"/>
  <c r="F1210" i="13"/>
  <c r="F1193" i="13"/>
  <c r="F1169" i="13"/>
  <c r="F1141" i="13"/>
  <c r="F1118" i="13"/>
  <c r="F1086" i="13"/>
  <c r="F895" i="13"/>
  <c r="F1309" i="13"/>
  <c r="F1304" i="13"/>
  <c r="F1298" i="13"/>
  <c r="F1288" i="13"/>
  <c r="F1275" i="13"/>
  <c r="F1266" i="13"/>
  <c r="F1250" i="13"/>
  <c r="F1234" i="13"/>
  <c r="F1218" i="13"/>
  <c r="F1202" i="13"/>
  <c r="F1186" i="13"/>
  <c r="F1170" i="13"/>
  <c r="F1152" i="13"/>
  <c r="F1130" i="13"/>
  <c r="F1088" i="13"/>
  <c r="F998" i="13"/>
  <c r="F1026" i="13"/>
  <c r="F962" i="13"/>
  <c r="F889" i="13"/>
  <c r="F788" i="13"/>
  <c r="F934" i="13"/>
  <c r="F852" i="13"/>
  <c r="F1058" i="13"/>
  <c r="F994" i="13"/>
  <c r="F930" i="13"/>
  <c r="F847" i="13"/>
  <c r="F1254" i="13"/>
  <c r="F1238" i="13"/>
  <c r="F1214" i="13"/>
  <c r="F1190" i="13"/>
  <c r="F1174" i="13"/>
  <c r="F1146" i="13"/>
  <c r="F1136" i="13"/>
  <c r="F1125" i="13"/>
  <c r="F1114" i="13"/>
  <c r="F1104" i="13"/>
  <c r="F1093" i="13"/>
  <c r="F1078" i="13"/>
  <c r="F1046" i="13"/>
  <c r="F1014" i="13"/>
  <c r="F982" i="13"/>
  <c r="F950" i="13"/>
  <c r="F916" i="13"/>
  <c r="F873" i="13"/>
  <c r="F831" i="13"/>
  <c r="F736" i="13"/>
  <c r="F1223" i="13"/>
  <c r="F1215" i="13"/>
  <c r="F1211" i="13"/>
  <c r="F1203" i="13"/>
  <c r="F1212" i="13"/>
  <c r="F1199" i="13"/>
  <c r="F1191" i="13"/>
  <c r="F1204" i="13"/>
  <c r="F1183" i="13"/>
  <c r="F1179" i="13"/>
  <c r="F1167" i="13"/>
  <c r="F1163" i="13"/>
  <c r="F1176" i="13"/>
  <c r="F1153" i="13"/>
  <c r="F1148" i="13"/>
  <c r="F1168" i="13"/>
  <c r="F1137" i="13"/>
  <c r="F1164" i="13"/>
  <c r="F1132" i="13"/>
  <c r="F1121" i="13"/>
  <c r="F1269" i="13"/>
  <c r="F1262" i="13"/>
  <c r="F1246" i="13"/>
  <c r="F1230" i="13"/>
  <c r="F1222" i="13"/>
  <c r="F1206" i="13"/>
  <c r="F1198" i="13"/>
  <c r="F1182" i="13"/>
  <c r="F1166" i="13"/>
  <c r="F1157" i="13"/>
  <c r="F1311" i="13"/>
  <c r="F1307" i="13"/>
  <c r="F1303" i="13"/>
  <c r="F1299" i="13"/>
  <c r="F1295" i="13"/>
  <c r="F1291" i="13"/>
  <c r="F1287" i="13"/>
  <c r="F1283" i="13"/>
  <c r="F1278" i="13"/>
  <c r="F1273" i="13"/>
  <c r="F1267" i="13"/>
  <c r="F1261" i="13"/>
  <c r="F1253" i="13"/>
  <c r="F1245" i="13"/>
  <c r="F1237" i="13"/>
  <c r="F1229" i="13"/>
  <c r="F1221" i="13"/>
  <c r="F1213" i="13"/>
  <c r="F1205" i="13"/>
  <c r="F1197" i="13"/>
  <c r="F1189" i="13"/>
  <c r="F1181" i="13"/>
  <c r="F1173" i="13"/>
  <c r="F1165" i="13"/>
  <c r="F1156" i="13"/>
  <c r="F1145" i="13"/>
  <c r="F1134" i="13"/>
  <c r="F1124" i="13"/>
  <c r="F1113" i="13"/>
  <c r="F1102" i="13"/>
  <c r="F1092" i="13"/>
  <c r="F1074" i="13"/>
  <c r="F1042" i="13"/>
  <c r="F1010" i="13"/>
  <c r="F978" i="13"/>
  <c r="F946" i="13"/>
  <c r="F911" i="13"/>
  <c r="F868" i="13"/>
  <c r="F825" i="13"/>
  <c r="F1280" i="13"/>
  <c r="F1276" i="13"/>
  <c r="F1272" i="13"/>
  <c r="F1268" i="13"/>
  <c r="F1264" i="13"/>
  <c r="F1260" i="13"/>
  <c r="F1256" i="13"/>
  <c r="F1252" i="13"/>
  <c r="F1248" i="13"/>
  <c r="F1244" i="13"/>
  <c r="F1240" i="13"/>
  <c r="F1236" i="13"/>
  <c r="F1232" i="13"/>
  <c r="F1228" i="13"/>
  <c r="F1224" i="13"/>
  <c r="F1220" i="13"/>
  <c r="F1216" i="13"/>
  <c r="F1208" i="13"/>
  <c r="F1200" i="13"/>
  <c r="F1196" i="13"/>
  <c r="F1192" i="13"/>
  <c r="F1188" i="13"/>
  <c r="F1184" i="13"/>
  <c r="F1180" i="13"/>
  <c r="F1172" i="13"/>
  <c r="F1160" i="13"/>
  <c r="F1154" i="13"/>
  <c r="F1149" i="13"/>
  <c r="F1144" i="13"/>
  <c r="F1138" i="13"/>
  <c r="F1133" i="13"/>
  <c r="F1128" i="13"/>
  <c r="F1122" i="13"/>
  <c r="F1117" i="13"/>
  <c r="F1112" i="13"/>
  <c r="F1106" i="13"/>
  <c r="F1101" i="13"/>
  <c r="F1096" i="13"/>
  <c r="F1090" i="13"/>
  <c r="F1084" i="13"/>
  <c r="F1070" i="13"/>
  <c r="F1054" i="13"/>
  <c r="F1038" i="13"/>
  <c r="F1022" i="13"/>
  <c r="F1006" i="13"/>
  <c r="F990" i="13"/>
  <c r="F974" i="13"/>
  <c r="F958" i="13"/>
  <c r="F942" i="13"/>
  <c r="F926" i="13"/>
  <c r="F905" i="13"/>
  <c r="F884" i="13"/>
  <c r="F863" i="13"/>
  <c r="F841" i="13"/>
  <c r="F820" i="13"/>
  <c r="F777" i="13"/>
  <c r="F1263" i="13"/>
  <c r="F1259" i="13"/>
  <c r="F1255" i="13"/>
  <c r="F1251" i="13"/>
  <c r="F1247" i="13"/>
  <c r="F1243" i="13"/>
  <c r="F1239" i="13"/>
  <c r="F1235" i="13"/>
  <c r="F1231" i="13"/>
  <c r="F1227" i="13"/>
  <c r="F1219" i="13"/>
  <c r="F1207" i="13"/>
  <c r="F1195" i="13"/>
  <c r="F1187" i="13"/>
  <c r="F1175" i="13"/>
  <c r="F1171" i="13"/>
  <c r="F1158" i="13"/>
  <c r="F1142" i="13"/>
  <c r="F1126" i="13"/>
  <c r="F1116" i="13"/>
  <c r="F1110" i="13"/>
  <c r="F1105" i="13"/>
  <c r="F1100" i="13"/>
  <c r="F1094" i="13"/>
  <c r="F1089" i="13"/>
  <c r="F1082" i="13"/>
  <c r="F1066" i="13"/>
  <c r="F1050" i="13"/>
  <c r="F1034" i="13"/>
  <c r="F1018" i="13"/>
  <c r="F1002" i="13"/>
  <c r="F986" i="13"/>
  <c r="F970" i="13"/>
  <c r="F954" i="13"/>
  <c r="F938" i="13"/>
  <c r="F921" i="13"/>
  <c r="F900" i="13"/>
  <c r="F879" i="13"/>
  <c r="F857" i="13"/>
  <c r="F836" i="13"/>
  <c r="F809" i="13"/>
  <c r="F767" i="13"/>
  <c r="F756" i="13"/>
  <c r="F753" i="13"/>
  <c r="F747" i="13"/>
  <c r="F745" i="13"/>
  <c r="F735" i="13"/>
  <c r="F711" i="13"/>
  <c r="F1085" i="13"/>
  <c r="F1081" i="13"/>
  <c r="F1077" i="13"/>
  <c r="F1073" i="13"/>
  <c r="F1069" i="13"/>
  <c r="F1065" i="13"/>
  <c r="F1061" i="13"/>
  <c r="F1057" i="13"/>
  <c r="F1053" i="13"/>
  <c r="F1049" i="13"/>
  <c r="F1045" i="13"/>
  <c r="F1041" i="13"/>
  <c r="F1037" i="13"/>
  <c r="F1033" i="13"/>
  <c r="F1029" i="13"/>
  <c r="F1025" i="13"/>
  <c r="F1021" i="13"/>
  <c r="F1017" i="13"/>
  <c r="F1013" i="13"/>
  <c r="F1009" i="13"/>
  <c r="F1005" i="13"/>
  <c r="F1001" i="13"/>
  <c r="F997" i="13"/>
  <c r="F993" i="13"/>
  <c r="F989" i="13"/>
  <c r="F985" i="13"/>
  <c r="F981" i="13"/>
  <c r="F977" i="13"/>
  <c r="F973" i="13"/>
  <c r="F969" i="13"/>
  <c r="F965" i="13"/>
  <c r="F961" i="13"/>
  <c r="F957" i="13"/>
  <c r="F953" i="13"/>
  <c r="F949" i="13"/>
  <c r="F945" i="13"/>
  <c r="F941" i="13"/>
  <c r="F937" i="13"/>
  <c r="F933" i="13"/>
  <c r="F929" i="13"/>
  <c r="F925" i="13"/>
  <c r="F920" i="13"/>
  <c r="F915" i="13"/>
  <c r="F909" i="13"/>
  <c r="F904" i="13"/>
  <c r="F899" i="13"/>
  <c r="F893" i="13"/>
  <c r="F888" i="13"/>
  <c r="F883" i="13"/>
  <c r="F877" i="13"/>
  <c r="F872" i="13"/>
  <c r="F867" i="13"/>
  <c r="F861" i="13"/>
  <c r="F856" i="13"/>
  <c r="F851" i="13"/>
  <c r="F845" i="13"/>
  <c r="F840" i="13"/>
  <c r="F835" i="13"/>
  <c r="F829" i="13"/>
  <c r="F824" i="13"/>
  <c r="F819" i="13"/>
  <c r="F808" i="13"/>
  <c r="F797" i="13"/>
  <c r="F787" i="13"/>
  <c r="F776" i="13"/>
  <c r="F764" i="13"/>
  <c r="F1080" i="13"/>
  <c r="F1076" i="13"/>
  <c r="F1072" i="13"/>
  <c r="F1068" i="13"/>
  <c r="F1064" i="13"/>
  <c r="F1060" i="13"/>
  <c r="F1056" i="13"/>
  <c r="F1052" i="13"/>
  <c r="F1048" i="13"/>
  <c r="F1044" i="13"/>
  <c r="F1040" i="13"/>
  <c r="F1036" i="13"/>
  <c r="F1032" i="13"/>
  <c r="F1028" i="13"/>
  <c r="F1024" i="13"/>
  <c r="F1020" i="13"/>
  <c r="F1016" i="13"/>
  <c r="F1012" i="13"/>
  <c r="F1008" i="13"/>
  <c r="F1004" i="13"/>
  <c r="F1000" i="13"/>
  <c r="F996" i="13"/>
  <c r="F992" i="13"/>
  <c r="F988" i="13"/>
  <c r="F984" i="13"/>
  <c r="F980" i="13"/>
  <c r="F976" i="13"/>
  <c r="F972" i="13"/>
  <c r="F968" i="13"/>
  <c r="F964" i="13"/>
  <c r="F960" i="13"/>
  <c r="F956" i="13"/>
  <c r="F952" i="13"/>
  <c r="F948" i="13"/>
  <c r="F944" i="13"/>
  <c r="F940" i="13"/>
  <c r="F936" i="13"/>
  <c r="F932" i="13"/>
  <c r="F928" i="13"/>
  <c r="F924" i="13"/>
  <c r="F919" i="13"/>
  <c r="F913" i="13"/>
  <c r="F908" i="13"/>
  <c r="F903" i="13"/>
  <c r="F897" i="13"/>
  <c r="F892" i="13"/>
  <c r="F887" i="13"/>
  <c r="F881" i="13"/>
  <c r="F876" i="13"/>
  <c r="F871" i="13"/>
  <c r="F865" i="13"/>
  <c r="F860" i="13"/>
  <c r="F855" i="13"/>
  <c r="F849" i="13"/>
  <c r="F844" i="13"/>
  <c r="F839" i="13"/>
  <c r="F833" i="13"/>
  <c r="F828" i="13"/>
  <c r="F823" i="13"/>
  <c r="F815" i="13"/>
  <c r="F804" i="13"/>
  <c r="F793" i="13"/>
  <c r="F783" i="13"/>
  <c r="F772" i="13"/>
  <c r="F757" i="13"/>
  <c r="F1159" i="13"/>
  <c r="F1155" i="13"/>
  <c r="F1151" i="13"/>
  <c r="F1147" i="13"/>
  <c r="F1143" i="13"/>
  <c r="F1139" i="13"/>
  <c r="F1135" i="13"/>
  <c r="F1131" i="13"/>
  <c r="F1127" i="13"/>
  <c r="F1123" i="13"/>
  <c r="F1119" i="13"/>
  <c r="F1115" i="13"/>
  <c r="F1111" i="13"/>
  <c r="F1107" i="13"/>
  <c r="F1103" i="13"/>
  <c r="F1099" i="13"/>
  <c r="F1095" i="13"/>
  <c r="F1091" i="13"/>
  <c r="F1087" i="13"/>
  <c r="F1083" i="13"/>
  <c r="F1079" i="13"/>
  <c r="F1075" i="13"/>
  <c r="F1071" i="13"/>
  <c r="F1067" i="13"/>
  <c r="F1063" i="13"/>
  <c r="F1059" i="13"/>
  <c r="F1055" i="13"/>
  <c r="F1051" i="13"/>
  <c r="F1047" i="13"/>
  <c r="F1043" i="13"/>
  <c r="F1039" i="13"/>
  <c r="F1035" i="13"/>
  <c r="F1031" i="13"/>
  <c r="F1027" i="13"/>
  <c r="F1023" i="13"/>
  <c r="F1019" i="13"/>
  <c r="F1015" i="13"/>
  <c r="F1011" i="13"/>
  <c r="F1007" i="13"/>
  <c r="F1003" i="13"/>
  <c r="F999" i="13"/>
  <c r="F995" i="13"/>
  <c r="F991" i="13"/>
  <c r="F987" i="13"/>
  <c r="F983" i="13"/>
  <c r="F979" i="13"/>
  <c r="F975" i="13"/>
  <c r="F971" i="13"/>
  <c r="F967" i="13"/>
  <c r="F963" i="13"/>
  <c r="F959" i="13"/>
  <c r="F955" i="13"/>
  <c r="F951" i="13"/>
  <c r="F947" i="13"/>
  <c r="F943" i="13"/>
  <c r="F939" i="13"/>
  <c r="F935" i="13"/>
  <c r="F931" i="13"/>
  <c r="F927" i="13"/>
  <c r="F923" i="13"/>
  <c r="F917" i="13"/>
  <c r="F912" i="13"/>
  <c r="F907" i="13"/>
  <c r="F901" i="13"/>
  <c r="F896" i="13"/>
  <c r="F891" i="13"/>
  <c r="F885" i="13"/>
  <c r="F880" i="13"/>
  <c r="F875" i="13"/>
  <c r="F869" i="13"/>
  <c r="F864" i="13"/>
  <c r="F859" i="13"/>
  <c r="F853" i="13"/>
  <c r="F848" i="13"/>
  <c r="F843" i="13"/>
  <c r="F837" i="13"/>
  <c r="F832" i="13"/>
  <c r="F827" i="13"/>
  <c r="F821" i="13"/>
  <c r="F813" i="13"/>
  <c r="F803" i="13"/>
  <c r="F792" i="13"/>
  <c r="F781" i="13"/>
  <c r="F771" i="13"/>
  <c r="F751" i="13"/>
  <c r="F759" i="13"/>
  <c r="F752" i="13"/>
  <c r="F743" i="13"/>
  <c r="F681" i="13"/>
  <c r="F817" i="13"/>
  <c r="F812" i="13"/>
  <c r="F807" i="13"/>
  <c r="F801" i="13"/>
  <c r="F796" i="13"/>
  <c r="F791" i="13"/>
  <c r="F785" i="13"/>
  <c r="F780" i="13"/>
  <c r="F775" i="13"/>
  <c r="F769" i="13"/>
  <c r="F763" i="13"/>
  <c r="F740" i="13"/>
  <c r="F816" i="13"/>
  <c r="F811" i="13"/>
  <c r="F805" i="13"/>
  <c r="F800" i="13"/>
  <c r="F795" i="13"/>
  <c r="F789" i="13"/>
  <c r="F784" i="13"/>
  <c r="F779" i="13"/>
  <c r="F773" i="13"/>
  <c r="F768" i="13"/>
  <c r="F761" i="13"/>
  <c r="F724" i="13"/>
  <c r="F696" i="13"/>
  <c r="F664" i="13"/>
  <c r="F713" i="13"/>
  <c r="F685" i="13"/>
  <c r="F765" i="13"/>
  <c r="F760" i="13"/>
  <c r="F755" i="13"/>
  <c r="F748" i="13"/>
  <c r="F741" i="13"/>
  <c r="F727" i="13"/>
  <c r="F700" i="13"/>
  <c r="F671" i="13"/>
  <c r="F498" i="13"/>
  <c r="F728" i="13"/>
  <c r="F731" i="13"/>
  <c r="F723" i="13"/>
  <c r="F725" i="13"/>
  <c r="F716" i="13"/>
  <c r="F719" i="13"/>
  <c r="F712" i="13"/>
  <c r="F708" i="13"/>
  <c r="F705" i="13"/>
  <c r="F701" i="13"/>
  <c r="F697" i="13"/>
  <c r="F695" i="13"/>
  <c r="F732" i="13"/>
  <c r="F721" i="13"/>
  <c r="F707" i="13"/>
  <c r="F692" i="13"/>
  <c r="F679" i="13"/>
  <c r="F655" i="13"/>
  <c r="F737" i="13"/>
  <c r="F729" i="13"/>
  <c r="F717" i="13"/>
  <c r="F703" i="13"/>
  <c r="F689" i="13"/>
  <c r="F675" i="13"/>
  <c r="F633" i="13"/>
  <c r="F691" i="13"/>
  <c r="F684" i="13"/>
  <c r="F676" i="13"/>
  <c r="F669" i="13"/>
  <c r="F663" i="13"/>
  <c r="F649" i="13"/>
  <c r="F623" i="13"/>
  <c r="F668" i="13"/>
  <c r="F660" i="13"/>
  <c r="F644" i="13"/>
  <c r="F616" i="13"/>
  <c r="F749" i="13"/>
  <c r="F744" i="13"/>
  <c r="F739" i="13"/>
  <c r="F733" i="13"/>
  <c r="F687" i="13"/>
  <c r="F680" i="13"/>
  <c r="F673" i="13"/>
  <c r="F665" i="13"/>
  <c r="F659" i="13"/>
  <c r="F639" i="13"/>
  <c r="F602" i="13"/>
  <c r="F648" i="13"/>
  <c r="F628" i="13"/>
  <c r="F585" i="13"/>
  <c r="F653" i="13"/>
  <c r="F643" i="13"/>
  <c r="F632" i="13"/>
  <c r="F621" i="13"/>
  <c r="F594" i="13"/>
  <c r="F637" i="13"/>
  <c r="F627" i="13"/>
  <c r="F610" i="13"/>
  <c r="F574" i="13"/>
  <c r="I922" i="13"/>
  <c r="F922" i="13"/>
  <c r="I918" i="13"/>
  <c r="F918" i="13"/>
  <c r="I914" i="13"/>
  <c r="F914" i="13"/>
  <c r="I910" i="13"/>
  <c r="F910" i="13"/>
  <c r="I906" i="13"/>
  <c r="F906" i="13"/>
  <c r="I902" i="13"/>
  <c r="F902" i="13"/>
  <c r="I898" i="13"/>
  <c r="F898" i="13"/>
  <c r="I894" i="13"/>
  <c r="F894" i="13"/>
  <c r="I890" i="13"/>
  <c r="F890" i="13"/>
  <c r="I886" i="13"/>
  <c r="F886" i="13"/>
  <c r="I882" i="13"/>
  <c r="F882" i="13"/>
  <c r="I878" i="13"/>
  <c r="F878" i="13"/>
  <c r="I874" i="13"/>
  <c r="F874" i="13"/>
  <c r="I870" i="13"/>
  <c r="F870" i="13"/>
  <c r="I866" i="13"/>
  <c r="F866" i="13"/>
  <c r="I862" i="13"/>
  <c r="F862" i="13"/>
  <c r="I858" i="13"/>
  <c r="F858" i="13"/>
  <c r="I854" i="13"/>
  <c r="F854" i="13"/>
  <c r="I850" i="13"/>
  <c r="F850" i="13"/>
  <c r="I846" i="13"/>
  <c r="F846" i="13"/>
  <c r="I842" i="13"/>
  <c r="F842" i="13"/>
  <c r="I838" i="13"/>
  <c r="F838" i="13"/>
  <c r="I834" i="13"/>
  <c r="F834" i="13"/>
  <c r="I830" i="13"/>
  <c r="F830" i="13"/>
  <c r="I826" i="13"/>
  <c r="F826" i="13"/>
  <c r="I822" i="13"/>
  <c r="F822" i="13"/>
  <c r="I818" i="13"/>
  <c r="F818" i="13"/>
  <c r="I814" i="13"/>
  <c r="F814" i="13"/>
  <c r="I810" i="13"/>
  <c r="F810" i="13"/>
  <c r="I806" i="13"/>
  <c r="F806" i="13"/>
  <c r="I802" i="13"/>
  <c r="F802" i="13"/>
  <c r="I798" i="13"/>
  <c r="F798" i="13"/>
  <c r="I794" i="13"/>
  <c r="F794" i="13"/>
  <c r="I790" i="13"/>
  <c r="F790" i="13"/>
  <c r="I786" i="13"/>
  <c r="F786" i="13"/>
  <c r="I782" i="13"/>
  <c r="F782" i="13"/>
  <c r="I778" i="13"/>
  <c r="F778" i="13"/>
  <c r="I774" i="13"/>
  <c r="F774" i="13"/>
  <c r="I770" i="13"/>
  <c r="F770" i="13"/>
  <c r="I766" i="13"/>
  <c r="F766" i="13"/>
  <c r="I762" i="13"/>
  <c r="F762" i="13"/>
  <c r="I758" i="13"/>
  <c r="F758" i="13"/>
  <c r="I754" i="13"/>
  <c r="F754" i="13"/>
  <c r="I750" i="13"/>
  <c r="F750" i="13"/>
  <c r="I746" i="13"/>
  <c r="F746" i="13"/>
  <c r="I742" i="13"/>
  <c r="F742" i="13"/>
  <c r="I738" i="13"/>
  <c r="F738" i="13"/>
  <c r="I734" i="13"/>
  <c r="F734" i="13"/>
  <c r="I730" i="13"/>
  <c r="F730" i="13"/>
  <c r="I726" i="13"/>
  <c r="F726" i="13"/>
  <c r="I722" i="13"/>
  <c r="F722" i="13"/>
  <c r="I718" i="13"/>
  <c r="F718" i="13"/>
  <c r="I714" i="13"/>
  <c r="F714" i="13"/>
  <c r="I710" i="13"/>
  <c r="F710" i="13"/>
  <c r="I706" i="13"/>
  <c r="F706" i="13"/>
  <c r="I702" i="13"/>
  <c r="F702" i="13"/>
  <c r="I698" i="13"/>
  <c r="F698" i="13"/>
  <c r="I694" i="13"/>
  <c r="F694" i="13"/>
  <c r="I690" i="13"/>
  <c r="F690" i="13"/>
  <c r="I686" i="13"/>
  <c r="F686" i="13"/>
  <c r="I682" i="13"/>
  <c r="F682" i="13"/>
  <c r="I678" i="13"/>
  <c r="F678" i="13"/>
  <c r="I674" i="13"/>
  <c r="F674" i="13"/>
  <c r="I670" i="13"/>
  <c r="F670" i="13"/>
  <c r="I666" i="13"/>
  <c r="F666" i="13"/>
  <c r="I662" i="13"/>
  <c r="F662" i="13"/>
  <c r="I658" i="13"/>
  <c r="F658" i="13"/>
  <c r="I654" i="13"/>
  <c r="F654" i="13"/>
  <c r="I650" i="13"/>
  <c r="F650" i="13"/>
  <c r="I646" i="13"/>
  <c r="F646" i="13"/>
  <c r="I642" i="13"/>
  <c r="F642" i="13"/>
  <c r="I638" i="13"/>
  <c r="F638" i="13"/>
  <c r="I634" i="13"/>
  <c r="F634" i="13"/>
  <c r="I630" i="13"/>
  <c r="F630" i="13"/>
  <c r="I626" i="13"/>
  <c r="F626" i="13"/>
  <c r="I622" i="13"/>
  <c r="F622" i="13"/>
  <c r="I618" i="13"/>
  <c r="F618" i="13"/>
  <c r="I614" i="13"/>
  <c r="F614" i="13"/>
  <c r="I590" i="13"/>
  <c r="F590" i="13"/>
  <c r="F657" i="13"/>
  <c r="F652" i="13"/>
  <c r="F647" i="13"/>
  <c r="F641" i="13"/>
  <c r="F636" i="13"/>
  <c r="F631" i="13"/>
  <c r="F625" i="13"/>
  <c r="F620" i="13"/>
  <c r="F615" i="13"/>
  <c r="F608" i="13"/>
  <c r="F601" i="13"/>
  <c r="F592" i="13"/>
  <c r="F581" i="13"/>
  <c r="F573" i="13"/>
  <c r="F720" i="13"/>
  <c r="F715" i="13"/>
  <c r="F709" i="13"/>
  <c r="F704" i="13"/>
  <c r="F699" i="13"/>
  <c r="F693" i="13"/>
  <c r="F688" i="13"/>
  <c r="F683" i="13"/>
  <c r="F677" i="13"/>
  <c r="F672" i="13"/>
  <c r="F667" i="13"/>
  <c r="F661" i="13"/>
  <c r="F656" i="13"/>
  <c r="F651" i="13"/>
  <c r="F645" i="13"/>
  <c r="F640" i="13"/>
  <c r="F635" i="13"/>
  <c r="F629" i="13"/>
  <c r="F624" i="13"/>
  <c r="F619" i="13"/>
  <c r="F613" i="13"/>
  <c r="F606" i="13"/>
  <c r="F600" i="13"/>
  <c r="F589" i="13"/>
  <c r="F580" i="13"/>
  <c r="F570" i="13"/>
  <c r="F617" i="13"/>
  <c r="F612" i="13"/>
  <c r="F605" i="13"/>
  <c r="F596" i="13"/>
  <c r="F586" i="13"/>
  <c r="F578" i="13"/>
  <c r="F542" i="13"/>
  <c r="F609" i="13"/>
  <c r="F604" i="13"/>
  <c r="F597" i="13"/>
  <c r="F584" i="13"/>
  <c r="F576" i="13"/>
  <c r="F565" i="13"/>
  <c r="F569" i="13"/>
  <c r="F558" i="13"/>
  <c r="F541" i="13"/>
  <c r="F568" i="13"/>
  <c r="F557" i="13"/>
  <c r="F534" i="13"/>
  <c r="F598" i="13"/>
  <c r="F593" i="13"/>
  <c r="F588" i="13"/>
  <c r="F582" i="13"/>
  <c r="F577" i="13"/>
  <c r="F572" i="13"/>
  <c r="F566" i="13"/>
  <c r="F550" i="13"/>
  <c r="F515" i="13"/>
  <c r="F466" i="13"/>
  <c r="F514" i="13"/>
  <c r="F562" i="13"/>
  <c r="F549" i="13"/>
  <c r="F528" i="13"/>
  <c r="F491" i="13"/>
  <c r="F561" i="13"/>
  <c r="F553" i="13"/>
  <c r="F545" i="13"/>
  <c r="F537" i="13"/>
  <c r="F523" i="13"/>
  <c r="F499" i="13"/>
  <c r="F474" i="13"/>
  <c r="F354" i="13"/>
  <c r="F434" i="13"/>
  <c r="F554" i="13"/>
  <c r="F546" i="13"/>
  <c r="F538" i="13"/>
  <c r="F527" i="13"/>
  <c r="F507" i="13"/>
  <c r="F482" i="13"/>
  <c r="F418" i="13"/>
  <c r="F450" i="13"/>
  <c r="F386" i="13"/>
  <c r="F188" i="13"/>
  <c r="F322" i="13"/>
  <c r="F402" i="13"/>
  <c r="F290" i="13"/>
  <c r="F252" i="13"/>
  <c r="F20" i="13"/>
  <c r="F442" i="13"/>
  <c r="F410" i="13"/>
  <c r="F370" i="13"/>
  <c r="F306" i="13"/>
  <c r="F220" i="13"/>
  <c r="F532" i="13"/>
  <c r="F522" i="13"/>
  <c r="F506" i="13"/>
  <c r="F490" i="13"/>
  <c r="F458" i="13"/>
  <c r="F426" i="13"/>
  <c r="F394" i="13"/>
  <c r="F338" i="13"/>
  <c r="F274" i="13"/>
  <c r="F156" i="13"/>
  <c r="F564" i="13"/>
  <c r="F560" i="13"/>
  <c r="F556" i="13"/>
  <c r="F552" i="13"/>
  <c r="F548" i="13"/>
  <c r="F544" i="13"/>
  <c r="F540" i="13"/>
  <c r="F536" i="13"/>
  <c r="F531" i="13"/>
  <c r="F526" i="13"/>
  <c r="F519" i="13"/>
  <c r="F511" i="13"/>
  <c r="F503" i="13"/>
  <c r="F495" i="13"/>
  <c r="F487" i="13"/>
  <c r="F479" i="13"/>
  <c r="F471" i="13"/>
  <c r="F463" i="13"/>
  <c r="F455" i="13"/>
  <c r="F447" i="13"/>
  <c r="F439" i="13"/>
  <c r="F431" i="13"/>
  <c r="F423" i="13"/>
  <c r="F415" i="13"/>
  <c r="F407" i="13"/>
  <c r="F399" i="13"/>
  <c r="F391" i="13"/>
  <c r="F382" i="13"/>
  <c r="F366" i="13"/>
  <c r="F350" i="13"/>
  <c r="F334" i="13"/>
  <c r="F318" i="13"/>
  <c r="F302" i="13"/>
  <c r="F286" i="13"/>
  <c r="F268" i="13"/>
  <c r="F244" i="13"/>
  <c r="F212" i="13"/>
  <c r="F180" i="13"/>
  <c r="F148" i="13"/>
  <c r="F611" i="13"/>
  <c r="F607" i="13"/>
  <c r="F603" i="13"/>
  <c r="F599" i="13"/>
  <c r="F595" i="13"/>
  <c r="F591" i="13"/>
  <c r="F587" i="13"/>
  <c r="F583" i="13"/>
  <c r="F579" i="13"/>
  <c r="F575" i="13"/>
  <c r="F571" i="13"/>
  <c r="F567" i="13"/>
  <c r="F563" i="13"/>
  <c r="F559" i="13"/>
  <c r="F555" i="13"/>
  <c r="F551" i="13"/>
  <c r="F547" i="13"/>
  <c r="F543" i="13"/>
  <c r="F539" i="13"/>
  <c r="F535" i="13"/>
  <c r="F530" i="13"/>
  <c r="F524" i="13"/>
  <c r="F518" i="13"/>
  <c r="F510" i="13"/>
  <c r="F502" i="13"/>
  <c r="F494" i="13"/>
  <c r="F486" i="13"/>
  <c r="F478" i="13"/>
  <c r="F470" i="13"/>
  <c r="F462" i="13"/>
  <c r="F454" i="13"/>
  <c r="F446" i="13"/>
  <c r="F438" i="13"/>
  <c r="F430" i="13"/>
  <c r="F422" i="13"/>
  <c r="F414" i="13"/>
  <c r="F406" i="13"/>
  <c r="F398" i="13"/>
  <c r="F390" i="13"/>
  <c r="F378" i="13"/>
  <c r="F362" i="13"/>
  <c r="F346" i="13"/>
  <c r="F330" i="13"/>
  <c r="F314" i="13"/>
  <c r="F298" i="13"/>
  <c r="F282" i="13"/>
  <c r="F263" i="13"/>
  <c r="F236" i="13"/>
  <c r="F204" i="13"/>
  <c r="F172" i="13"/>
  <c r="F136" i="13"/>
  <c r="F483" i="13"/>
  <c r="F475" i="13"/>
  <c r="F467" i="13"/>
  <c r="F459" i="13"/>
  <c r="F451" i="13"/>
  <c r="F443" i="13"/>
  <c r="F435" i="13"/>
  <c r="F427" i="13"/>
  <c r="F419" i="13"/>
  <c r="F411" i="13"/>
  <c r="F403" i="13"/>
  <c r="F395" i="13"/>
  <c r="F387" i="13"/>
  <c r="F374" i="13"/>
  <c r="F358" i="13"/>
  <c r="F342" i="13"/>
  <c r="F326" i="13"/>
  <c r="F310" i="13"/>
  <c r="F294" i="13"/>
  <c r="F278" i="13"/>
  <c r="F258" i="13"/>
  <c r="F228" i="13"/>
  <c r="F196" i="13"/>
  <c r="F164" i="13"/>
  <c r="F88" i="13"/>
  <c r="F533" i="13"/>
  <c r="F529" i="13"/>
  <c r="F525" i="13"/>
  <c r="F521" i="13"/>
  <c r="F517" i="13"/>
  <c r="F513" i="13"/>
  <c r="F509" i="13"/>
  <c r="F505" i="13"/>
  <c r="F501" i="13"/>
  <c r="F497" i="13"/>
  <c r="F493" i="13"/>
  <c r="F489" i="13"/>
  <c r="F485" i="13"/>
  <c r="F481" i="13"/>
  <c r="F477" i="13"/>
  <c r="F473" i="13"/>
  <c r="F469" i="13"/>
  <c r="F465" i="13"/>
  <c r="F461" i="13"/>
  <c r="F457" i="13"/>
  <c r="F453" i="13"/>
  <c r="F449" i="13"/>
  <c r="F445" i="13"/>
  <c r="F441" i="13"/>
  <c r="F437" i="13"/>
  <c r="F433" i="13"/>
  <c r="F429" i="13"/>
  <c r="F425" i="13"/>
  <c r="F421" i="13"/>
  <c r="F417" i="13"/>
  <c r="F413" i="13"/>
  <c r="F409" i="13"/>
  <c r="F405" i="13"/>
  <c r="F401" i="13"/>
  <c r="F397" i="13"/>
  <c r="F393" i="13"/>
  <c r="F389" i="13"/>
  <c r="F385" i="13"/>
  <c r="F381" i="13"/>
  <c r="F377" i="13"/>
  <c r="F373" i="13"/>
  <c r="F369" i="13"/>
  <c r="F365" i="13"/>
  <c r="F361" i="13"/>
  <c r="F357" i="13"/>
  <c r="F353" i="13"/>
  <c r="F349" i="13"/>
  <c r="F345" i="13"/>
  <c r="F341" i="13"/>
  <c r="F337" i="13"/>
  <c r="F333" i="13"/>
  <c r="F329" i="13"/>
  <c r="F325" i="13"/>
  <c r="F321" i="13"/>
  <c r="F317" i="13"/>
  <c r="F313" i="13"/>
  <c r="F309" i="13"/>
  <c r="F305" i="13"/>
  <c r="F301" i="13"/>
  <c r="F297" i="13"/>
  <c r="F293" i="13"/>
  <c r="F289" i="13"/>
  <c r="F285" i="13"/>
  <c r="F281" i="13"/>
  <c r="F277" i="13"/>
  <c r="F272" i="13"/>
  <c r="F267" i="13"/>
  <c r="F262" i="13"/>
  <c r="F256" i="13"/>
  <c r="F250" i="13"/>
  <c r="F242" i="13"/>
  <c r="F234" i="13"/>
  <c r="F226" i="13"/>
  <c r="F218" i="13"/>
  <c r="F210" i="13"/>
  <c r="F202" i="13"/>
  <c r="F194" i="13"/>
  <c r="F186" i="13"/>
  <c r="F178" i="13"/>
  <c r="F170" i="13"/>
  <c r="F162" i="13"/>
  <c r="F154" i="13"/>
  <c r="F146" i="13"/>
  <c r="F124" i="13"/>
  <c r="F72" i="13"/>
  <c r="F520" i="13"/>
  <c r="F516" i="13"/>
  <c r="F512" i="13"/>
  <c r="F508" i="13"/>
  <c r="F504" i="13"/>
  <c r="F500" i="13"/>
  <c r="F496" i="13"/>
  <c r="F492" i="13"/>
  <c r="F488" i="13"/>
  <c r="F484" i="13"/>
  <c r="F480" i="13"/>
  <c r="F476" i="13"/>
  <c r="F472" i="13"/>
  <c r="F468" i="13"/>
  <c r="F464" i="13"/>
  <c r="F460" i="13"/>
  <c r="F456" i="13"/>
  <c r="F452" i="13"/>
  <c r="F448" i="13"/>
  <c r="F444" i="13"/>
  <c r="F440" i="13"/>
  <c r="F436" i="13"/>
  <c r="F432" i="13"/>
  <c r="F428" i="13"/>
  <c r="F424" i="13"/>
  <c r="F420" i="13"/>
  <c r="F416" i="13"/>
  <c r="F412" i="13"/>
  <c r="F408" i="13"/>
  <c r="F404" i="13"/>
  <c r="F400" i="13"/>
  <c r="F396" i="13"/>
  <c r="F392" i="13"/>
  <c r="F388" i="13"/>
  <c r="F384" i="13"/>
  <c r="F380" i="13"/>
  <c r="F376" i="13"/>
  <c r="F372" i="13"/>
  <c r="F368" i="13"/>
  <c r="F364" i="13"/>
  <c r="F360" i="13"/>
  <c r="F356" i="13"/>
  <c r="F352" i="13"/>
  <c r="F348" i="13"/>
  <c r="F344" i="13"/>
  <c r="F340" i="13"/>
  <c r="F336" i="13"/>
  <c r="F332" i="13"/>
  <c r="F328" i="13"/>
  <c r="F324" i="13"/>
  <c r="F320" i="13"/>
  <c r="F316" i="13"/>
  <c r="F312" i="13"/>
  <c r="F308" i="13"/>
  <c r="F304" i="13"/>
  <c r="F300" i="13"/>
  <c r="F296" i="13"/>
  <c r="F292" i="13"/>
  <c r="F288" i="13"/>
  <c r="F284" i="13"/>
  <c r="F280" i="13"/>
  <c r="F276" i="13"/>
  <c r="F271" i="13"/>
  <c r="F266" i="13"/>
  <c r="F260" i="13"/>
  <c r="F255" i="13"/>
  <c r="F248" i="13"/>
  <c r="F240" i="13"/>
  <c r="F232" i="13"/>
  <c r="F224" i="13"/>
  <c r="F216" i="13"/>
  <c r="F208" i="13"/>
  <c r="F200" i="13"/>
  <c r="F192" i="13"/>
  <c r="F184" i="13"/>
  <c r="F176" i="13"/>
  <c r="F168" i="13"/>
  <c r="F160" i="13"/>
  <c r="F152" i="13"/>
  <c r="F144" i="13"/>
  <c r="F120" i="13"/>
  <c r="F56" i="13"/>
  <c r="F383" i="13"/>
  <c r="F379" i="13"/>
  <c r="F375" i="13"/>
  <c r="F371" i="13"/>
  <c r="F367" i="13"/>
  <c r="F363" i="13"/>
  <c r="F359" i="13"/>
  <c r="F355" i="13"/>
  <c r="F351" i="13"/>
  <c r="F347" i="13"/>
  <c r="F343" i="13"/>
  <c r="F339" i="13"/>
  <c r="F335" i="13"/>
  <c r="F331" i="13"/>
  <c r="F327" i="13"/>
  <c r="F323" i="13"/>
  <c r="F319" i="13"/>
  <c r="F315" i="13"/>
  <c r="F311" i="13"/>
  <c r="F307" i="13"/>
  <c r="F303" i="13"/>
  <c r="F299" i="13"/>
  <c r="F295" i="13"/>
  <c r="F291" i="13"/>
  <c r="F287" i="13"/>
  <c r="F283" i="13"/>
  <c r="F279" i="13"/>
  <c r="F275" i="13"/>
  <c r="F270" i="13"/>
  <c r="F264" i="13"/>
  <c r="F259" i="13"/>
  <c r="F254" i="13"/>
  <c r="F246" i="13"/>
  <c r="F238" i="13"/>
  <c r="F230" i="13"/>
  <c r="F222" i="13"/>
  <c r="F214" i="13"/>
  <c r="F206" i="13"/>
  <c r="F198" i="13"/>
  <c r="F190" i="13"/>
  <c r="F182" i="13"/>
  <c r="F174" i="13"/>
  <c r="F166" i="13"/>
  <c r="F158" i="13"/>
  <c r="F150" i="13"/>
  <c r="F140" i="13"/>
  <c r="F104" i="13"/>
  <c r="F40" i="13"/>
  <c r="F132" i="13"/>
  <c r="F116" i="13"/>
  <c r="F100" i="13"/>
  <c r="F84" i="13"/>
  <c r="F68" i="13"/>
  <c r="F52" i="13"/>
  <c r="F36" i="13"/>
  <c r="F128" i="13"/>
  <c r="F112" i="13"/>
  <c r="F96" i="13"/>
  <c r="F80" i="13"/>
  <c r="F64" i="13"/>
  <c r="F48" i="13"/>
  <c r="F32" i="13"/>
  <c r="F108" i="13"/>
  <c r="F92" i="13"/>
  <c r="F76" i="13"/>
  <c r="F60" i="13"/>
  <c r="F44" i="13"/>
  <c r="F28" i="13"/>
  <c r="F251" i="13"/>
  <c r="F247" i="13"/>
  <c r="F243" i="13"/>
  <c r="F239" i="13"/>
  <c r="F235" i="13"/>
  <c r="F231" i="13"/>
  <c r="F227" i="13"/>
  <c r="F223" i="13"/>
  <c r="F219" i="13"/>
  <c r="F215" i="13"/>
  <c r="F211" i="13"/>
  <c r="F207" i="13"/>
  <c r="F203" i="13"/>
  <c r="F199" i="13"/>
  <c r="F195" i="13"/>
  <c r="F191" i="13"/>
  <c r="F187" i="13"/>
  <c r="F183" i="13"/>
  <c r="F179" i="13"/>
  <c r="F175" i="13"/>
  <c r="F171" i="13"/>
  <c r="F167" i="13"/>
  <c r="F163" i="13"/>
  <c r="F159" i="13"/>
  <c r="F155" i="13"/>
  <c r="F151" i="13"/>
  <c r="F147" i="13"/>
  <c r="F143" i="13"/>
  <c r="F139" i="13"/>
  <c r="F135" i="13"/>
  <c r="F131" i="13"/>
  <c r="F127" i="13"/>
  <c r="F123" i="13"/>
  <c r="F119" i="13"/>
  <c r="F115" i="13"/>
  <c r="F111" i="13"/>
  <c r="F107" i="13"/>
  <c r="F103" i="13"/>
  <c r="F99" i="13"/>
  <c r="F95" i="13"/>
  <c r="F91" i="13"/>
  <c r="F87" i="13"/>
  <c r="F83" i="13"/>
  <c r="F79" i="13"/>
  <c r="F75" i="13"/>
  <c r="F71" i="13"/>
  <c r="F67" i="13"/>
  <c r="F63" i="13"/>
  <c r="F59" i="13"/>
  <c r="F55" i="13"/>
  <c r="F51" i="13"/>
  <c r="F47" i="13"/>
  <c r="F43" i="13"/>
  <c r="F39" i="13"/>
  <c r="F35" i="13"/>
  <c r="F31" i="13"/>
  <c r="F27" i="13"/>
  <c r="F15" i="13"/>
  <c r="F142" i="13"/>
  <c r="F138" i="13"/>
  <c r="F134" i="13"/>
  <c r="F130" i="13"/>
  <c r="F126" i="13"/>
  <c r="F122" i="13"/>
  <c r="F118" i="13"/>
  <c r="F114" i="13"/>
  <c r="F110" i="13"/>
  <c r="F106" i="13"/>
  <c r="F102" i="13"/>
  <c r="F98" i="13"/>
  <c r="F94" i="13"/>
  <c r="F90" i="13"/>
  <c r="F86" i="13"/>
  <c r="F82" i="13"/>
  <c r="F78" i="13"/>
  <c r="F74" i="13"/>
  <c r="F70" i="13"/>
  <c r="F66" i="13"/>
  <c r="F62" i="13"/>
  <c r="F58" i="13"/>
  <c r="F54" i="13"/>
  <c r="F50" i="13"/>
  <c r="F46" i="13"/>
  <c r="F42" i="13"/>
  <c r="F38" i="13"/>
  <c r="F34" i="13"/>
  <c r="F30" i="13"/>
  <c r="F25" i="13"/>
  <c r="F273" i="13"/>
  <c r="F269" i="13"/>
  <c r="F265" i="13"/>
  <c r="F261" i="13"/>
  <c r="F257" i="13"/>
  <c r="F253" i="13"/>
  <c r="F249" i="13"/>
  <c r="F245" i="13"/>
  <c r="F241" i="13"/>
  <c r="F237" i="13"/>
  <c r="F233" i="13"/>
  <c r="F229" i="13"/>
  <c r="F225" i="13"/>
  <c r="F221" i="13"/>
  <c r="F217" i="13"/>
  <c r="F213" i="13"/>
  <c r="F209" i="13"/>
  <c r="F205" i="13"/>
  <c r="F201" i="13"/>
  <c r="F197" i="13"/>
  <c r="F193" i="13"/>
  <c r="F189" i="13"/>
  <c r="F185" i="13"/>
  <c r="F181" i="13"/>
  <c r="F177" i="13"/>
  <c r="F173" i="13"/>
  <c r="F169" i="13"/>
  <c r="F165" i="13"/>
  <c r="F161" i="13"/>
  <c r="F157" i="13"/>
  <c r="F153" i="13"/>
  <c r="F149" i="13"/>
  <c r="F145" i="13"/>
  <c r="F141" i="13"/>
  <c r="F137" i="13"/>
  <c r="F133" i="13"/>
  <c r="F129" i="13"/>
  <c r="F125" i="13"/>
  <c r="F121" i="13"/>
  <c r="F117" i="13"/>
  <c r="F113" i="13"/>
  <c r="F109" i="13"/>
  <c r="F105" i="13"/>
  <c r="F101" i="13"/>
  <c r="F97" i="13"/>
  <c r="F93" i="13"/>
  <c r="F89" i="13"/>
  <c r="F85" i="13"/>
  <c r="F81" i="13"/>
  <c r="F77" i="13"/>
  <c r="F73" i="13"/>
  <c r="F69" i="13"/>
  <c r="F65" i="13"/>
  <c r="F61" i="13"/>
  <c r="F57" i="13"/>
  <c r="F53" i="13"/>
  <c r="F49" i="13"/>
  <c r="F45" i="13"/>
  <c r="F41" i="13"/>
  <c r="F37" i="13"/>
  <c r="F33" i="13"/>
  <c r="F29" i="13"/>
  <c r="F23" i="13"/>
  <c r="F26" i="13"/>
  <c r="F24" i="13"/>
  <c r="F22" i="13"/>
  <c r="F18" i="13"/>
  <c r="F21" i="13"/>
  <c r="F19" i="13"/>
  <c r="F17" i="13"/>
  <c r="F11" i="13"/>
  <c r="F16" i="13"/>
  <c r="F14" i="13"/>
  <c r="F3" i="13"/>
  <c r="F13" i="13"/>
  <c r="F7" i="13"/>
  <c r="H1282" i="13"/>
  <c r="I1282" i="13"/>
  <c r="H1252" i="13"/>
  <c r="I1252" i="13"/>
  <c r="H1236" i="13"/>
  <c r="I1236" i="13"/>
  <c r="H1216" i="13"/>
  <c r="I1216" i="13"/>
  <c r="G1312" i="13"/>
  <c r="H1312" i="13"/>
  <c r="G1310" i="13"/>
  <c r="H1310" i="13"/>
  <c r="G1308" i="13"/>
  <c r="H1308" i="13"/>
  <c r="G1306" i="13"/>
  <c r="H1306" i="13"/>
  <c r="G1304" i="13"/>
  <c r="H1304" i="13"/>
  <c r="G1302" i="13"/>
  <c r="H1302" i="13"/>
  <c r="G1300" i="13"/>
  <c r="H1300" i="13"/>
  <c r="G1298" i="13"/>
  <c r="H1298" i="13"/>
  <c r="G1296" i="13"/>
  <c r="H1296" i="13"/>
  <c r="G1294" i="13"/>
  <c r="H1294" i="13"/>
  <c r="G1292" i="13"/>
  <c r="H1292" i="13"/>
  <c r="G1290" i="13"/>
  <c r="H1290" i="13"/>
  <c r="G1288" i="13"/>
  <c r="H1288" i="13"/>
  <c r="G1286" i="13"/>
  <c r="H1286" i="13"/>
  <c r="G1284" i="13"/>
  <c r="H1284" i="13"/>
  <c r="G1280" i="13"/>
  <c r="H1280" i="13"/>
  <c r="G1278" i="13"/>
  <c r="H1278" i="13"/>
  <c r="G1276" i="13"/>
  <c r="H1276" i="13"/>
  <c r="G1274" i="13"/>
  <c r="H1274" i="13"/>
  <c r="G1272" i="13"/>
  <c r="H1272" i="13"/>
  <c r="G1270" i="13"/>
  <c r="H1270" i="13"/>
  <c r="G1268" i="13"/>
  <c r="H1268" i="13"/>
  <c r="G1266" i="13"/>
  <c r="H1266" i="13"/>
  <c r="G1264" i="13"/>
  <c r="H1264" i="13"/>
  <c r="G1262" i="13"/>
  <c r="H1262" i="13"/>
  <c r="G1260" i="13"/>
  <c r="H1260" i="13"/>
  <c r="G1258" i="13"/>
  <c r="H1258" i="13"/>
  <c r="G1256" i="13"/>
  <c r="H1256" i="13"/>
  <c r="G1254" i="13"/>
  <c r="H1254" i="13"/>
  <c r="G1250" i="13"/>
  <c r="H1250" i="13"/>
  <c r="G1248" i="13"/>
  <c r="H1248" i="13"/>
  <c r="G1246" i="13"/>
  <c r="H1246" i="13"/>
  <c r="G1244" i="13"/>
  <c r="H1244" i="13"/>
  <c r="G1242" i="13"/>
  <c r="H1242" i="13"/>
  <c r="G1240" i="13"/>
  <c r="H1240" i="13"/>
  <c r="G1238" i="13"/>
  <c r="H1238" i="13"/>
  <c r="G1234" i="13"/>
  <c r="H1234" i="13"/>
  <c r="G1232" i="13"/>
  <c r="H1232" i="13"/>
  <c r="G1230" i="13"/>
  <c r="H1230" i="13"/>
  <c r="G1228" i="13"/>
  <c r="H1228" i="13"/>
  <c r="G1226" i="13"/>
  <c r="H1226" i="13"/>
  <c r="G1224" i="13"/>
  <c r="H1224" i="13"/>
  <c r="G1222" i="13"/>
  <c r="H1222" i="13"/>
  <c r="G1220" i="13"/>
  <c r="H1220" i="13"/>
  <c r="G1218" i="13"/>
  <c r="H1218" i="13"/>
  <c r="G1214" i="13"/>
  <c r="H1214" i="13"/>
  <c r="G1212" i="13"/>
  <c r="H1212" i="13"/>
  <c r="G1210" i="13"/>
  <c r="H1210" i="13"/>
  <c r="G1208" i="13"/>
  <c r="H1208" i="13"/>
  <c r="G1206" i="13"/>
  <c r="H1206" i="13"/>
  <c r="G1204" i="13"/>
  <c r="H1204" i="13"/>
  <c r="G1202" i="13"/>
  <c r="H1202" i="13"/>
  <c r="G1200" i="13"/>
  <c r="H1200" i="13"/>
  <c r="G1198" i="13"/>
  <c r="H1198" i="13"/>
  <c r="G1196" i="13"/>
  <c r="H1196" i="13"/>
  <c r="G1194" i="13"/>
  <c r="H1194" i="13"/>
  <c r="G1192" i="13"/>
  <c r="H1192" i="13"/>
  <c r="G1190" i="13"/>
  <c r="H1190" i="13"/>
  <c r="G1188" i="13"/>
  <c r="H1188" i="13"/>
  <c r="G1186" i="13"/>
  <c r="H1186" i="13"/>
  <c r="G1184" i="13"/>
  <c r="H1184" i="13"/>
  <c r="G1182" i="13"/>
  <c r="H1182" i="13"/>
  <c r="G1180" i="13"/>
  <c r="H1180" i="13"/>
  <c r="G1178" i="13"/>
  <c r="H1178" i="13"/>
  <c r="G1176" i="13"/>
  <c r="H1176" i="13"/>
  <c r="G1174" i="13"/>
  <c r="H1174" i="13"/>
  <c r="G1172" i="13"/>
  <c r="H1172" i="13"/>
  <c r="G1170" i="13"/>
  <c r="H1170" i="13"/>
  <c r="G1168" i="13"/>
  <c r="H1168" i="13"/>
  <c r="G1166" i="13"/>
  <c r="H1166" i="13"/>
  <c r="G1164" i="13"/>
  <c r="H1164" i="13"/>
  <c r="G1162" i="13"/>
  <c r="H1162" i="13"/>
  <c r="G1160" i="13"/>
  <c r="H1160" i="13"/>
  <c r="G1158" i="13"/>
  <c r="H1158" i="13"/>
  <c r="G1156" i="13"/>
  <c r="H1156" i="13"/>
  <c r="G1154" i="13"/>
  <c r="H1154" i="13"/>
  <c r="G1152" i="13"/>
  <c r="H1152" i="13"/>
  <c r="G1150" i="13"/>
  <c r="H1150" i="13"/>
  <c r="G1148" i="13"/>
  <c r="H1148" i="13"/>
  <c r="G1146" i="13"/>
  <c r="H1146" i="13"/>
  <c r="G1144" i="13"/>
  <c r="H1144" i="13"/>
  <c r="G1142" i="13"/>
  <c r="H1142" i="13"/>
  <c r="G1140" i="13"/>
  <c r="H1140" i="13"/>
  <c r="G1138" i="13"/>
  <c r="H1138" i="13"/>
  <c r="G1136" i="13"/>
  <c r="H1136" i="13"/>
  <c r="G1134" i="13"/>
  <c r="H1134" i="13"/>
  <c r="G1132" i="13"/>
  <c r="H1132" i="13"/>
  <c r="G1130" i="13"/>
  <c r="H1130" i="13"/>
  <c r="G1128" i="13"/>
  <c r="H1128" i="13"/>
  <c r="G1126" i="13"/>
  <c r="H1126" i="13"/>
  <c r="G1124" i="13"/>
  <c r="H1124" i="13"/>
  <c r="G1122" i="13"/>
  <c r="H1122" i="13"/>
  <c r="G1120" i="13"/>
  <c r="H1120" i="13"/>
  <c r="G1118" i="13"/>
  <c r="H1118" i="13"/>
  <c r="G1116" i="13"/>
  <c r="H1116" i="13"/>
  <c r="G1114" i="13"/>
  <c r="H1114" i="13"/>
  <c r="G1112" i="13"/>
  <c r="H1112" i="13"/>
  <c r="G1110" i="13"/>
  <c r="H1110" i="13"/>
  <c r="G1108" i="13"/>
  <c r="H1108" i="13"/>
  <c r="G1106" i="13"/>
  <c r="H1106" i="13"/>
  <c r="G1104" i="13"/>
  <c r="H1104" i="13"/>
  <c r="G1102" i="13"/>
  <c r="H1102" i="13"/>
  <c r="G1100" i="13"/>
  <c r="H1100" i="13"/>
  <c r="G1098" i="13"/>
  <c r="H1098" i="13"/>
  <c r="G1096" i="13"/>
  <c r="H1096" i="13"/>
  <c r="G1094" i="13"/>
  <c r="H1094" i="13"/>
  <c r="G1092" i="13"/>
  <c r="H1092" i="13"/>
  <c r="G1090" i="13"/>
  <c r="H1090" i="13"/>
  <c r="G1088" i="13"/>
  <c r="H1088" i="13"/>
  <c r="G1086" i="13"/>
  <c r="H1086" i="13"/>
  <c r="G1084" i="13"/>
  <c r="H1084" i="13"/>
  <c r="G1082" i="13"/>
  <c r="H1082" i="13"/>
  <c r="G1080" i="13"/>
  <c r="H1080" i="13"/>
  <c r="G1078" i="13"/>
  <c r="H1078" i="13"/>
  <c r="G1076" i="13"/>
  <c r="H1076" i="13"/>
  <c r="G1074" i="13"/>
  <c r="H1074" i="13"/>
  <c r="G1072" i="13"/>
  <c r="H1072" i="13"/>
  <c r="G1070" i="13"/>
  <c r="H1070" i="13"/>
  <c r="G1068" i="13"/>
  <c r="H1068" i="13"/>
  <c r="G1066" i="13"/>
  <c r="H1066" i="13"/>
  <c r="G1064" i="13"/>
  <c r="H1064" i="13"/>
  <c r="G1062" i="13"/>
  <c r="H1062" i="13"/>
  <c r="G1060" i="13"/>
  <c r="H1060" i="13"/>
  <c r="G1058" i="13"/>
  <c r="H1058" i="13"/>
  <c r="G1056" i="13"/>
  <c r="H1056" i="13"/>
  <c r="G1054" i="13"/>
  <c r="H1054" i="13"/>
  <c r="G1052" i="13"/>
  <c r="H1052" i="13"/>
  <c r="G1050" i="13"/>
  <c r="H1050" i="13"/>
  <c r="G1048" i="13"/>
  <c r="H1048" i="13"/>
  <c r="G1046" i="13"/>
  <c r="H1046" i="13"/>
  <c r="G1044" i="13"/>
  <c r="H1044" i="13"/>
  <c r="G1042" i="13"/>
  <c r="H1042" i="13"/>
  <c r="G1040" i="13"/>
  <c r="H1040" i="13"/>
  <c r="G1038" i="13"/>
  <c r="H1038" i="13"/>
  <c r="G1036" i="13"/>
  <c r="H1036" i="13"/>
  <c r="G1034" i="13"/>
  <c r="H1034" i="13"/>
  <c r="G1032" i="13"/>
  <c r="H1032" i="13"/>
  <c r="G1030" i="13"/>
  <c r="H1030" i="13"/>
  <c r="G1028" i="13"/>
  <c r="H1028" i="13"/>
  <c r="G1026" i="13"/>
  <c r="H1026" i="13"/>
  <c r="G1024" i="13"/>
  <c r="H1024" i="13"/>
  <c r="G1022" i="13"/>
  <c r="H1022" i="13"/>
  <c r="G1020" i="13"/>
  <c r="H1020" i="13"/>
  <c r="G1018" i="13"/>
  <c r="H1018" i="13"/>
  <c r="G1016" i="13"/>
  <c r="H1016" i="13"/>
  <c r="G1014" i="13"/>
  <c r="H1014" i="13"/>
  <c r="G1012" i="13"/>
  <c r="H1012" i="13"/>
  <c r="G1010" i="13"/>
  <c r="H1010" i="13"/>
  <c r="G1008" i="13"/>
  <c r="H1008" i="13"/>
  <c r="G1006" i="13"/>
  <c r="H1006" i="13"/>
  <c r="G1004" i="13"/>
  <c r="H1004" i="13"/>
  <c r="G1002" i="13"/>
  <c r="H1002" i="13"/>
  <c r="G1000" i="13"/>
  <c r="H1000" i="13"/>
  <c r="G998" i="13"/>
  <c r="H998" i="13"/>
  <c r="G996" i="13"/>
  <c r="H996" i="13"/>
  <c r="G994" i="13"/>
  <c r="H994" i="13"/>
  <c r="G992" i="13"/>
  <c r="H992" i="13"/>
  <c r="G990" i="13"/>
  <c r="H990" i="13"/>
  <c r="G988" i="13"/>
  <c r="H988" i="13"/>
  <c r="G986" i="13"/>
  <c r="H986" i="13"/>
  <c r="G984" i="13"/>
  <c r="H984" i="13"/>
  <c r="G982" i="13"/>
  <c r="H982" i="13"/>
  <c r="G980" i="13"/>
  <c r="H980" i="13"/>
  <c r="G978" i="13"/>
  <c r="H978" i="13"/>
  <c r="G976" i="13"/>
  <c r="H976" i="13"/>
  <c r="G974" i="13"/>
  <c r="H974" i="13"/>
  <c r="G972" i="13"/>
  <c r="H972" i="13"/>
  <c r="G970" i="13"/>
  <c r="H970" i="13"/>
  <c r="G968" i="13"/>
  <c r="H968" i="13"/>
  <c r="G966" i="13"/>
  <c r="H966" i="13"/>
  <c r="G964" i="13"/>
  <c r="H964" i="13"/>
  <c r="G962" i="13"/>
  <c r="H962" i="13"/>
  <c r="G960" i="13"/>
  <c r="H960" i="13"/>
  <c r="G958" i="13"/>
  <c r="H958" i="13"/>
  <c r="G956" i="13"/>
  <c r="H956" i="13"/>
  <c r="G954" i="13"/>
  <c r="H954" i="13"/>
  <c r="G952" i="13"/>
  <c r="H952" i="13"/>
  <c r="G950" i="13"/>
  <c r="H950" i="13"/>
  <c r="G948" i="13"/>
  <c r="H948" i="13"/>
  <c r="G946" i="13"/>
  <c r="H946" i="13"/>
  <c r="G944" i="13"/>
  <c r="H944" i="13"/>
  <c r="G942" i="13"/>
  <c r="H942" i="13"/>
  <c r="G940" i="13"/>
  <c r="H940" i="13"/>
  <c r="G938" i="13"/>
  <c r="H938" i="13"/>
  <c r="G936" i="13"/>
  <c r="H936" i="13"/>
  <c r="G934" i="13"/>
  <c r="H934" i="13"/>
  <c r="G932" i="13"/>
  <c r="H932" i="13"/>
  <c r="G930" i="13"/>
  <c r="H930" i="13"/>
  <c r="G928" i="13"/>
  <c r="H928" i="13"/>
  <c r="G926" i="13"/>
  <c r="H926" i="13"/>
  <c r="G924" i="13"/>
  <c r="H924" i="13"/>
  <c r="G922" i="13"/>
  <c r="H922" i="13"/>
  <c r="G920" i="13"/>
  <c r="H920" i="13"/>
  <c r="G918" i="13"/>
  <c r="H918" i="13"/>
  <c r="G916" i="13"/>
  <c r="H916" i="13"/>
  <c r="G914" i="13"/>
  <c r="H914" i="13"/>
  <c r="G912" i="13"/>
  <c r="H912" i="13"/>
  <c r="G910" i="13"/>
  <c r="H910" i="13"/>
  <c r="G908" i="13"/>
  <c r="H908" i="13"/>
  <c r="G906" i="13"/>
  <c r="H906" i="13"/>
  <c r="G904" i="13"/>
  <c r="H904" i="13"/>
  <c r="G902" i="13"/>
  <c r="H902" i="13"/>
  <c r="G900" i="13"/>
  <c r="H900" i="13"/>
  <c r="G898" i="13"/>
  <c r="H898" i="13"/>
  <c r="G896" i="13"/>
  <c r="H896" i="13"/>
  <c r="G894" i="13"/>
  <c r="H894" i="13"/>
  <c r="G892" i="13"/>
  <c r="H892" i="13"/>
  <c r="G890" i="13"/>
  <c r="H890" i="13"/>
  <c r="G888" i="13"/>
  <c r="H888" i="13"/>
  <c r="G886" i="13"/>
  <c r="H886" i="13"/>
  <c r="G884" i="13"/>
  <c r="H884" i="13"/>
  <c r="G882" i="13"/>
  <c r="H882" i="13"/>
  <c r="G880" i="13"/>
  <c r="H880" i="13"/>
  <c r="G878" i="13"/>
  <c r="H878" i="13"/>
  <c r="G876" i="13"/>
  <c r="H876" i="13"/>
  <c r="G874" i="13"/>
  <c r="H874" i="13"/>
  <c r="G872" i="13"/>
  <c r="H872" i="13"/>
  <c r="G870" i="13"/>
  <c r="H870" i="13"/>
  <c r="G868" i="13"/>
  <c r="H868" i="13"/>
  <c r="G866" i="13"/>
  <c r="H866" i="13"/>
  <c r="G864" i="13"/>
  <c r="H864" i="13"/>
  <c r="G862" i="13"/>
  <c r="H862" i="13"/>
  <c r="G860" i="13"/>
  <c r="H860" i="13"/>
  <c r="G858" i="13"/>
  <c r="H858" i="13"/>
  <c r="G856" i="13"/>
  <c r="H856" i="13"/>
  <c r="G854" i="13"/>
  <c r="H854" i="13"/>
  <c r="G852" i="13"/>
  <c r="H852" i="13"/>
  <c r="G850" i="13"/>
  <c r="H850" i="13"/>
  <c r="G848" i="13"/>
  <c r="H848" i="13"/>
  <c r="G846" i="13"/>
  <c r="H846" i="13"/>
  <c r="G844" i="13"/>
  <c r="H844" i="13"/>
  <c r="G842" i="13"/>
  <c r="H842" i="13"/>
  <c r="G840" i="13"/>
  <c r="H840" i="13"/>
  <c r="G838" i="13"/>
  <c r="H838" i="13"/>
  <c r="G836" i="13"/>
  <c r="H836" i="13"/>
  <c r="G834" i="13"/>
  <c r="H834" i="13"/>
  <c r="G832" i="13"/>
  <c r="H832" i="13"/>
  <c r="G830" i="13"/>
  <c r="H830" i="13"/>
  <c r="G828" i="13"/>
  <c r="H828" i="13"/>
  <c r="G826" i="13"/>
  <c r="H826" i="13"/>
  <c r="G824" i="13"/>
  <c r="H824" i="13"/>
  <c r="G822" i="13"/>
  <c r="H822" i="13"/>
  <c r="G820" i="13"/>
  <c r="H820" i="13"/>
  <c r="G818" i="13"/>
  <c r="H818" i="13"/>
  <c r="G816" i="13"/>
  <c r="H816" i="13"/>
  <c r="G814" i="13"/>
  <c r="H814" i="13"/>
  <c r="G812" i="13"/>
  <c r="H812" i="13"/>
  <c r="G810" i="13"/>
  <c r="H810" i="13"/>
  <c r="G808" i="13"/>
  <c r="H808" i="13"/>
  <c r="G806" i="13"/>
  <c r="H806" i="13"/>
  <c r="G804" i="13"/>
  <c r="H804" i="13"/>
  <c r="G802" i="13"/>
  <c r="H802" i="13"/>
  <c r="G800" i="13"/>
  <c r="H800" i="13"/>
  <c r="G798" i="13"/>
  <c r="H798" i="13"/>
  <c r="G796" i="13"/>
  <c r="H796" i="13"/>
  <c r="G794" i="13"/>
  <c r="H794" i="13"/>
  <c r="G792" i="13"/>
  <c r="H792" i="13"/>
  <c r="G790" i="13"/>
  <c r="H790" i="13"/>
  <c r="G788" i="13"/>
  <c r="H788" i="13"/>
  <c r="G786" i="13"/>
  <c r="H786" i="13"/>
  <c r="G784" i="13"/>
  <c r="H784" i="13"/>
  <c r="G782" i="13"/>
  <c r="H782" i="13"/>
  <c r="G780" i="13"/>
  <c r="H780" i="13"/>
  <c r="G778" i="13"/>
  <c r="H778" i="13"/>
  <c r="G776" i="13"/>
  <c r="H776" i="13"/>
  <c r="G774" i="13"/>
  <c r="H774" i="13"/>
  <c r="G772" i="13"/>
  <c r="H772" i="13"/>
  <c r="G770" i="13"/>
  <c r="H770" i="13"/>
  <c r="G768" i="13"/>
  <c r="H768" i="13"/>
  <c r="G766" i="13"/>
  <c r="H766" i="13"/>
  <c r="G764" i="13"/>
  <c r="H764" i="13"/>
  <c r="G762" i="13"/>
  <c r="H762" i="13"/>
  <c r="G760" i="13"/>
  <c r="H760" i="13"/>
  <c r="G758" i="13"/>
  <c r="H758" i="13"/>
  <c r="G756" i="13"/>
  <c r="H756" i="13"/>
  <c r="G754" i="13"/>
  <c r="H754" i="13"/>
  <c r="G752" i="13"/>
  <c r="H752" i="13"/>
  <c r="G750" i="13"/>
  <c r="H750" i="13"/>
  <c r="G748" i="13"/>
  <c r="H748" i="13"/>
  <c r="G746" i="13"/>
  <c r="H746" i="13"/>
  <c r="G744" i="13"/>
  <c r="H744" i="13"/>
  <c r="G742" i="13"/>
  <c r="H742" i="13"/>
  <c r="G740" i="13"/>
  <c r="H740" i="13"/>
  <c r="G738" i="13"/>
  <c r="H738" i="13"/>
  <c r="G736" i="13"/>
  <c r="H736" i="13"/>
  <c r="G734" i="13"/>
  <c r="H734" i="13"/>
  <c r="G732" i="13"/>
  <c r="H732" i="13"/>
  <c r="G730" i="13"/>
  <c r="H730" i="13"/>
  <c r="G728" i="13"/>
  <c r="H728" i="13"/>
  <c r="G726" i="13"/>
  <c r="H726" i="13"/>
  <c r="G724" i="13"/>
  <c r="H724" i="13"/>
  <c r="G722" i="13"/>
  <c r="H722" i="13"/>
  <c r="G720" i="13"/>
  <c r="H720" i="13"/>
  <c r="G718" i="13"/>
  <c r="H718" i="13"/>
  <c r="G716" i="13"/>
  <c r="H716" i="13"/>
  <c r="G714" i="13"/>
  <c r="H714" i="13"/>
  <c r="G712" i="13"/>
  <c r="H712" i="13"/>
  <c r="G710" i="13"/>
  <c r="H710" i="13"/>
  <c r="G708" i="13"/>
  <c r="H708" i="13"/>
  <c r="G706" i="13"/>
  <c r="H706" i="13"/>
  <c r="G704" i="13"/>
  <c r="H704" i="13"/>
  <c r="G702" i="13"/>
  <c r="H702" i="13"/>
  <c r="G700" i="13"/>
  <c r="H700" i="13"/>
  <c r="G698" i="13"/>
  <c r="H698" i="13"/>
  <c r="G696" i="13"/>
  <c r="H696" i="13"/>
  <c r="G694" i="13"/>
  <c r="H694" i="13"/>
  <c r="G692" i="13"/>
  <c r="H692" i="13"/>
  <c r="G690" i="13"/>
  <c r="H690" i="13"/>
  <c r="G688" i="13"/>
  <c r="H688" i="13"/>
  <c r="G686" i="13"/>
  <c r="H686" i="13"/>
  <c r="G684" i="13"/>
  <c r="H684" i="13"/>
  <c r="G682" i="13"/>
  <c r="H682" i="13"/>
  <c r="G680" i="13"/>
  <c r="H680" i="13"/>
  <c r="G678" i="13"/>
  <c r="H678" i="13"/>
  <c r="G676" i="13"/>
  <c r="H676" i="13"/>
  <c r="G674" i="13"/>
  <c r="H674" i="13"/>
  <c r="G672" i="13"/>
  <c r="H672" i="13"/>
  <c r="G670" i="13"/>
  <c r="H670" i="13"/>
  <c r="G668" i="13"/>
  <c r="H668" i="13"/>
  <c r="G666" i="13"/>
  <c r="H666" i="13"/>
  <c r="G664" i="13"/>
  <c r="H664" i="13"/>
  <c r="G662" i="13"/>
  <c r="H662" i="13"/>
  <c r="G660" i="13"/>
  <c r="H660" i="13"/>
  <c r="G658" i="13"/>
  <c r="H658" i="13"/>
  <c r="G656" i="13"/>
  <c r="H656" i="13"/>
  <c r="G654" i="13"/>
  <c r="H654" i="13"/>
  <c r="G652" i="13"/>
  <c r="H652" i="13"/>
  <c r="G650" i="13"/>
  <c r="H650" i="13"/>
  <c r="G648" i="13"/>
  <c r="H648" i="13"/>
  <c r="G646" i="13"/>
  <c r="H646" i="13"/>
  <c r="G644" i="13"/>
  <c r="H644" i="13"/>
  <c r="G642" i="13"/>
  <c r="H642" i="13"/>
  <c r="G640" i="13"/>
  <c r="H640" i="13"/>
  <c r="G638" i="13"/>
  <c r="H638" i="13"/>
  <c r="G636" i="13"/>
  <c r="H636" i="13"/>
  <c r="G634" i="13"/>
  <c r="H634" i="13"/>
  <c r="G632" i="13"/>
  <c r="H632" i="13"/>
  <c r="G630" i="13"/>
  <c r="H630" i="13"/>
  <c r="G628" i="13"/>
  <c r="H628" i="13"/>
  <c r="G626" i="13"/>
  <c r="H626" i="13"/>
  <c r="G624" i="13"/>
  <c r="H624" i="13"/>
  <c r="G622" i="13"/>
  <c r="H622" i="13"/>
  <c r="G620" i="13"/>
  <c r="H620" i="13"/>
  <c r="G618" i="13"/>
  <c r="H618" i="13"/>
  <c r="G616" i="13"/>
  <c r="H616" i="13"/>
  <c r="G614" i="13"/>
  <c r="H614" i="13"/>
  <c r="G612" i="13"/>
  <c r="H612" i="13"/>
  <c r="G610" i="13"/>
  <c r="H610" i="13"/>
  <c r="G608" i="13"/>
  <c r="H608" i="13"/>
  <c r="G606" i="13"/>
  <c r="H606" i="13"/>
  <c r="G604" i="13"/>
  <c r="H604" i="13"/>
  <c r="G602" i="13"/>
  <c r="H602" i="13"/>
  <c r="G600" i="13"/>
  <c r="H600" i="13"/>
  <c r="G598" i="13"/>
  <c r="H598" i="13"/>
  <c r="G596" i="13"/>
  <c r="H596" i="13"/>
  <c r="G594" i="13"/>
  <c r="H594" i="13"/>
  <c r="G592" i="13"/>
  <c r="H592" i="13"/>
  <c r="G590" i="13"/>
  <c r="H590" i="13"/>
  <c r="G588" i="13"/>
  <c r="H588" i="13"/>
  <c r="G586" i="13"/>
  <c r="H586" i="13"/>
  <c r="G584" i="13"/>
  <c r="H584" i="13"/>
  <c r="G582" i="13"/>
  <c r="H582" i="13"/>
  <c r="G580" i="13"/>
  <c r="H580" i="13"/>
  <c r="G578" i="13"/>
  <c r="H578" i="13"/>
  <c r="G576" i="13"/>
  <c r="H576" i="13"/>
  <c r="G574" i="13"/>
  <c r="H574" i="13"/>
  <c r="G572" i="13"/>
  <c r="H572" i="13"/>
  <c r="G570" i="13"/>
  <c r="H570" i="13"/>
  <c r="G568" i="13"/>
  <c r="H568" i="13"/>
  <c r="G566" i="13"/>
  <c r="H566" i="13"/>
  <c r="G564" i="13"/>
  <c r="H564" i="13"/>
  <c r="G562" i="13"/>
  <c r="H562" i="13"/>
  <c r="G560" i="13"/>
  <c r="H560" i="13"/>
  <c r="G558" i="13"/>
  <c r="H558" i="13"/>
  <c r="G556" i="13"/>
  <c r="H556" i="13"/>
  <c r="G554" i="13"/>
  <c r="H554" i="13"/>
  <c r="G552" i="13"/>
  <c r="H552" i="13"/>
  <c r="G550" i="13"/>
  <c r="H550" i="13"/>
  <c r="G548" i="13"/>
  <c r="H548" i="13"/>
  <c r="G546" i="13"/>
  <c r="H546" i="13"/>
  <c r="G544" i="13"/>
  <c r="H544" i="13"/>
  <c r="G542" i="13"/>
  <c r="H542" i="13"/>
  <c r="G540" i="13"/>
  <c r="H540" i="13"/>
  <c r="G538" i="13"/>
  <c r="H538" i="13"/>
  <c r="G536" i="13"/>
  <c r="H536" i="13"/>
  <c r="G534" i="13"/>
  <c r="H534" i="13"/>
  <c r="G532" i="13"/>
  <c r="H532" i="13"/>
  <c r="G530" i="13"/>
  <c r="H530" i="13"/>
  <c r="G528" i="13"/>
  <c r="H528" i="13"/>
  <c r="G526" i="13"/>
  <c r="H526" i="13"/>
  <c r="G524" i="13"/>
  <c r="H524" i="13"/>
  <c r="G522" i="13"/>
  <c r="H522" i="13"/>
  <c r="G520" i="13"/>
  <c r="H520" i="13"/>
  <c r="G518" i="13"/>
  <c r="H518" i="13"/>
  <c r="G516" i="13"/>
  <c r="H516" i="13"/>
  <c r="G514" i="13"/>
  <c r="H514" i="13"/>
  <c r="G512" i="13"/>
  <c r="H512" i="13"/>
  <c r="G510" i="13"/>
  <c r="H510" i="13"/>
  <c r="G508" i="13"/>
  <c r="H508" i="13"/>
  <c r="G506" i="13"/>
  <c r="H506" i="13"/>
  <c r="G504" i="13"/>
  <c r="H504" i="13"/>
  <c r="G502" i="13"/>
  <c r="H502" i="13"/>
  <c r="G500" i="13"/>
  <c r="H500" i="13"/>
  <c r="G498" i="13"/>
  <c r="H498" i="13"/>
  <c r="G496" i="13"/>
  <c r="H496" i="13"/>
  <c r="G494" i="13"/>
  <c r="H494" i="13"/>
  <c r="G492" i="13"/>
  <c r="H492" i="13"/>
  <c r="G490" i="13"/>
  <c r="H490" i="13"/>
  <c r="G488" i="13"/>
  <c r="H488" i="13"/>
  <c r="G486" i="13"/>
  <c r="H486" i="13"/>
  <c r="G484" i="13"/>
  <c r="H484" i="13"/>
  <c r="G482" i="13"/>
  <c r="H482" i="13"/>
  <c r="G480" i="13"/>
  <c r="H480" i="13"/>
  <c r="G478" i="13"/>
  <c r="H478" i="13"/>
  <c r="G476" i="13"/>
  <c r="H476" i="13"/>
  <c r="G474" i="13"/>
  <c r="H474" i="13"/>
  <c r="G472" i="13"/>
  <c r="H472" i="13"/>
  <c r="G470" i="13"/>
  <c r="H470" i="13"/>
  <c r="G468" i="13"/>
  <c r="H468" i="13"/>
  <c r="G466" i="13"/>
  <c r="H466" i="13"/>
  <c r="G464" i="13"/>
  <c r="H464" i="13"/>
  <c r="G462" i="13"/>
  <c r="H462" i="13"/>
  <c r="G460" i="13"/>
  <c r="H460" i="13"/>
  <c r="G458" i="13"/>
  <c r="H458" i="13"/>
  <c r="G456" i="13"/>
  <c r="H456" i="13"/>
  <c r="G454" i="13"/>
  <c r="H454" i="13"/>
  <c r="G452" i="13"/>
  <c r="H452" i="13"/>
  <c r="G450" i="13"/>
  <c r="H450" i="13"/>
  <c r="G448" i="13"/>
  <c r="H448" i="13"/>
  <c r="G446" i="13"/>
  <c r="H446" i="13"/>
  <c r="G444" i="13"/>
  <c r="H444" i="13"/>
  <c r="G442" i="13"/>
  <c r="H442" i="13"/>
  <c r="G440" i="13"/>
  <c r="H440" i="13"/>
  <c r="G438" i="13"/>
  <c r="H438" i="13"/>
  <c r="G436" i="13"/>
  <c r="H436" i="13"/>
  <c r="G434" i="13"/>
  <c r="H434" i="13"/>
  <c r="G432" i="13"/>
  <c r="H432" i="13"/>
  <c r="G430" i="13"/>
  <c r="H430" i="13"/>
  <c r="G428" i="13"/>
  <c r="H428" i="13"/>
  <c r="G426" i="13"/>
  <c r="H426" i="13"/>
  <c r="G424" i="13"/>
  <c r="H424" i="13"/>
  <c r="G422" i="13"/>
  <c r="H422" i="13"/>
  <c r="G420" i="13"/>
  <c r="H420" i="13"/>
  <c r="G418" i="13"/>
  <c r="H418" i="13"/>
  <c r="G416" i="13"/>
  <c r="H416" i="13"/>
  <c r="G414" i="13"/>
  <c r="H414" i="13"/>
  <c r="G412" i="13"/>
  <c r="H412" i="13"/>
  <c r="G410" i="13"/>
  <c r="H410" i="13"/>
  <c r="G408" i="13"/>
  <c r="H408" i="13"/>
  <c r="G406" i="13"/>
  <c r="H406" i="13"/>
  <c r="G404" i="13"/>
  <c r="H404" i="13"/>
  <c r="G402" i="13"/>
  <c r="H402" i="13"/>
  <c r="G400" i="13"/>
  <c r="H400" i="13"/>
  <c r="G398" i="13"/>
  <c r="H398" i="13"/>
  <c r="G396" i="13"/>
  <c r="H396" i="13"/>
  <c r="G394" i="13"/>
  <c r="H394" i="13"/>
  <c r="G392" i="13"/>
  <c r="H392" i="13"/>
  <c r="G390" i="13"/>
  <c r="H390" i="13"/>
  <c r="G388" i="13"/>
  <c r="H388" i="13"/>
  <c r="G386" i="13"/>
  <c r="H386" i="13"/>
  <c r="G384" i="13"/>
  <c r="H384" i="13"/>
  <c r="G382" i="13"/>
  <c r="H382" i="13"/>
  <c r="G380" i="13"/>
  <c r="H380" i="13"/>
  <c r="G378" i="13"/>
  <c r="H378" i="13"/>
  <c r="G376" i="13"/>
  <c r="H376" i="13"/>
  <c r="G374" i="13"/>
  <c r="H374" i="13"/>
  <c r="G372" i="13"/>
  <c r="H372" i="13"/>
  <c r="G370" i="13"/>
  <c r="H370" i="13"/>
  <c r="G368" i="13"/>
  <c r="H368" i="13"/>
  <c r="G366" i="13"/>
  <c r="H366" i="13"/>
  <c r="G364" i="13"/>
  <c r="H364" i="13"/>
  <c r="G362" i="13"/>
  <c r="H362" i="13"/>
  <c r="G360" i="13"/>
  <c r="H360" i="13"/>
  <c r="G358" i="13"/>
  <c r="H358" i="13"/>
  <c r="G356" i="13"/>
  <c r="H356" i="13"/>
  <c r="G354" i="13"/>
  <c r="H354" i="13"/>
  <c r="G352" i="13"/>
  <c r="H352" i="13"/>
  <c r="G350" i="13"/>
  <c r="H350" i="13"/>
  <c r="G348" i="13"/>
  <c r="H348" i="13"/>
  <c r="G346" i="13"/>
  <c r="H346" i="13"/>
  <c r="G344" i="13"/>
  <c r="H344" i="13"/>
  <c r="G342" i="13"/>
  <c r="H342" i="13"/>
  <c r="G340" i="13"/>
  <c r="H340" i="13"/>
  <c r="G338" i="13"/>
  <c r="H338" i="13"/>
  <c r="G336" i="13"/>
  <c r="H336" i="13"/>
  <c r="G334" i="13"/>
  <c r="H334" i="13"/>
  <c r="G332" i="13"/>
  <c r="H332" i="13"/>
  <c r="G330" i="13"/>
  <c r="H330" i="13"/>
  <c r="G328" i="13"/>
  <c r="H328" i="13"/>
  <c r="G326" i="13"/>
  <c r="H326" i="13"/>
  <c r="G324" i="13"/>
  <c r="H324" i="13"/>
  <c r="G322" i="13"/>
  <c r="H322" i="13"/>
  <c r="G320" i="13"/>
  <c r="H320" i="13"/>
  <c r="G318" i="13"/>
  <c r="H318" i="13"/>
  <c r="G316" i="13"/>
  <c r="H316" i="13"/>
  <c r="G314" i="13"/>
  <c r="H314" i="13"/>
  <c r="G312" i="13"/>
  <c r="H312" i="13"/>
  <c r="G310" i="13"/>
  <c r="H310" i="13"/>
  <c r="G308" i="13"/>
  <c r="H308" i="13"/>
  <c r="G306" i="13"/>
  <c r="H306" i="13"/>
  <c r="G304" i="13"/>
  <c r="H304" i="13"/>
  <c r="G302" i="13"/>
  <c r="H302" i="13"/>
  <c r="G300" i="13"/>
  <c r="H300" i="13"/>
  <c r="G298" i="13"/>
  <c r="H298" i="13"/>
  <c r="G296" i="13"/>
  <c r="H296" i="13"/>
  <c r="G294" i="13"/>
  <c r="H294" i="13"/>
  <c r="G292" i="13"/>
  <c r="H292" i="13"/>
  <c r="G290" i="13"/>
  <c r="H290" i="13"/>
  <c r="G288" i="13"/>
  <c r="H288" i="13"/>
  <c r="G286" i="13"/>
  <c r="H286" i="13"/>
  <c r="G284" i="13"/>
  <c r="H284" i="13"/>
  <c r="G282" i="13"/>
  <c r="H282" i="13"/>
  <c r="G280" i="13"/>
  <c r="H280" i="13"/>
  <c r="G278" i="13"/>
  <c r="H278" i="13"/>
  <c r="G276" i="13"/>
  <c r="H276" i="13"/>
  <c r="G274" i="13"/>
  <c r="H274" i="13"/>
  <c r="G272" i="13"/>
  <c r="H272" i="13"/>
  <c r="G270" i="13"/>
  <c r="H270" i="13"/>
  <c r="G268" i="13"/>
  <c r="H268" i="13"/>
  <c r="G266" i="13"/>
  <c r="H266" i="13"/>
  <c r="G264" i="13"/>
  <c r="H264" i="13"/>
  <c r="G262" i="13"/>
  <c r="H262" i="13"/>
  <c r="G260" i="13"/>
  <c r="H260" i="13"/>
  <c r="G258" i="13"/>
  <c r="H258" i="13"/>
  <c r="G256" i="13"/>
  <c r="H256" i="13"/>
  <c r="G254" i="13"/>
  <c r="H254" i="13"/>
  <c r="G252" i="13"/>
  <c r="H252" i="13"/>
  <c r="G250" i="13"/>
  <c r="H250" i="13"/>
  <c r="G248" i="13"/>
  <c r="H248" i="13"/>
  <c r="G246" i="13"/>
  <c r="H246" i="13"/>
  <c r="G244" i="13"/>
  <c r="H244" i="13"/>
  <c r="G242" i="13"/>
  <c r="H242" i="13"/>
  <c r="G240" i="13"/>
  <c r="H240" i="13"/>
  <c r="G238" i="13"/>
  <c r="H238" i="13"/>
  <c r="G236" i="13"/>
  <c r="H236" i="13"/>
  <c r="G234" i="13"/>
  <c r="H234" i="13"/>
  <c r="G232" i="13"/>
  <c r="H232" i="13"/>
  <c r="G230" i="13"/>
  <c r="H230" i="13"/>
  <c r="G228" i="13"/>
  <c r="H228" i="13"/>
  <c r="G226" i="13"/>
  <c r="H226" i="13"/>
  <c r="G224" i="13"/>
  <c r="H224" i="13"/>
  <c r="G222" i="13"/>
  <c r="H222" i="13"/>
  <c r="G220" i="13"/>
  <c r="H220" i="13"/>
  <c r="G218" i="13"/>
  <c r="H218" i="13"/>
  <c r="G216" i="13"/>
  <c r="H216" i="13"/>
  <c r="G214" i="13"/>
  <c r="H214" i="13"/>
  <c r="G212" i="13"/>
  <c r="H212" i="13"/>
  <c r="G210" i="13"/>
  <c r="H210" i="13"/>
  <c r="G208" i="13"/>
  <c r="H208" i="13"/>
  <c r="G206" i="13"/>
  <c r="H206" i="13"/>
  <c r="G204" i="13"/>
  <c r="H204" i="13"/>
  <c r="G202" i="13"/>
  <c r="H202" i="13"/>
  <c r="G200" i="13"/>
  <c r="H200" i="13"/>
  <c r="G198" i="13"/>
  <c r="H198" i="13"/>
  <c r="G196" i="13"/>
  <c r="H196" i="13"/>
  <c r="G194" i="13"/>
  <c r="H194" i="13"/>
  <c r="G192" i="13"/>
  <c r="H192" i="13"/>
  <c r="G190" i="13"/>
  <c r="H190" i="13"/>
  <c r="G188" i="13"/>
  <c r="H188" i="13"/>
  <c r="G186" i="13"/>
  <c r="H186" i="13"/>
  <c r="G184" i="13"/>
  <c r="H184" i="13"/>
  <c r="G182" i="13"/>
  <c r="H182" i="13"/>
  <c r="G180" i="13"/>
  <c r="H180" i="13"/>
  <c r="G178" i="13"/>
  <c r="H178" i="13"/>
  <c r="G176" i="13"/>
  <c r="H176" i="13"/>
  <c r="G174" i="13"/>
  <c r="H174" i="13"/>
  <c r="G172" i="13"/>
  <c r="H172" i="13"/>
  <c r="G170" i="13"/>
  <c r="H170" i="13"/>
  <c r="G168" i="13"/>
  <c r="H168" i="13"/>
  <c r="G166" i="13"/>
  <c r="H166" i="13"/>
  <c r="G164" i="13"/>
  <c r="H164" i="13"/>
  <c r="G162" i="13"/>
  <c r="H162" i="13"/>
  <c r="G160" i="13"/>
  <c r="H160" i="13"/>
  <c r="G158" i="13"/>
  <c r="H158" i="13"/>
  <c r="G156" i="13"/>
  <c r="H156" i="13"/>
  <c r="G154" i="13"/>
  <c r="H154" i="13"/>
  <c r="G152" i="13"/>
  <c r="H152" i="13"/>
  <c r="G150" i="13"/>
  <c r="H150" i="13"/>
  <c r="G148" i="13"/>
  <c r="H148" i="13"/>
  <c r="G146" i="13"/>
  <c r="H146" i="13"/>
  <c r="G144" i="13"/>
  <c r="H144" i="13"/>
  <c r="G142" i="13"/>
  <c r="H142" i="13"/>
  <c r="G140" i="13"/>
  <c r="H140" i="13"/>
  <c r="G138" i="13"/>
  <c r="H138" i="13"/>
  <c r="G136" i="13"/>
  <c r="H136" i="13"/>
  <c r="G134" i="13"/>
  <c r="H134" i="13"/>
  <c r="G132" i="13"/>
  <c r="H132" i="13"/>
  <c r="G130" i="13"/>
  <c r="H130" i="13"/>
  <c r="G128" i="13"/>
  <c r="H128" i="13"/>
  <c r="G126" i="13"/>
  <c r="H126" i="13"/>
  <c r="G124" i="13"/>
  <c r="H124" i="13"/>
  <c r="G122" i="13"/>
  <c r="H122" i="13"/>
  <c r="G120" i="13"/>
  <c r="H120" i="13"/>
  <c r="G118" i="13"/>
  <c r="H118" i="13"/>
  <c r="G116" i="13"/>
  <c r="H116" i="13"/>
  <c r="G114" i="13"/>
  <c r="H114" i="13"/>
  <c r="G112" i="13"/>
  <c r="H112" i="13"/>
  <c r="G110" i="13"/>
  <c r="H110" i="13"/>
  <c r="G108" i="13"/>
  <c r="H108" i="13"/>
  <c r="G106" i="13"/>
  <c r="H106" i="13"/>
  <c r="G104" i="13"/>
  <c r="H104" i="13"/>
  <c r="G102" i="13"/>
  <c r="H102" i="13"/>
  <c r="G100" i="13"/>
  <c r="H100" i="13"/>
  <c r="G98" i="13"/>
  <c r="H98" i="13"/>
  <c r="G96" i="13"/>
  <c r="H96" i="13"/>
  <c r="G94" i="13"/>
  <c r="H94" i="13"/>
  <c r="G92" i="13"/>
  <c r="H92" i="13"/>
  <c r="G90" i="13"/>
  <c r="H90" i="13"/>
  <c r="G88" i="13"/>
  <c r="H88" i="13"/>
  <c r="G86" i="13"/>
  <c r="H86" i="13"/>
  <c r="G84" i="13"/>
  <c r="H84" i="13"/>
  <c r="G82" i="13"/>
  <c r="H82" i="13"/>
  <c r="G80" i="13"/>
  <c r="H80" i="13"/>
  <c r="G78" i="13"/>
  <c r="H78" i="13"/>
  <c r="G76" i="13"/>
  <c r="H76" i="13"/>
  <c r="G74" i="13"/>
  <c r="H74" i="13"/>
  <c r="G72" i="13"/>
  <c r="H72" i="13"/>
  <c r="G70" i="13"/>
  <c r="H70" i="13"/>
  <c r="G68" i="13"/>
  <c r="H68" i="13"/>
  <c r="G66" i="13"/>
  <c r="H66" i="13"/>
  <c r="G64" i="13"/>
  <c r="H64" i="13"/>
  <c r="G62" i="13"/>
  <c r="H62" i="13"/>
  <c r="G60" i="13"/>
  <c r="H60" i="13"/>
  <c r="G58" i="13"/>
  <c r="H58" i="13"/>
  <c r="G56" i="13"/>
  <c r="H56" i="13"/>
  <c r="G54" i="13"/>
  <c r="H54" i="13"/>
  <c r="G52" i="13"/>
  <c r="H52" i="13"/>
  <c r="G50" i="13"/>
  <c r="H50" i="13"/>
  <c r="G48" i="13"/>
  <c r="H48" i="13"/>
  <c r="G46" i="13"/>
  <c r="H46" i="13"/>
  <c r="G44" i="13"/>
  <c r="H44" i="13"/>
  <c r="G42" i="13"/>
  <c r="H42" i="13"/>
  <c r="G40" i="13"/>
  <c r="H40" i="13"/>
  <c r="G38" i="13"/>
  <c r="H38" i="13"/>
  <c r="G36" i="13"/>
  <c r="H36" i="13"/>
  <c r="G34" i="13"/>
  <c r="H34" i="13"/>
  <c r="G32" i="13"/>
  <c r="H32" i="13"/>
  <c r="G30" i="13"/>
  <c r="H30" i="13"/>
  <c r="G28" i="13"/>
  <c r="H28" i="13"/>
  <c r="G26" i="13"/>
  <c r="H26" i="13"/>
  <c r="G24" i="13"/>
  <c r="H24" i="13"/>
  <c r="G22" i="13"/>
  <c r="H22" i="13"/>
  <c r="G20" i="13"/>
  <c r="H20" i="13"/>
  <c r="G18" i="13"/>
  <c r="H18" i="13"/>
  <c r="G16" i="13"/>
  <c r="H16" i="13"/>
  <c r="G14" i="13"/>
  <c r="H14" i="13"/>
  <c r="G12" i="13"/>
  <c r="H12" i="13"/>
  <c r="G10" i="13"/>
  <c r="H10" i="13"/>
  <c r="G8" i="13"/>
  <c r="H8" i="13"/>
  <c r="G6" i="13"/>
  <c r="H6" i="13"/>
  <c r="G4" i="13"/>
  <c r="H4" i="13"/>
  <c r="G1313" i="13"/>
  <c r="H1313" i="13"/>
  <c r="G1311" i="13"/>
  <c r="H1311" i="13"/>
  <c r="G1309" i="13"/>
  <c r="H1309" i="13"/>
  <c r="G1307" i="13"/>
  <c r="H1307" i="13"/>
  <c r="G1305" i="13"/>
  <c r="H1305" i="13"/>
  <c r="G1303" i="13"/>
  <c r="H1303" i="13"/>
  <c r="G1301" i="13"/>
  <c r="H1301" i="13"/>
  <c r="G1299" i="13"/>
  <c r="H1299" i="13"/>
  <c r="G1297" i="13"/>
  <c r="H1297" i="13"/>
  <c r="G1295" i="13"/>
  <c r="H1295" i="13"/>
  <c r="G1293" i="13"/>
  <c r="H1293" i="13"/>
  <c r="G1291" i="13"/>
  <c r="H1291" i="13"/>
  <c r="G1289" i="13"/>
  <c r="H1289" i="13"/>
  <c r="G1287" i="13"/>
  <c r="H1287" i="13"/>
  <c r="G1285" i="13"/>
  <c r="H1285" i="13"/>
  <c r="G1283" i="13"/>
  <c r="H1283" i="13"/>
  <c r="G1281" i="13"/>
  <c r="H1281" i="13"/>
  <c r="G1279" i="13"/>
  <c r="H1279" i="13"/>
  <c r="G1277" i="13"/>
  <c r="H1277" i="13"/>
  <c r="G1275" i="13"/>
  <c r="H1275" i="13"/>
  <c r="G1273" i="13"/>
  <c r="H1273" i="13"/>
  <c r="G1271" i="13"/>
  <c r="H1271" i="13"/>
  <c r="G1269" i="13"/>
  <c r="H1269" i="13"/>
  <c r="G1267" i="13"/>
  <c r="H1267" i="13"/>
  <c r="G1265" i="13"/>
  <c r="H1265" i="13"/>
  <c r="G1263" i="13"/>
  <c r="H1263" i="13"/>
  <c r="G1261" i="13"/>
  <c r="H1261" i="13"/>
  <c r="G1259" i="13"/>
  <c r="H1259" i="13"/>
  <c r="G1257" i="13"/>
  <c r="H1257" i="13"/>
  <c r="G1255" i="13"/>
  <c r="H1255" i="13"/>
  <c r="G1253" i="13"/>
  <c r="H1253" i="13"/>
  <c r="G1251" i="13"/>
  <c r="H1251" i="13"/>
  <c r="G1249" i="13"/>
  <c r="H1249" i="13"/>
  <c r="G1247" i="13"/>
  <c r="H1247" i="13"/>
  <c r="G1245" i="13"/>
  <c r="H1245" i="13"/>
  <c r="G1243" i="13"/>
  <c r="H1243" i="13"/>
  <c r="G1241" i="13"/>
  <c r="H1241" i="13"/>
  <c r="G1239" i="13"/>
  <c r="H1239" i="13"/>
  <c r="G1237" i="13"/>
  <c r="H1237" i="13"/>
  <c r="G1235" i="13"/>
  <c r="H1235" i="13"/>
  <c r="G1233" i="13"/>
  <c r="H1233" i="13"/>
  <c r="G1231" i="13"/>
  <c r="H1231" i="13"/>
  <c r="G1229" i="13"/>
  <c r="H1229" i="13"/>
  <c r="G1227" i="13"/>
  <c r="H1227" i="13"/>
  <c r="G1225" i="13"/>
  <c r="H1225" i="13"/>
  <c r="G1223" i="13"/>
  <c r="H1223" i="13"/>
  <c r="G1221" i="13"/>
  <c r="H1221" i="13"/>
  <c r="G1219" i="13"/>
  <c r="H1219" i="13"/>
  <c r="G1217" i="13"/>
  <c r="H1217" i="13"/>
  <c r="G1215" i="13"/>
  <c r="H1215" i="13"/>
  <c r="G1213" i="13"/>
  <c r="H1213" i="13"/>
  <c r="G1211" i="13"/>
  <c r="H1211" i="13"/>
  <c r="G1209" i="13"/>
  <c r="H1209" i="13"/>
  <c r="G1207" i="13"/>
  <c r="H1207" i="13"/>
  <c r="G1205" i="13"/>
  <c r="H1205" i="13"/>
  <c r="G1203" i="13"/>
  <c r="H1203" i="13"/>
  <c r="G1201" i="13"/>
  <c r="H1201" i="13"/>
  <c r="G1199" i="13"/>
  <c r="H1199" i="13"/>
  <c r="G1197" i="13"/>
  <c r="H1197" i="13"/>
  <c r="G1195" i="13"/>
  <c r="H1195" i="13"/>
  <c r="G1193" i="13"/>
  <c r="H1193" i="13"/>
  <c r="G1191" i="13"/>
  <c r="H1191" i="13"/>
  <c r="G1189" i="13"/>
  <c r="H1189" i="13"/>
  <c r="G1187" i="13"/>
  <c r="H1187" i="13"/>
  <c r="G1185" i="13"/>
  <c r="H1185" i="13"/>
  <c r="G1183" i="13"/>
  <c r="H1183" i="13"/>
  <c r="G1181" i="13"/>
  <c r="H1181" i="13"/>
  <c r="G1179" i="13"/>
  <c r="H1179" i="13"/>
  <c r="G1177" i="13"/>
  <c r="H1177" i="13"/>
  <c r="G1175" i="13"/>
  <c r="H1175" i="13"/>
  <c r="G1173" i="13"/>
  <c r="H1173" i="13"/>
  <c r="G1171" i="13"/>
  <c r="H1171" i="13"/>
  <c r="G1169" i="13"/>
  <c r="H1169" i="13"/>
  <c r="G1167" i="13"/>
  <c r="H1167" i="13"/>
  <c r="G1165" i="13"/>
  <c r="H1165" i="13"/>
  <c r="G1163" i="13"/>
  <c r="H1163" i="13"/>
  <c r="G1161" i="13"/>
  <c r="H1161" i="13"/>
  <c r="G1159" i="13"/>
  <c r="H1159" i="13"/>
  <c r="G1157" i="13"/>
  <c r="H1157" i="13"/>
  <c r="G1155" i="13"/>
  <c r="H1155" i="13"/>
  <c r="G1153" i="13"/>
  <c r="H1153" i="13"/>
  <c r="G1151" i="13"/>
  <c r="H1151" i="13"/>
  <c r="G1149" i="13"/>
  <c r="H1149" i="13"/>
  <c r="G1147" i="13"/>
  <c r="H1147" i="13"/>
  <c r="G1145" i="13"/>
  <c r="H1145" i="13"/>
  <c r="G1143" i="13"/>
  <c r="H1143" i="13"/>
  <c r="G1141" i="13"/>
  <c r="H1141" i="13"/>
  <c r="G1139" i="13"/>
  <c r="H1139" i="13"/>
  <c r="G1137" i="13"/>
  <c r="H1137" i="13"/>
  <c r="G1135" i="13"/>
  <c r="H1135" i="13"/>
  <c r="G1133" i="13"/>
  <c r="H1133" i="13"/>
  <c r="G1131" i="13"/>
  <c r="H1131" i="13"/>
  <c r="G1129" i="13"/>
  <c r="H1129" i="13"/>
  <c r="G1127" i="13"/>
  <c r="H1127" i="13"/>
  <c r="G1125" i="13"/>
  <c r="H1125" i="13"/>
  <c r="G1123" i="13"/>
  <c r="H1123" i="13"/>
  <c r="G1121" i="13"/>
  <c r="H1121" i="13"/>
  <c r="G1119" i="13"/>
  <c r="H1119" i="13"/>
  <c r="G1117" i="13"/>
  <c r="H1117" i="13"/>
  <c r="G1115" i="13"/>
  <c r="H1115" i="13"/>
  <c r="G1113" i="13"/>
  <c r="H1113" i="13"/>
  <c r="G1111" i="13"/>
  <c r="H1111" i="13"/>
  <c r="G1109" i="13"/>
  <c r="H1109" i="13"/>
  <c r="G1107" i="13"/>
  <c r="H1107" i="13"/>
  <c r="G1105" i="13"/>
  <c r="H1105" i="13"/>
  <c r="G1103" i="13"/>
  <c r="H1103" i="13"/>
  <c r="G1101" i="13"/>
  <c r="H1101" i="13"/>
  <c r="G1099" i="13"/>
  <c r="H1099" i="13"/>
  <c r="G1097" i="13"/>
  <c r="H1097" i="13"/>
  <c r="G1095" i="13"/>
  <c r="H1095" i="13"/>
  <c r="G1093" i="13"/>
  <c r="H1093" i="13"/>
  <c r="G1091" i="13"/>
  <c r="H1091" i="13"/>
  <c r="G1089" i="13"/>
  <c r="H1089" i="13"/>
  <c r="G1087" i="13"/>
  <c r="H1087" i="13"/>
  <c r="G1085" i="13"/>
  <c r="H1085" i="13"/>
  <c r="G1083" i="13"/>
  <c r="H1083" i="13"/>
  <c r="G1081" i="13"/>
  <c r="H1081" i="13"/>
  <c r="G1079" i="13"/>
  <c r="H1079" i="13"/>
  <c r="G1077" i="13"/>
  <c r="H1077" i="13"/>
  <c r="G1075" i="13"/>
  <c r="H1075" i="13"/>
  <c r="G1073" i="13"/>
  <c r="H1073" i="13"/>
  <c r="G1071" i="13"/>
  <c r="H1071" i="13"/>
  <c r="G1069" i="13"/>
  <c r="H1069" i="13"/>
  <c r="G1067" i="13"/>
  <c r="H1067" i="13"/>
  <c r="G1065" i="13"/>
  <c r="H1065" i="13"/>
  <c r="G1063" i="13"/>
  <c r="H1063" i="13"/>
  <c r="G1061" i="13"/>
  <c r="H1061" i="13"/>
  <c r="G1059" i="13"/>
  <c r="H1059" i="13"/>
  <c r="G1057" i="13"/>
  <c r="H1057" i="13"/>
  <c r="G1055" i="13"/>
  <c r="H1055" i="13"/>
  <c r="G1053" i="13"/>
  <c r="H1053" i="13"/>
  <c r="G1051" i="13"/>
  <c r="H1051" i="13"/>
  <c r="G1049" i="13"/>
  <c r="H1049" i="13"/>
  <c r="G1047" i="13"/>
  <c r="H1047" i="13"/>
  <c r="G1045" i="13"/>
  <c r="H1045" i="13"/>
  <c r="G1043" i="13"/>
  <c r="H1043" i="13"/>
  <c r="G1041" i="13"/>
  <c r="H1041" i="13"/>
  <c r="G1039" i="13"/>
  <c r="H1039" i="13"/>
  <c r="G1037" i="13"/>
  <c r="H1037" i="13"/>
  <c r="G1035" i="13"/>
  <c r="H1035" i="13"/>
  <c r="G1033" i="13"/>
  <c r="H1033" i="13"/>
  <c r="G1031" i="13"/>
  <c r="H1031" i="13"/>
  <c r="G1029" i="13"/>
  <c r="H1029" i="13"/>
  <c r="G1027" i="13"/>
  <c r="H1027" i="13"/>
  <c r="G1025" i="13"/>
  <c r="H1025" i="13"/>
  <c r="G1023" i="13"/>
  <c r="H1023" i="13"/>
  <c r="G1021" i="13"/>
  <c r="H1021" i="13"/>
  <c r="G1019" i="13"/>
  <c r="H1019" i="13"/>
  <c r="G1017" i="13"/>
  <c r="H1017" i="13"/>
  <c r="G1015" i="13"/>
  <c r="H1015" i="13"/>
  <c r="G1013" i="13"/>
  <c r="H1013" i="13"/>
  <c r="G1011" i="13"/>
  <c r="H1011" i="13"/>
  <c r="G1009" i="13"/>
  <c r="H1009" i="13"/>
  <c r="G1007" i="13"/>
  <c r="H1007" i="13"/>
  <c r="G1005" i="13"/>
  <c r="H1005" i="13"/>
  <c r="G1003" i="13"/>
  <c r="H1003" i="13"/>
  <c r="G1001" i="13"/>
  <c r="H1001" i="13"/>
  <c r="G999" i="13"/>
  <c r="H999" i="13"/>
  <c r="G997" i="13"/>
  <c r="H997" i="13"/>
  <c r="G995" i="13"/>
  <c r="H995" i="13"/>
  <c r="G993" i="13"/>
  <c r="H993" i="13"/>
  <c r="G991" i="13"/>
  <c r="H991" i="13"/>
  <c r="G989" i="13"/>
  <c r="H989" i="13"/>
  <c r="G987" i="13"/>
  <c r="H987" i="13"/>
  <c r="G985" i="13"/>
  <c r="H985" i="13"/>
  <c r="G983" i="13"/>
  <c r="H983" i="13"/>
  <c r="G981" i="13"/>
  <c r="H981" i="13"/>
  <c r="G979" i="13"/>
  <c r="H979" i="13"/>
  <c r="G977" i="13"/>
  <c r="H977" i="13"/>
  <c r="G975" i="13"/>
  <c r="H975" i="13"/>
  <c r="G973" i="13"/>
  <c r="H973" i="13"/>
  <c r="G971" i="13"/>
  <c r="H971" i="13"/>
  <c r="G969" i="13"/>
  <c r="H969" i="13"/>
  <c r="G967" i="13"/>
  <c r="H967" i="13"/>
  <c r="G965" i="13"/>
  <c r="H965" i="13"/>
  <c r="G963" i="13"/>
  <c r="H963" i="13"/>
  <c r="G961" i="13"/>
  <c r="H961" i="13"/>
  <c r="G959" i="13"/>
  <c r="H959" i="13"/>
  <c r="G957" i="13"/>
  <c r="H957" i="13"/>
  <c r="G955" i="13"/>
  <c r="H955" i="13"/>
  <c r="G953" i="13"/>
  <c r="H953" i="13"/>
  <c r="G951" i="13"/>
  <c r="H951" i="13"/>
  <c r="G949" i="13"/>
  <c r="H949" i="13"/>
  <c r="G947" i="13"/>
  <c r="H947" i="13"/>
  <c r="G945" i="13"/>
  <c r="H945" i="13"/>
  <c r="G943" i="13"/>
  <c r="H943" i="13"/>
  <c r="G941" i="13"/>
  <c r="H941" i="13"/>
  <c r="G939" i="13"/>
  <c r="H939" i="13"/>
  <c r="G937" i="13"/>
  <c r="H937" i="13"/>
  <c r="G935" i="13"/>
  <c r="H935" i="13"/>
  <c r="G933" i="13"/>
  <c r="H933" i="13"/>
  <c r="G931" i="13"/>
  <c r="H931" i="13"/>
  <c r="G929" i="13"/>
  <c r="H929" i="13"/>
  <c r="G927" i="13"/>
  <c r="H927" i="13"/>
  <c r="G925" i="13"/>
  <c r="H925" i="13"/>
  <c r="G923" i="13"/>
  <c r="H923" i="13"/>
  <c r="G921" i="13"/>
  <c r="H921" i="13"/>
  <c r="G919" i="13"/>
  <c r="H919" i="13"/>
  <c r="G917" i="13"/>
  <c r="H917" i="13"/>
  <c r="G915" i="13"/>
  <c r="H915" i="13"/>
  <c r="G913" i="13"/>
  <c r="H913" i="13"/>
  <c r="G911" i="13"/>
  <c r="H911" i="13"/>
  <c r="G909" i="13"/>
  <c r="H909" i="13"/>
  <c r="G907" i="13"/>
  <c r="H907" i="13"/>
  <c r="G905" i="13"/>
  <c r="H905" i="13"/>
  <c r="G903" i="13"/>
  <c r="H903" i="13"/>
  <c r="G901" i="13"/>
  <c r="H901" i="13"/>
  <c r="G899" i="13"/>
  <c r="H899" i="13"/>
  <c r="G897" i="13"/>
  <c r="H897" i="13"/>
  <c r="G895" i="13"/>
  <c r="H895" i="13"/>
  <c r="G893" i="13"/>
  <c r="H893" i="13"/>
  <c r="G891" i="13"/>
  <c r="H891" i="13"/>
  <c r="G889" i="13"/>
  <c r="H889" i="13"/>
  <c r="G887" i="13"/>
  <c r="H887" i="13"/>
  <c r="G885" i="13"/>
  <c r="H885" i="13"/>
  <c r="G883" i="13"/>
  <c r="H883" i="13"/>
  <c r="G881" i="13"/>
  <c r="H881" i="13"/>
  <c r="G879" i="13"/>
  <c r="H879" i="13"/>
  <c r="G877" i="13"/>
  <c r="H877" i="13"/>
  <c r="G875" i="13"/>
  <c r="H875" i="13"/>
  <c r="G873" i="13"/>
  <c r="H873" i="13"/>
  <c r="G871" i="13"/>
  <c r="H871" i="13"/>
  <c r="G869" i="13"/>
  <c r="H869" i="13"/>
  <c r="G867" i="13"/>
  <c r="H867" i="13"/>
  <c r="G865" i="13"/>
  <c r="H865" i="13"/>
  <c r="G863" i="13"/>
  <c r="H863" i="13"/>
  <c r="G861" i="13"/>
  <c r="H861" i="13"/>
  <c r="G859" i="13"/>
  <c r="H859" i="13"/>
  <c r="G857" i="13"/>
  <c r="H857" i="13"/>
  <c r="G855" i="13"/>
  <c r="H855" i="13"/>
  <c r="G853" i="13"/>
  <c r="H853" i="13"/>
  <c r="G851" i="13"/>
  <c r="H851" i="13"/>
  <c r="G849" i="13"/>
  <c r="H849" i="13"/>
  <c r="G847" i="13"/>
  <c r="H847" i="13"/>
  <c r="G845" i="13"/>
  <c r="H845" i="13"/>
  <c r="G843" i="13"/>
  <c r="H843" i="13"/>
  <c r="G841" i="13"/>
  <c r="H841" i="13"/>
  <c r="G839" i="13"/>
  <c r="H839" i="13"/>
  <c r="G837" i="13"/>
  <c r="H837" i="13"/>
  <c r="G835" i="13"/>
  <c r="H835" i="13"/>
  <c r="G833" i="13"/>
  <c r="H833" i="13"/>
  <c r="G831" i="13"/>
  <c r="H831" i="13"/>
  <c r="G829" i="13"/>
  <c r="H829" i="13"/>
  <c r="G827" i="13"/>
  <c r="H827" i="13"/>
  <c r="G825" i="13"/>
  <c r="H825" i="13"/>
  <c r="G823" i="13"/>
  <c r="H823" i="13"/>
  <c r="G821" i="13"/>
  <c r="H821" i="13"/>
  <c r="G819" i="13"/>
  <c r="H819" i="13"/>
  <c r="G817" i="13"/>
  <c r="H817" i="13"/>
  <c r="G815" i="13"/>
  <c r="H815" i="13"/>
  <c r="G813" i="13"/>
  <c r="H813" i="13"/>
  <c r="G811" i="13"/>
  <c r="H811" i="13"/>
  <c r="G809" i="13"/>
  <c r="H809" i="13"/>
  <c r="G807" i="13"/>
  <c r="H807" i="13"/>
  <c r="G805" i="13"/>
  <c r="H805" i="13"/>
  <c r="G803" i="13"/>
  <c r="H803" i="13"/>
  <c r="G801" i="13"/>
  <c r="H801" i="13"/>
  <c r="G799" i="13"/>
  <c r="H799" i="13"/>
  <c r="G797" i="13"/>
  <c r="H797" i="13"/>
  <c r="G795" i="13"/>
  <c r="H795" i="13"/>
  <c r="G793" i="13"/>
  <c r="H793" i="13"/>
  <c r="G791" i="13"/>
  <c r="H791" i="13"/>
  <c r="G789" i="13"/>
  <c r="H789" i="13"/>
  <c r="G787" i="13"/>
  <c r="H787" i="13"/>
  <c r="G785" i="13"/>
  <c r="H785" i="13"/>
  <c r="G783" i="13"/>
  <c r="H783" i="13"/>
  <c r="G781" i="13"/>
  <c r="H781" i="13"/>
  <c r="G779" i="13"/>
  <c r="H779" i="13"/>
  <c r="G777" i="13"/>
  <c r="H777" i="13"/>
  <c r="G775" i="13"/>
  <c r="H775" i="13"/>
  <c r="G773" i="13"/>
  <c r="H773" i="13"/>
  <c r="G771" i="13"/>
  <c r="H771" i="13"/>
  <c r="G769" i="13"/>
  <c r="H769" i="13"/>
  <c r="G767" i="13"/>
  <c r="H767" i="13"/>
  <c r="G765" i="13"/>
  <c r="H765" i="13"/>
  <c r="G763" i="13"/>
  <c r="H763" i="13"/>
  <c r="G761" i="13"/>
  <c r="H761" i="13"/>
  <c r="G759" i="13"/>
  <c r="H759" i="13"/>
  <c r="G757" i="13"/>
  <c r="H757" i="13"/>
  <c r="G755" i="13"/>
  <c r="H755" i="13"/>
  <c r="G753" i="13"/>
  <c r="H753" i="13"/>
  <c r="G751" i="13"/>
  <c r="H751" i="13"/>
  <c r="G749" i="13"/>
  <c r="H749" i="13"/>
  <c r="G747" i="13"/>
  <c r="H747" i="13"/>
  <c r="G745" i="13"/>
  <c r="H745" i="13"/>
  <c r="G743" i="13"/>
  <c r="H743" i="13"/>
  <c r="G741" i="13"/>
  <c r="H741" i="13"/>
  <c r="G739" i="13"/>
  <c r="H739" i="13"/>
  <c r="G737" i="13"/>
  <c r="H737" i="13"/>
  <c r="G735" i="13"/>
  <c r="H735" i="13"/>
  <c r="G733" i="13"/>
  <c r="H733" i="13"/>
  <c r="G731" i="13"/>
  <c r="H731" i="13"/>
  <c r="G729" i="13"/>
  <c r="H729" i="13"/>
  <c r="G727" i="13"/>
  <c r="H727" i="13"/>
  <c r="G725" i="13"/>
  <c r="H725" i="13"/>
  <c r="G723" i="13"/>
  <c r="H723" i="13"/>
  <c r="G721" i="13"/>
  <c r="H721" i="13"/>
  <c r="G719" i="13"/>
  <c r="H719" i="13"/>
  <c r="G717" i="13"/>
  <c r="H717" i="13"/>
  <c r="G715" i="13"/>
  <c r="H715" i="13"/>
  <c r="G713" i="13"/>
  <c r="H713" i="13"/>
  <c r="G711" i="13"/>
  <c r="H711" i="13"/>
  <c r="G709" i="13"/>
  <c r="H709" i="13"/>
  <c r="G707" i="13"/>
  <c r="H707" i="13"/>
  <c r="G705" i="13"/>
  <c r="H705" i="13"/>
  <c r="G703" i="13"/>
  <c r="H703" i="13"/>
  <c r="G701" i="13"/>
  <c r="H701" i="13"/>
  <c r="G699" i="13"/>
  <c r="H699" i="13"/>
  <c r="G697" i="13"/>
  <c r="H697" i="13"/>
  <c r="G695" i="13"/>
  <c r="H695" i="13"/>
  <c r="G693" i="13"/>
  <c r="H693" i="13"/>
  <c r="G691" i="13"/>
  <c r="H691" i="13"/>
  <c r="G689" i="13"/>
  <c r="H689" i="13"/>
  <c r="G687" i="13"/>
  <c r="H687" i="13"/>
  <c r="G685" i="13"/>
  <c r="H685" i="13"/>
  <c r="G683" i="13"/>
  <c r="H683" i="13"/>
  <c r="G681" i="13"/>
  <c r="H681" i="13"/>
  <c r="G679" i="13"/>
  <c r="H679" i="13"/>
  <c r="G677" i="13"/>
  <c r="H677" i="13"/>
  <c r="G675" i="13"/>
  <c r="H675" i="13"/>
  <c r="G673" i="13"/>
  <c r="H673" i="13"/>
  <c r="G671" i="13"/>
  <c r="H671" i="13"/>
  <c r="G669" i="13"/>
  <c r="H669" i="13"/>
  <c r="G667" i="13"/>
  <c r="H667" i="13"/>
  <c r="G665" i="13"/>
  <c r="H665" i="13"/>
  <c r="G663" i="13"/>
  <c r="H663" i="13"/>
  <c r="G661" i="13"/>
  <c r="H661" i="13"/>
  <c r="G659" i="13"/>
  <c r="H659" i="13"/>
  <c r="G657" i="13"/>
  <c r="H657" i="13"/>
  <c r="G655" i="13"/>
  <c r="H655" i="13"/>
  <c r="G653" i="13"/>
  <c r="H653" i="13"/>
  <c r="G651" i="13"/>
  <c r="H651" i="13"/>
  <c r="G649" i="13"/>
  <c r="H649" i="13"/>
  <c r="G647" i="13"/>
  <c r="H647" i="13"/>
  <c r="G645" i="13"/>
  <c r="H645" i="13"/>
  <c r="G643" i="13"/>
  <c r="H643" i="13"/>
  <c r="G641" i="13"/>
  <c r="H641" i="13"/>
  <c r="G639" i="13"/>
  <c r="H639" i="13"/>
  <c r="G637" i="13"/>
  <c r="H637" i="13"/>
  <c r="G635" i="13"/>
  <c r="H635" i="13"/>
  <c r="G633" i="13"/>
  <c r="H633" i="13"/>
  <c r="G631" i="13"/>
  <c r="H631" i="13"/>
  <c r="G629" i="13"/>
  <c r="H629" i="13"/>
  <c r="G627" i="13"/>
  <c r="H627" i="13"/>
  <c r="G625" i="13"/>
  <c r="H625" i="13"/>
  <c r="G623" i="13"/>
  <c r="H623" i="13"/>
  <c r="G621" i="13"/>
  <c r="H621" i="13"/>
  <c r="G619" i="13"/>
  <c r="H619" i="13"/>
  <c r="G617" i="13"/>
  <c r="H617" i="13"/>
  <c r="G615" i="13"/>
  <c r="H615" i="13"/>
  <c r="G613" i="13"/>
  <c r="H613" i="13"/>
  <c r="G611" i="13"/>
  <c r="H611" i="13"/>
  <c r="G609" i="13"/>
  <c r="H609" i="13"/>
  <c r="G607" i="13"/>
  <c r="H607" i="13"/>
  <c r="G605" i="13"/>
  <c r="H605" i="13"/>
  <c r="G603" i="13"/>
  <c r="H603" i="13"/>
  <c r="G601" i="13"/>
  <c r="H601" i="13"/>
  <c r="G599" i="13"/>
  <c r="H599" i="13"/>
  <c r="G597" i="13"/>
  <c r="H597" i="13"/>
  <c r="G595" i="13"/>
  <c r="H595" i="13"/>
  <c r="G593" i="13"/>
  <c r="H593" i="13"/>
  <c r="G591" i="13"/>
  <c r="H591" i="13"/>
  <c r="G589" i="13"/>
  <c r="H589" i="13"/>
  <c r="G587" i="13"/>
  <c r="H587" i="13"/>
  <c r="G585" i="13"/>
  <c r="H585" i="13"/>
  <c r="G583" i="13"/>
  <c r="H583" i="13"/>
  <c r="G581" i="13"/>
  <c r="H581" i="13"/>
  <c r="G579" i="13"/>
  <c r="H579" i="13"/>
  <c r="G577" i="13"/>
  <c r="H577" i="13"/>
  <c r="G575" i="13"/>
  <c r="H575" i="13"/>
  <c r="G573" i="13"/>
  <c r="H573" i="13"/>
  <c r="G571" i="13"/>
  <c r="H571" i="13"/>
  <c r="G569" i="13"/>
  <c r="H569" i="13"/>
  <c r="G567" i="13"/>
  <c r="H567" i="13"/>
  <c r="G565" i="13"/>
  <c r="H565" i="13"/>
  <c r="G563" i="13"/>
  <c r="H563" i="13"/>
  <c r="G561" i="13"/>
  <c r="H561" i="13"/>
  <c r="G559" i="13"/>
  <c r="H559" i="13"/>
  <c r="G557" i="13"/>
  <c r="H557" i="13"/>
  <c r="G555" i="13"/>
  <c r="H555" i="13"/>
  <c r="G553" i="13"/>
  <c r="H553" i="13"/>
  <c r="G551" i="13"/>
  <c r="H551" i="13"/>
  <c r="G549" i="13"/>
  <c r="H549" i="13"/>
  <c r="G547" i="13"/>
  <c r="H547" i="13"/>
  <c r="G545" i="13"/>
  <c r="H545" i="13"/>
  <c r="G543" i="13"/>
  <c r="H543" i="13"/>
  <c r="G541" i="13"/>
  <c r="H541" i="13"/>
  <c r="G539" i="13"/>
  <c r="H539" i="13"/>
  <c r="G537" i="13"/>
  <c r="H537" i="13"/>
  <c r="G535" i="13"/>
  <c r="H535" i="13"/>
  <c r="G533" i="13"/>
  <c r="H533" i="13"/>
  <c r="G531" i="13"/>
  <c r="H531" i="13"/>
  <c r="G529" i="13"/>
  <c r="H529" i="13"/>
  <c r="G527" i="13"/>
  <c r="H527" i="13"/>
  <c r="G525" i="13"/>
  <c r="H525" i="13"/>
  <c r="G523" i="13"/>
  <c r="H523" i="13"/>
  <c r="G521" i="13"/>
  <c r="H521" i="13"/>
  <c r="G519" i="13"/>
  <c r="H519" i="13"/>
  <c r="G517" i="13"/>
  <c r="H517" i="13"/>
  <c r="G515" i="13"/>
  <c r="H515" i="13"/>
  <c r="G513" i="13"/>
  <c r="H513" i="13"/>
  <c r="G511" i="13"/>
  <c r="H511" i="13"/>
  <c r="G509" i="13"/>
  <c r="H509" i="13"/>
  <c r="G507" i="13"/>
  <c r="H507" i="13"/>
  <c r="G505" i="13"/>
  <c r="H505" i="13"/>
  <c r="G503" i="13"/>
  <c r="H503" i="13"/>
  <c r="G501" i="13"/>
  <c r="H501" i="13"/>
  <c r="G499" i="13"/>
  <c r="H499" i="13"/>
  <c r="G497" i="13"/>
  <c r="H497" i="13"/>
  <c r="G495" i="13"/>
  <c r="H495" i="13"/>
  <c r="G493" i="13"/>
  <c r="H493" i="13"/>
  <c r="G491" i="13"/>
  <c r="H491" i="13"/>
  <c r="G489" i="13"/>
  <c r="H489" i="13"/>
  <c r="G487" i="13"/>
  <c r="H487" i="13"/>
  <c r="G485" i="13"/>
  <c r="H485" i="13"/>
  <c r="G483" i="13"/>
  <c r="H483" i="13"/>
  <c r="G481" i="13"/>
  <c r="H481" i="13"/>
  <c r="G479" i="13"/>
  <c r="H479" i="13"/>
  <c r="G477" i="13"/>
  <c r="H477" i="13"/>
  <c r="G475" i="13"/>
  <c r="H475" i="13"/>
  <c r="G473" i="13"/>
  <c r="H473" i="13"/>
  <c r="G471" i="13"/>
  <c r="H471" i="13"/>
  <c r="G469" i="13"/>
  <c r="H469" i="13"/>
  <c r="G467" i="13"/>
  <c r="H467" i="13"/>
  <c r="G465" i="13"/>
  <c r="H465" i="13"/>
  <c r="G463" i="13"/>
  <c r="H463" i="13"/>
  <c r="G461" i="13"/>
  <c r="H461" i="13"/>
  <c r="G459" i="13"/>
  <c r="H459" i="13"/>
  <c r="G457" i="13"/>
  <c r="H457" i="13"/>
  <c r="G455" i="13"/>
  <c r="H455" i="13"/>
  <c r="G453" i="13"/>
  <c r="H453" i="13"/>
  <c r="G451" i="13"/>
  <c r="H451" i="13"/>
  <c r="G449" i="13"/>
  <c r="H449" i="13"/>
  <c r="G447" i="13"/>
  <c r="H447" i="13"/>
  <c r="G445" i="13"/>
  <c r="H445" i="13"/>
  <c r="G443" i="13"/>
  <c r="H443" i="13"/>
  <c r="G441" i="13"/>
  <c r="H441" i="13"/>
  <c r="G439" i="13"/>
  <c r="H439" i="13"/>
  <c r="G437" i="13"/>
  <c r="H437" i="13"/>
  <c r="G435" i="13"/>
  <c r="H435" i="13"/>
  <c r="G433" i="13"/>
  <c r="H433" i="13"/>
  <c r="G431" i="13"/>
  <c r="H431" i="13"/>
  <c r="G429" i="13"/>
  <c r="H429" i="13"/>
  <c r="G427" i="13"/>
  <c r="H427" i="13"/>
  <c r="G425" i="13"/>
  <c r="H425" i="13"/>
  <c r="G423" i="13"/>
  <c r="H423" i="13"/>
  <c r="G421" i="13"/>
  <c r="H421" i="13"/>
  <c r="G419" i="13"/>
  <c r="H419" i="13"/>
  <c r="G417" i="13"/>
  <c r="H417" i="13"/>
  <c r="G415" i="13"/>
  <c r="H415" i="13"/>
  <c r="G413" i="13"/>
  <c r="H413" i="13"/>
  <c r="G411" i="13"/>
  <c r="H411" i="13"/>
  <c r="G409" i="13"/>
  <c r="H409" i="13"/>
  <c r="G407" i="13"/>
  <c r="H407" i="13"/>
  <c r="G405" i="13"/>
  <c r="H405" i="13"/>
  <c r="G403" i="13"/>
  <c r="H403" i="13"/>
  <c r="G401" i="13"/>
  <c r="H401" i="13"/>
  <c r="G399" i="13"/>
  <c r="H399" i="13"/>
  <c r="G397" i="13"/>
  <c r="H397" i="13"/>
  <c r="G395" i="13"/>
  <c r="H395" i="13"/>
  <c r="G393" i="13"/>
  <c r="H393" i="13"/>
  <c r="G391" i="13"/>
  <c r="H391" i="13"/>
  <c r="G389" i="13"/>
  <c r="H389" i="13"/>
  <c r="G387" i="13"/>
  <c r="H387" i="13"/>
  <c r="G385" i="13"/>
  <c r="H385" i="13"/>
  <c r="G383" i="13"/>
  <c r="H383" i="13"/>
  <c r="G381" i="13"/>
  <c r="H381" i="13"/>
  <c r="G379" i="13"/>
  <c r="H379" i="13"/>
  <c r="G377" i="13"/>
  <c r="H377" i="13"/>
  <c r="G375" i="13"/>
  <c r="H375" i="13"/>
  <c r="G373" i="13"/>
  <c r="H373" i="13"/>
  <c r="G371" i="13"/>
  <c r="H371" i="13"/>
  <c r="G369" i="13"/>
  <c r="H369" i="13"/>
  <c r="G367" i="13"/>
  <c r="H367" i="13"/>
  <c r="G365" i="13"/>
  <c r="H365" i="13"/>
  <c r="G363" i="13"/>
  <c r="H363" i="13"/>
  <c r="G361" i="13"/>
  <c r="H361" i="13"/>
  <c r="G359" i="13"/>
  <c r="H359" i="13"/>
  <c r="G357" i="13"/>
  <c r="H357" i="13"/>
  <c r="G355" i="13"/>
  <c r="H355" i="13"/>
  <c r="G353" i="13"/>
  <c r="H353" i="13"/>
  <c r="G351" i="13"/>
  <c r="H351" i="13"/>
  <c r="G349" i="13"/>
  <c r="H349" i="13"/>
  <c r="G347" i="13"/>
  <c r="H347" i="13"/>
  <c r="G345" i="13"/>
  <c r="H345" i="13"/>
  <c r="G343" i="13"/>
  <c r="H343" i="13"/>
  <c r="G341" i="13"/>
  <c r="H341" i="13"/>
  <c r="G339" i="13"/>
  <c r="H339" i="13"/>
  <c r="G337" i="13"/>
  <c r="H337" i="13"/>
  <c r="G335" i="13"/>
  <c r="H335" i="13"/>
  <c r="G333" i="13"/>
  <c r="H333" i="13"/>
  <c r="G331" i="13"/>
  <c r="H331" i="13"/>
  <c r="G329" i="13"/>
  <c r="H329" i="13"/>
  <c r="G327" i="13"/>
  <c r="H327" i="13"/>
  <c r="G325" i="13"/>
  <c r="H325" i="13"/>
  <c r="G323" i="13"/>
  <c r="H323" i="13"/>
  <c r="G321" i="13"/>
  <c r="H321" i="13"/>
  <c r="G319" i="13"/>
  <c r="H319" i="13"/>
  <c r="G317" i="13"/>
  <c r="H317" i="13"/>
  <c r="G315" i="13"/>
  <c r="H315" i="13"/>
  <c r="G313" i="13"/>
  <c r="H313" i="13"/>
  <c r="G311" i="13"/>
  <c r="H311" i="13"/>
  <c r="G309" i="13"/>
  <c r="H309" i="13"/>
  <c r="G307" i="13"/>
  <c r="H307" i="13"/>
  <c r="G305" i="13"/>
  <c r="H305" i="13"/>
  <c r="G303" i="13"/>
  <c r="H303" i="13"/>
  <c r="G301" i="13"/>
  <c r="H301" i="13"/>
  <c r="G299" i="13"/>
  <c r="H299" i="13"/>
  <c r="G297" i="13"/>
  <c r="H297" i="13"/>
  <c r="G295" i="13"/>
  <c r="H295" i="13"/>
  <c r="G293" i="13"/>
  <c r="H293" i="13"/>
  <c r="G291" i="13"/>
  <c r="H291" i="13"/>
  <c r="G289" i="13"/>
  <c r="H289" i="13"/>
  <c r="G287" i="13"/>
  <c r="H287" i="13"/>
  <c r="G285" i="13"/>
  <c r="H285" i="13"/>
  <c r="G283" i="13"/>
  <c r="H283" i="13"/>
  <c r="G281" i="13"/>
  <c r="H281" i="13"/>
  <c r="G279" i="13"/>
  <c r="H279" i="13"/>
  <c r="G277" i="13"/>
  <c r="H277" i="13"/>
  <c r="G275" i="13"/>
  <c r="H275" i="13"/>
  <c r="G273" i="13"/>
  <c r="H273" i="13"/>
  <c r="G271" i="13"/>
  <c r="H271" i="13"/>
  <c r="G269" i="13"/>
  <c r="H269" i="13"/>
  <c r="G267" i="13"/>
  <c r="H267" i="13"/>
  <c r="G265" i="13"/>
  <c r="H265" i="13"/>
  <c r="G263" i="13"/>
  <c r="H263" i="13"/>
  <c r="G261" i="13"/>
  <c r="H261" i="13"/>
  <c r="G259" i="13"/>
  <c r="H259" i="13"/>
  <c r="G257" i="13"/>
  <c r="H257" i="13"/>
  <c r="G255" i="13"/>
  <c r="H255" i="13"/>
  <c r="G253" i="13"/>
  <c r="H253" i="13"/>
  <c r="G251" i="13"/>
  <c r="H251" i="13"/>
  <c r="G249" i="13"/>
  <c r="H249" i="13"/>
  <c r="G247" i="13"/>
  <c r="H247" i="13"/>
  <c r="G245" i="13"/>
  <c r="H245" i="13"/>
  <c r="G243" i="13"/>
  <c r="H243" i="13"/>
  <c r="G241" i="13"/>
  <c r="H241" i="13"/>
  <c r="G239" i="13"/>
  <c r="H239" i="13"/>
  <c r="G237" i="13"/>
  <c r="H237" i="13"/>
  <c r="G235" i="13"/>
  <c r="H235" i="13"/>
  <c r="G233" i="13"/>
  <c r="H233" i="13"/>
  <c r="G231" i="13"/>
  <c r="H231" i="13"/>
  <c r="G229" i="13"/>
  <c r="H229" i="13"/>
  <c r="G227" i="13"/>
  <c r="H227" i="13"/>
  <c r="G225" i="13"/>
  <c r="H225" i="13"/>
  <c r="G223" i="13"/>
  <c r="H223" i="13"/>
  <c r="G221" i="13"/>
  <c r="H221" i="13"/>
  <c r="G219" i="13"/>
  <c r="H219" i="13"/>
  <c r="G217" i="13"/>
  <c r="H217" i="13"/>
  <c r="G215" i="13"/>
  <c r="H215" i="13"/>
  <c r="G213" i="13"/>
  <c r="H213" i="13"/>
  <c r="G211" i="13"/>
  <c r="H211" i="13"/>
  <c r="G209" i="13"/>
  <c r="H209" i="13"/>
  <c r="G207" i="13"/>
  <c r="H207" i="13"/>
  <c r="G205" i="13"/>
  <c r="H205" i="13"/>
  <c r="G203" i="13"/>
  <c r="H203" i="13"/>
  <c r="G201" i="13"/>
  <c r="H201" i="13"/>
  <c r="G199" i="13"/>
  <c r="H199" i="13"/>
  <c r="G197" i="13"/>
  <c r="H197" i="13"/>
  <c r="G195" i="13"/>
  <c r="H195" i="13"/>
  <c r="G193" i="13"/>
  <c r="H193" i="13"/>
  <c r="G191" i="13"/>
  <c r="H191" i="13"/>
  <c r="G189" i="13"/>
  <c r="H189" i="13"/>
  <c r="G187" i="13"/>
  <c r="H187" i="13"/>
  <c r="G185" i="13"/>
  <c r="H185" i="13"/>
  <c r="G183" i="13"/>
  <c r="H183" i="13"/>
  <c r="G181" i="13"/>
  <c r="H181" i="13"/>
  <c r="G179" i="13"/>
  <c r="H179" i="13"/>
  <c r="G177" i="13"/>
  <c r="H177" i="13"/>
  <c r="G175" i="13"/>
  <c r="H175" i="13"/>
  <c r="G173" i="13"/>
  <c r="H173" i="13"/>
  <c r="G171" i="13"/>
  <c r="H171" i="13"/>
  <c r="G169" i="13"/>
  <c r="H169" i="13"/>
  <c r="G167" i="13"/>
  <c r="H167" i="13"/>
  <c r="G165" i="13"/>
  <c r="H165" i="13"/>
  <c r="G163" i="13"/>
  <c r="H163" i="13"/>
  <c r="G161" i="13"/>
  <c r="H161" i="13"/>
  <c r="G159" i="13"/>
  <c r="H159" i="13"/>
  <c r="G157" i="13"/>
  <c r="H157" i="13"/>
  <c r="G155" i="13"/>
  <c r="H155" i="13"/>
  <c r="G153" i="13"/>
  <c r="H153" i="13"/>
  <c r="G151" i="13"/>
  <c r="H151" i="13"/>
  <c r="G149" i="13"/>
  <c r="H149" i="13"/>
  <c r="G147" i="13"/>
  <c r="H147" i="13"/>
  <c r="G145" i="13"/>
  <c r="H145" i="13"/>
  <c r="G143" i="13"/>
  <c r="H143" i="13"/>
  <c r="G141" i="13"/>
  <c r="H141" i="13"/>
  <c r="G139" i="13"/>
  <c r="H139" i="13"/>
  <c r="G137" i="13"/>
  <c r="H137" i="13"/>
  <c r="G135" i="13"/>
  <c r="H135" i="13"/>
  <c r="G133" i="13"/>
  <c r="H133" i="13"/>
  <c r="G131" i="13"/>
  <c r="H131" i="13"/>
  <c r="G129" i="13"/>
  <c r="H129" i="13"/>
  <c r="G127" i="13"/>
  <c r="H127" i="13"/>
  <c r="G125" i="13"/>
  <c r="H125" i="13"/>
  <c r="G123" i="13"/>
  <c r="H123" i="13"/>
  <c r="G121" i="13"/>
  <c r="H121" i="13"/>
  <c r="G119" i="13"/>
  <c r="H119" i="13"/>
  <c r="G117" i="13"/>
  <c r="H117" i="13"/>
  <c r="G115" i="13"/>
  <c r="H115" i="13"/>
  <c r="G113" i="13"/>
  <c r="H113" i="13"/>
  <c r="G111" i="13"/>
  <c r="H111" i="13"/>
  <c r="G109" i="13"/>
  <c r="H109" i="13"/>
  <c r="G107" i="13"/>
  <c r="H107" i="13"/>
  <c r="G105" i="13"/>
  <c r="H105" i="13"/>
  <c r="G103" i="13"/>
  <c r="H103" i="13"/>
  <c r="G101" i="13"/>
  <c r="H101" i="13"/>
  <c r="G99" i="13"/>
  <c r="H99" i="13"/>
  <c r="G97" i="13"/>
  <c r="H97" i="13"/>
  <c r="G95" i="13"/>
  <c r="H95" i="13"/>
  <c r="G93" i="13"/>
  <c r="H93" i="13"/>
  <c r="G91" i="13"/>
  <c r="H91" i="13"/>
  <c r="G89" i="13"/>
  <c r="H89" i="13"/>
  <c r="G87" i="13"/>
  <c r="H87" i="13"/>
  <c r="G85" i="13"/>
  <c r="H85" i="13"/>
  <c r="G83" i="13"/>
  <c r="H83" i="13"/>
  <c r="G81" i="13"/>
  <c r="H81" i="13"/>
  <c r="G79" i="13"/>
  <c r="H79" i="13"/>
  <c r="G77" i="13"/>
  <c r="H77" i="13"/>
  <c r="G75" i="13"/>
  <c r="H75" i="13"/>
  <c r="G73" i="13"/>
  <c r="H73" i="13"/>
  <c r="G71" i="13"/>
  <c r="H71" i="13"/>
  <c r="G69" i="13"/>
  <c r="H69" i="13"/>
  <c r="G67" i="13"/>
  <c r="H67" i="13"/>
  <c r="G65" i="13"/>
  <c r="H65" i="13"/>
  <c r="G63" i="13"/>
  <c r="H63" i="13"/>
  <c r="G61" i="13"/>
  <c r="H61" i="13"/>
  <c r="G59" i="13"/>
  <c r="H59" i="13"/>
  <c r="G57" i="13"/>
  <c r="H57" i="13"/>
  <c r="G55" i="13"/>
  <c r="H55" i="13"/>
  <c r="G53" i="13"/>
  <c r="H53" i="13"/>
  <c r="G51" i="13"/>
  <c r="H51" i="13"/>
  <c r="G49" i="13"/>
  <c r="H49" i="13"/>
  <c r="G47" i="13"/>
  <c r="H47" i="13"/>
  <c r="G45" i="13"/>
  <c r="H45" i="13"/>
  <c r="G43" i="13"/>
  <c r="H43" i="13"/>
  <c r="G41" i="13"/>
  <c r="H41" i="13"/>
  <c r="G39" i="13"/>
  <c r="H39" i="13"/>
  <c r="G37" i="13"/>
  <c r="H37" i="13"/>
  <c r="G35" i="13"/>
  <c r="H35" i="13"/>
  <c r="G33" i="13"/>
  <c r="H33" i="13"/>
  <c r="G31" i="13"/>
  <c r="H31" i="13"/>
  <c r="G29" i="13"/>
  <c r="H29" i="13"/>
  <c r="G27" i="13"/>
  <c r="H27" i="13"/>
  <c r="G25" i="13"/>
  <c r="H25" i="13"/>
  <c r="G23" i="13"/>
  <c r="H23" i="13"/>
  <c r="G21" i="13"/>
  <c r="H21" i="13"/>
  <c r="G19" i="13"/>
  <c r="H19" i="13"/>
  <c r="G17" i="13"/>
  <c r="H17" i="13"/>
  <c r="G15" i="13"/>
  <c r="H15" i="13"/>
  <c r="G13" i="13"/>
  <c r="H13" i="13"/>
  <c r="G11" i="13"/>
  <c r="H11" i="13"/>
  <c r="G9" i="13"/>
  <c r="H9" i="13"/>
  <c r="G7" i="13"/>
  <c r="H7" i="13"/>
  <c r="G5" i="13"/>
  <c r="H5" i="13"/>
  <c r="G3" i="13"/>
  <c r="H3" i="13"/>
  <c r="F10" i="13"/>
  <c r="F8" i="13"/>
  <c r="F6" i="13"/>
  <c r="F4" i="13"/>
  <c r="F12" i="13"/>
  <c r="F9" i="13"/>
  <c r="F5" i="13"/>
  <c r="G1282" i="13"/>
  <c r="G1252" i="13"/>
  <c r="G1236" i="13"/>
  <c r="G1216" i="13"/>
  <c r="K16" i="6"/>
  <c r="K17" i="6"/>
  <c r="K37" i="6"/>
  <c r="K62" i="6"/>
  <c r="K71" i="6"/>
  <c r="K90" i="6"/>
  <c r="K120" i="6"/>
  <c r="K19" i="6"/>
  <c r="K4" i="6"/>
  <c r="K5" i="6"/>
  <c r="K6" i="6"/>
  <c r="K7" i="6"/>
  <c r="K8" i="6"/>
  <c r="K9" i="6"/>
  <c r="K11" i="6"/>
  <c r="K12" i="6"/>
  <c r="K13" i="6"/>
  <c r="K14" i="6"/>
  <c r="K15" i="6"/>
  <c r="K18" i="6"/>
  <c r="K20" i="6"/>
  <c r="K21" i="6"/>
  <c r="K22" i="6"/>
  <c r="K23" i="6"/>
  <c r="K24" i="6"/>
  <c r="K25" i="6"/>
  <c r="K26" i="6"/>
  <c r="K27" i="6"/>
  <c r="K28" i="6"/>
  <c r="K32" i="6"/>
  <c r="K33" i="6"/>
  <c r="K35" i="6"/>
  <c r="K36" i="6"/>
  <c r="K38" i="6"/>
  <c r="K39" i="6"/>
  <c r="K40" i="6"/>
  <c r="K41" i="6"/>
  <c r="K42" i="6"/>
  <c r="K43" i="6"/>
  <c r="K44" i="6"/>
  <c r="K45" i="6"/>
  <c r="K46" i="6"/>
  <c r="K47" i="6"/>
  <c r="K48" i="6"/>
  <c r="K49" i="6"/>
  <c r="K50" i="6"/>
  <c r="K51" i="6"/>
  <c r="K52" i="6"/>
  <c r="K53" i="6"/>
  <c r="K54" i="6"/>
  <c r="K55" i="6"/>
  <c r="K56" i="6"/>
  <c r="K57" i="6"/>
  <c r="K58" i="6"/>
  <c r="K59" i="6"/>
  <c r="K60" i="6"/>
  <c r="K61" i="6"/>
  <c r="K63" i="6"/>
  <c r="K64" i="6"/>
  <c r="K65" i="6"/>
  <c r="K66" i="6"/>
  <c r="K67" i="6"/>
  <c r="K68" i="6"/>
  <c r="K69" i="6"/>
  <c r="K70" i="6"/>
  <c r="K72" i="6"/>
  <c r="K73" i="6"/>
  <c r="K74" i="6"/>
  <c r="K75" i="6"/>
  <c r="K76" i="6"/>
  <c r="K77" i="6"/>
  <c r="K78" i="6"/>
  <c r="K79" i="6"/>
  <c r="K80" i="6"/>
  <c r="K81" i="6"/>
  <c r="K83" i="6"/>
  <c r="K84" i="6"/>
  <c r="K85" i="6"/>
  <c r="K86" i="6"/>
  <c r="K87" i="6"/>
  <c r="K88" i="6"/>
  <c r="K89" i="6"/>
  <c r="K91" i="6"/>
  <c r="K92" i="6"/>
  <c r="K93" i="6"/>
  <c r="K94" i="6"/>
  <c r="K95" i="6"/>
  <c r="K96" i="6"/>
  <c r="K97" i="6"/>
  <c r="K100" i="6"/>
  <c r="K101" i="6"/>
  <c r="K106" i="6"/>
  <c r="K107" i="6"/>
  <c r="K108" i="6"/>
  <c r="K109" i="6"/>
  <c r="K110" i="6"/>
  <c r="K111" i="6"/>
  <c r="K112" i="6"/>
  <c r="K113" i="6"/>
  <c r="K114" i="6"/>
  <c r="K115" i="6"/>
  <c r="K116" i="6"/>
  <c r="K117" i="6"/>
  <c r="K118" i="6"/>
  <c r="K119" i="6"/>
  <c r="K98" i="6"/>
  <c r="K99" i="6"/>
  <c r="K102" i="6"/>
  <c r="K103" i="6"/>
  <c r="K105" i="6"/>
  <c r="K10" i="6"/>
  <c r="K29" i="6"/>
  <c r="K30" i="6"/>
  <c r="K31" i="6"/>
  <c r="K82" i="6"/>
  <c r="K104" i="6"/>
  <c r="K34" i="6"/>
  <c r="I4" i="6"/>
  <c r="J4" i="6" s="1"/>
  <c r="I5" i="6"/>
  <c r="J5" i="6" s="1"/>
  <c r="I6" i="6"/>
  <c r="J6" i="6" s="1"/>
  <c r="I7" i="6"/>
  <c r="J7" i="6" s="1"/>
  <c r="I8" i="6"/>
  <c r="J8" i="6" s="1"/>
  <c r="I9" i="6"/>
  <c r="J9" i="6" s="1"/>
  <c r="I10" i="6"/>
  <c r="J10" i="6" s="1"/>
  <c r="I11" i="6"/>
  <c r="J11" i="6" s="1"/>
  <c r="I12" i="6"/>
  <c r="J12" i="6" s="1"/>
  <c r="I13" i="6"/>
  <c r="J13" i="6" s="1"/>
  <c r="I14" i="6"/>
  <c r="J14" i="6" s="1"/>
  <c r="I15" i="6"/>
  <c r="J15" i="6" s="1"/>
  <c r="I16" i="6"/>
  <c r="J16" i="6" s="1"/>
  <c r="I17" i="6"/>
  <c r="J17" i="6" s="1"/>
  <c r="I18" i="6"/>
  <c r="J18" i="6" s="1"/>
  <c r="I19" i="6"/>
  <c r="J19" i="6" s="1"/>
  <c r="I20" i="6"/>
  <c r="J20" i="6" s="1"/>
  <c r="I21" i="6"/>
  <c r="J21" i="6" s="1"/>
  <c r="I22" i="6"/>
  <c r="J22" i="6" s="1"/>
  <c r="I23" i="6"/>
  <c r="J23" i="6" s="1"/>
  <c r="I24" i="6"/>
  <c r="J24" i="6" s="1"/>
  <c r="I25" i="6"/>
  <c r="J25" i="6" s="1"/>
  <c r="I26" i="6"/>
  <c r="J26" i="6" s="1"/>
  <c r="I27" i="6"/>
  <c r="J27" i="6" s="1"/>
  <c r="I28" i="6"/>
  <c r="J28" i="6" s="1"/>
  <c r="I29" i="6"/>
  <c r="J29" i="6" s="1"/>
  <c r="I30" i="6"/>
  <c r="J30" i="6" s="1"/>
  <c r="I31" i="6"/>
  <c r="J31" i="6" s="1"/>
  <c r="I32" i="6"/>
  <c r="J32" i="6" s="1"/>
  <c r="I33" i="6"/>
  <c r="J33" i="6" s="1"/>
  <c r="I34" i="6"/>
  <c r="J34" i="6" s="1"/>
  <c r="I35" i="6"/>
  <c r="J35" i="6" s="1"/>
  <c r="I36" i="6"/>
  <c r="J36" i="6" s="1"/>
  <c r="I37" i="6"/>
  <c r="J37" i="6" s="1"/>
  <c r="I38" i="6"/>
  <c r="J38" i="6" s="1"/>
  <c r="I39" i="6"/>
  <c r="J39" i="6" s="1"/>
  <c r="I40" i="6"/>
  <c r="J40" i="6" s="1"/>
  <c r="I41" i="6"/>
  <c r="J41" i="6" s="1"/>
  <c r="I42" i="6"/>
  <c r="J42" i="6" s="1"/>
  <c r="I43" i="6"/>
  <c r="J43" i="6" s="1"/>
  <c r="I44" i="6"/>
  <c r="J44" i="6" s="1"/>
  <c r="I45" i="6"/>
  <c r="J45" i="6" s="1"/>
  <c r="I46" i="6"/>
  <c r="J46" i="6" s="1"/>
  <c r="I47" i="6"/>
  <c r="J47" i="6" s="1"/>
  <c r="I48" i="6"/>
  <c r="J48" i="6" s="1"/>
  <c r="I49" i="6"/>
  <c r="J49" i="6" s="1"/>
  <c r="I50" i="6"/>
  <c r="J50" i="6" s="1"/>
  <c r="I51" i="6"/>
  <c r="J51" i="6" s="1"/>
  <c r="I52" i="6"/>
  <c r="J52" i="6" s="1"/>
  <c r="I53" i="6"/>
  <c r="J53" i="6" s="1"/>
  <c r="I54" i="6"/>
  <c r="J54" i="6" s="1"/>
  <c r="I55" i="6"/>
  <c r="J55" i="6" s="1"/>
  <c r="I56" i="6"/>
  <c r="J56" i="6" s="1"/>
  <c r="I57" i="6"/>
  <c r="J57" i="6" s="1"/>
  <c r="I58" i="6"/>
  <c r="J58" i="6" s="1"/>
  <c r="I59" i="6"/>
  <c r="J59" i="6" s="1"/>
  <c r="I60" i="6"/>
  <c r="J60" i="6" s="1"/>
  <c r="I61" i="6"/>
  <c r="J61" i="6" s="1"/>
  <c r="I62" i="6"/>
  <c r="J62" i="6" s="1"/>
  <c r="I63" i="6"/>
  <c r="J63" i="6" s="1"/>
  <c r="I64" i="6"/>
  <c r="J64" i="6" s="1"/>
  <c r="I65" i="6"/>
  <c r="J65" i="6" s="1"/>
  <c r="I66" i="6"/>
  <c r="J66" i="6" s="1"/>
  <c r="I67" i="6"/>
  <c r="J67" i="6" s="1"/>
  <c r="I68" i="6"/>
  <c r="J68" i="6" s="1"/>
  <c r="I69" i="6"/>
  <c r="J69" i="6" s="1"/>
  <c r="I70" i="6"/>
  <c r="J70" i="6" s="1"/>
  <c r="I71" i="6"/>
  <c r="J71" i="6" s="1"/>
  <c r="I72" i="6"/>
  <c r="J72" i="6" s="1"/>
  <c r="I73" i="6"/>
  <c r="J73" i="6" s="1"/>
  <c r="I74" i="6"/>
  <c r="J74" i="6" s="1"/>
  <c r="I75" i="6"/>
  <c r="J75" i="6" s="1"/>
  <c r="I76" i="6"/>
  <c r="J76" i="6" s="1"/>
  <c r="I77" i="6"/>
  <c r="J77" i="6" s="1"/>
  <c r="I78" i="6"/>
  <c r="J78" i="6" s="1"/>
  <c r="I79" i="6"/>
  <c r="J79" i="6" s="1"/>
  <c r="I80" i="6"/>
  <c r="J80" i="6" s="1"/>
  <c r="I81" i="6"/>
  <c r="J81" i="6" s="1"/>
  <c r="I82" i="6"/>
  <c r="J82" i="6" s="1"/>
  <c r="I83" i="6"/>
  <c r="J83" i="6" s="1"/>
  <c r="I84" i="6"/>
  <c r="J84" i="6" s="1"/>
  <c r="I85" i="6"/>
  <c r="J85" i="6" s="1"/>
  <c r="I86" i="6"/>
  <c r="J86" i="6" s="1"/>
  <c r="I87" i="6"/>
  <c r="J87" i="6" s="1"/>
  <c r="I88" i="6"/>
  <c r="J88" i="6" s="1"/>
  <c r="I89" i="6"/>
  <c r="J89" i="6" s="1"/>
  <c r="I90" i="6"/>
  <c r="J90" i="6" s="1"/>
  <c r="I91" i="6"/>
  <c r="J91" i="6" s="1"/>
  <c r="I92" i="6"/>
  <c r="J92" i="6" s="1"/>
  <c r="I93" i="6"/>
  <c r="J93" i="6" s="1"/>
  <c r="I94" i="6"/>
  <c r="J94" i="6" s="1"/>
  <c r="I95" i="6"/>
  <c r="J95" i="6" s="1"/>
  <c r="I96" i="6"/>
  <c r="J96" i="6" s="1"/>
  <c r="I97" i="6"/>
  <c r="J97" i="6" s="1"/>
  <c r="I98" i="6"/>
  <c r="J98" i="6" s="1"/>
  <c r="I99" i="6"/>
  <c r="J99" i="6" s="1"/>
  <c r="I100" i="6"/>
  <c r="J100" i="6" s="1"/>
  <c r="I101" i="6"/>
  <c r="J101" i="6" s="1"/>
  <c r="I102" i="6"/>
  <c r="J102" i="6" s="1"/>
  <c r="I103" i="6"/>
  <c r="J103" i="6" s="1"/>
  <c r="I104" i="6"/>
  <c r="J104" i="6" s="1"/>
  <c r="I105" i="6"/>
  <c r="J105" i="6" s="1"/>
  <c r="I106" i="6"/>
  <c r="J106" i="6" s="1"/>
  <c r="I107" i="6"/>
  <c r="J107" i="6" s="1"/>
  <c r="I108" i="6"/>
  <c r="J108" i="6" s="1"/>
  <c r="I109" i="6"/>
  <c r="J109" i="6" s="1"/>
  <c r="I110" i="6"/>
  <c r="J110" i="6" s="1"/>
  <c r="I111" i="6"/>
  <c r="J111" i="6" s="1"/>
  <c r="I112" i="6"/>
  <c r="J112" i="6" s="1"/>
  <c r="I113" i="6"/>
  <c r="J113" i="6" s="1"/>
  <c r="I114" i="6"/>
  <c r="J114" i="6" s="1"/>
  <c r="I115" i="6"/>
  <c r="J115" i="6" s="1"/>
  <c r="I116" i="6"/>
  <c r="J116" i="6" s="1"/>
  <c r="I117" i="6"/>
  <c r="J117" i="6" s="1"/>
  <c r="I118" i="6"/>
  <c r="J118" i="6" s="1"/>
  <c r="I119" i="6"/>
  <c r="J119" i="6" s="1"/>
  <c r="I120" i="6"/>
  <c r="J120" i="6" s="1"/>
  <c r="B4" i="9" l="1"/>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152" i="8"/>
  <c r="B153" i="8"/>
  <c r="B7" i="8"/>
  <c r="B4" i="8"/>
  <c r="B20" i="8"/>
  <c r="B45" i="8"/>
  <c r="B46" i="8"/>
  <c r="B47" i="8"/>
  <c r="B8" i="8"/>
  <c r="B154" i="8"/>
  <c r="B155" i="8"/>
  <c r="B18" i="8"/>
  <c r="B99" i="8"/>
  <c r="B42" i="8"/>
  <c r="B115" i="8"/>
  <c r="B12" i="8"/>
  <c r="B48" i="8"/>
  <c r="B41" i="8"/>
  <c r="B100" i="8"/>
  <c r="B21" i="8"/>
  <c r="B22" i="8"/>
  <c r="B23" i="8"/>
  <c r="B166" i="8"/>
  <c r="B49" i="8"/>
  <c r="B50" i="8"/>
  <c r="B116" i="8"/>
  <c r="B51" i="8"/>
  <c r="B52" i="8"/>
  <c r="B117" i="8"/>
  <c r="B13" i="8"/>
  <c r="B9" i="8"/>
  <c r="B53" i="8"/>
  <c r="B54" i="8"/>
  <c r="B149" i="8"/>
  <c r="B101" i="8"/>
  <c r="B80" i="8"/>
  <c r="B118" i="8"/>
  <c r="B55" i="8"/>
  <c r="B164" i="8"/>
  <c r="B81" i="8"/>
  <c r="B94" i="8"/>
  <c r="B78" i="8"/>
  <c r="B137" i="8"/>
  <c r="B39" i="8"/>
  <c r="B40" i="8"/>
  <c r="B119" i="8"/>
  <c r="B120" i="8"/>
  <c r="B121" i="8"/>
  <c r="B122" i="8"/>
  <c r="B56" i="8"/>
  <c r="B57" i="8"/>
  <c r="B58" i="8"/>
  <c r="B24" i="8"/>
  <c r="B138" i="8"/>
  <c r="B25" i="8"/>
  <c r="B26" i="8"/>
  <c r="B27" i="8"/>
  <c r="B28" i="8"/>
  <c r="B29" i="8"/>
  <c r="B30" i="8"/>
  <c r="B102" i="8"/>
  <c r="B103" i="8"/>
  <c r="B139" i="8"/>
  <c r="B19" i="8"/>
  <c r="B59" i="8"/>
  <c r="B60" i="8"/>
  <c r="B61" i="8"/>
  <c r="B62" i="8"/>
  <c r="B85" i="8"/>
  <c r="B140" i="8"/>
  <c r="B10" i="8"/>
  <c r="B63" i="8"/>
  <c r="B160" i="8"/>
  <c r="B64" i="8"/>
  <c r="B113" i="8"/>
  <c r="B114" i="8"/>
  <c r="B65" i="8"/>
  <c r="B66" i="8"/>
  <c r="B104" i="8"/>
  <c r="B145" i="8"/>
  <c r="B31" i="8"/>
  <c r="B32" i="8"/>
  <c r="B79" i="8"/>
  <c r="B95" i="8"/>
  <c r="B96" i="8"/>
  <c r="B33" i="8"/>
  <c r="B156" i="8"/>
  <c r="B14" i="8"/>
  <c r="B123" i="8"/>
  <c r="B34" i="8"/>
  <c r="B89" i="8"/>
  <c r="B76" i="8"/>
  <c r="B15" i="8"/>
  <c r="B146" i="8"/>
  <c r="B35" i="8"/>
  <c r="B6" i="8"/>
  <c r="B105" i="8"/>
  <c r="B161" i="8"/>
  <c r="B162" i="8"/>
  <c r="B67" i="8"/>
  <c r="B68" i="8"/>
  <c r="B124" i="8"/>
  <c r="B97" i="8"/>
  <c r="B112" i="8"/>
  <c r="B150" i="8"/>
  <c r="B151" i="8"/>
  <c r="B157" i="8"/>
  <c r="B141" i="8"/>
  <c r="B36" i="8"/>
  <c r="B69" i="8"/>
  <c r="B125" i="8"/>
  <c r="B126" i="8"/>
  <c r="B127" i="8"/>
  <c r="B90" i="8"/>
  <c r="B108" i="8"/>
  <c r="B109" i="8"/>
  <c r="B16" i="8"/>
  <c r="B110" i="8"/>
  <c r="B5" i="8"/>
  <c r="B128" i="8"/>
  <c r="B82" i="8"/>
  <c r="B83" i="8"/>
  <c r="B86" i="8"/>
  <c r="B111" i="8"/>
  <c r="B11" i="8"/>
  <c r="B77" i="8"/>
  <c r="B147" i="8"/>
  <c r="B148" i="8"/>
  <c r="B129" i="8"/>
  <c r="B142" i="8"/>
  <c r="B70" i="8"/>
  <c r="B106" i="8"/>
  <c r="B87" i="8"/>
  <c r="B130" i="8"/>
  <c r="B131" i="8"/>
  <c r="B167" i="8"/>
  <c r="B158" i="8"/>
  <c r="B159" i="8"/>
  <c r="B91" i="8"/>
  <c r="B92" i="8"/>
  <c r="B37" i="8"/>
  <c r="B71" i="8"/>
  <c r="B163" i="8"/>
  <c r="B93" i="8"/>
  <c r="B143" i="8"/>
  <c r="B144" i="8"/>
  <c r="B165" i="8"/>
  <c r="B17" i="8"/>
  <c r="B38" i="8"/>
  <c r="B43" i="8"/>
  <c r="B107" i="8"/>
  <c r="B44" i="8"/>
  <c r="B72" i="8"/>
  <c r="B84" i="8"/>
  <c r="B73" i="8"/>
  <c r="B74" i="8"/>
  <c r="B75" i="8"/>
  <c r="B132" i="8"/>
  <c r="B88" i="8"/>
  <c r="B133" i="8"/>
  <c r="B134" i="8"/>
  <c r="B135" i="8"/>
  <c r="B136" i="8"/>
  <c r="B98" i="8"/>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5" i="6"/>
  <c r="B74" i="6"/>
  <c r="B76" i="6"/>
  <c r="B77" i="6"/>
  <c r="B78" i="6"/>
  <c r="B79" i="6"/>
  <c r="B80" i="6"/>
  <c r="B81" i="6"/>
  <c r="B82" i="6"/>
  <c r="B83" i="6"/>
  <c r="B84" i="6"/>
  <c r="B85" i="6"/>
  <c r="B86" i="6"/>
  <c r="B87" i="6"/>
  <c r="B88" i="6"/>
  <c r="B89" i="6"/>
  <c r="B90" i="6"/>
  <c r="B92" i="6"/>
  <c r="B91"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S3" i="1" l="1"/>
  <c r="S4" i="1"/>
  <c r="S5" i="1"/>
  <c r="I6" i="8" s="1"/>
  <c r="S6" i="1"/>
  <c r="S7" i="1"/>
  <c r="S8" i="1"/>
  <c r="I16" i="8" s="1"/>
  <c r="S9" i="1"/>
  <c r="I17" i="8" s="1"/>
  <c r="S10" i="1"/>
  <c r="S11" i="1"/>
  <c r="I20" i="8" s="1"/>
  <c r="S12" i="1"/>
  <c r="S13" i="1"/>
  <c r="S14" i="1"/>
  <c r="S15" i="1"/>
  <c r="S16" i="1"/>
  <c r="I41" i="8" s="1"/>
  <c r="S17" i="1"/>
  <c r="S18" i="1"/>
  <c r="S19" i="1"/>
  <c r="S20" i="1"/>
  <c r="S21" i="1"/>
  <c r="S22" i="1"/>
  <c r="S23" i="1"/>
  <c r="S24" i="1"/>
  <c r="S25" i="1"/>
  <c r="I93" i="8" s="1"/>
  <c r="S26" i="1"/>
  <c r="I94" i="8" s="1"/>
  <c r="S27" i="1"/>
  <c r="S28" i="1"/>
  <c r="S29" i="1"/>
  <c r="S30" i="1"/>
  <c r="S31" i="1"/>
  <c r="S32" i="1"/>
  <c r="I112" i="8" s="1"/>
  <c r="S33" i="1"/>
  <c r="S34" i="1"/>
  <c r="S35" i="1"/>
  <c r="S36" i="1"/>
  <c r="S37" i="1"/>
  <c r="S38" i="1"/>
  <c r="S39" i="1"/>
  <c r="S40" i="1"/>
  <c r="S41" i="1"/>
  <c r="S42" i="1"/>
  <c r="S43" i="1"/>
  <c r="S44" i="1"/>
  <c r="S45" i="1"/>
  <c r="S46" i="1"/>
  <c r="S47" i="1"/>
  <c r="I152" i="8" l="1"/>
  <c r="I158" i="8"/>
  <c r="I155" i="8"/>
  <c r="I153" i="8"/>
  <c r="I159" i="8"/>
  <c r="I156" i="8"/>
  <c r="I154" i="8"/>
  <c r="I157" i="8"/>
  <c r="I164" i="8"/>
  <c r="I165" i="8"/>
  <c r="I118" i="8"/>
  <c r="I125" i="8"/>
  <c r="I134" i="8"/>
  <c r="I119" i="8"/>
  <c r="I128" i="8"/>
  <c r="I135" i="8"/>
  <c r="I120" i="8"/>
  <c r="I127" i="8"/>
  <c r="I136" i="8"/>
  <c r="I121" i="8"/>
  <c r="I130" i="8"/>
  <c r="I117" i="8"/>
  <c r="I122" i="8"/>
  <c r="I129" i="8"/>
  <c r="I115" i="8"/>
  <c r="I124" i="8"/>
  <c r="I132" i="8"/>
  <c r="I123" i="8"/>
  <c r="I131" i="8"/>
  <c r="I116" i="8"/>
  <c r="I126" i="8"/>
  <c r="I133" i="8"/>
  <c r="I25" i="8"/>
  <c r="I35" i="8"/>
  <c r="I21" i="8"/>
  <c r="I30" i="8"/>
  <c r="I38" i="8"/>
  <c r="I27" i="8"/>
  <c r="I36" i="8"/>
  <c r="I23" i="8"/>
  <c r="I32" i="8"/>
  <c r="I31" i="8"/>
  <c r="I34" i="8"/>
  <c r="I22" i="8"/>
  <c r="I29" i="8"/>
  <c r="I37" i="8"/>
  <c r="I26" i="8"/>
  <c r="I33" i="8"/>
  <c r="I24" i="8"/>
  <c r="I28" i="8"/>
  <c r="I147" i="8"/>
  <c r="I148" i="8"/>
  <c r="I145" i="8"/>
  <c r="I146" i="8"/>
  <c r="I113" i="8"/>
  <c r="I114" i="8"/>
  <c r="I110" i="8"/>
  <c r="I111" i="8"/>
  <c r="I108" i="8"/>
  <c r="I109" i="8"/>
  <c r="I96" i="8"/>
  <c r="I95" i="8"/>
  <c r="I87" i="8"/>
  <c r="I88" i="8"/>
  <c r="I85" i="8"/>
  <c r="I86" i="8"/>
  <c r="I76" i="8"/>
  <c r="I77" i="8"/>
  <c r="I14" i="8"/>
  <c r="I15" i="8"/>
  <c r="I12" i="8"/>
  <c r="I13" i="8"/>
  <c r="I4" i="8"/>
  <c r="I5" i="8"/>
  <c r="I137" i="8"/>
  <c r="I140" i="8"/>
  <c r="I139" i="8"/>
  <c r="I141" i="8"/>
  <c r="I144" i="8"/>
  <c r="I143" i="8"/>
  <c r="I142" i="8"/>
  <c r="I138" i="8"/>
  <c r="I151" i="8"/>
  <c r="I149" i="8"/>
  <c r="I150" i="8"/>
  <c r="I90" i="8"/>
  <c r="I92" i="8"/>
  <c r="I91" i="8"/>
  <c r="I89" i="8"/>
  <c r="I166" i="8"/>
  <c r="I167" i="8"/>
  <c r="I160" i="8"/>
  <c r="I161" i="8"/>
  <c r="I162" i="8"/>
  <c r="I163" i="8"/>
  <c r="I102" i="8"/>
  <c r="I103" i="8"/>
  <c r="I107" i="8"/>
  <c r="I99" i="8"/>
  <c r="I104" i="8"/>
  <c r="I106" i="8"/>
  <c r="I100" i="8"/>
  <c r="I105" i="8"/>
  <c r="I101" i="8"/>
  <c r="I80" i="8"/>
  <c r="I81" i="8"/>
  <c r="I82" i="8"/>
  <c r="I83" i="8"/>
  <c r="I84" i="8"/>
  <c r="I50" i="8"/>
  <c r="I59" i="8"/>
  <c r="I70" i="8"/>
  <c r="I47" i="8"/>
  <c r="I53" i="8"/>
  <c r="I60" i="8"/>
  <c r="I66" i="8"/>
  <c r="I73" i="8"/>
  <c r="I46" i="8"/>
  <c r="I52" i="8"/>
  <c r="I71" i="8"/>
  <c r="I51" i="8"/>
  <c r="I61" i="8"/>
  <c r="I72" i="8"/>
  <c r="I48" i="8"/>
  <c r="I55" i="8"/>
  <c r="I62" i="8"/>
  <c r="I67" i="8"/>
  <c r="I74" i="8"/>
  <c r="I68" i="8"/>
  <c r="I58" i="8"/>
  <c r="I54" i="8"/>
  <c r="I65" i="8"/>
  <c r="I75" i="8"/>
  <c r="I49" i="8"/>
  <c r="I56" i="8"/>
  <c r="I63" i="8"/>
  <c r="I69" i="8"/>
  <c r="I57" i="8"/>
  <c r="I45" i="8"/>
  <c r="I64" i="8"/>
  <c r="I18" i="8"/>
  <c r="I19" i="8"/>
  <c r="I8" i="8"/>
  <c r="I7" i="8"/>
  <c r="I9" i="8"/>
  <c r="I11" i="8"/>
  <c r="I10" i="8"/>
  <c r="I98" i="8"/>
  <c r="I97" i="8"/>
  <c r="I78" i="8"/>
  <c r="I79" i="8"/>
  <c r="I44" i="8"/>
  <c r="I42" i="8"/>
  <c r="I43" i="8"/>
  <c r="I40" i="8"/>
  <c r="I39" i="8"/>
  <c r="P3" i="1"/>
  <c r="P4" i="1"/>
  <c r="P5" i="1"/>
  <c r="P6" i="1"/>
  <c r="P7" i="1"/>
  <c r="P8" i="1"/>
  <c r="P9" i="1"/>
  <c r="P10" i="1"/>
  <c r="P12" i="1"/>
  <c r="P13" i="1"/>
  <c r="P14" i="1"/>
  <c r="P15" i="1"/>
  <c r="P16" i="1"/>
  <c r="P18" i="1"/>
  <c r="P19" i="1"/>
  <c r="P20" i="1"/>
  <c r="P21" i="1"/>
  <c r="P23" i="1"/>
  <c r="P26" i="1"/>
  <c r="P27" i="1"/>
  <c r="P29" i="1"/>
  <c r="P30" i="1"/>
  <c r="P31" i="1"/>
  <c r="P32" i="1"/>
  <c r="P33" i="1"/>
  <c r="P34" i="1"/>
  <c r="P35" i="1"/>
  <c r="P36" i="1"/>
  <c r="P37" i="1"/>
  <c r="P38" i="1"/>
  <c r="P39" i="1"/>
  <c r="P40" i="1"/>
  <c r="P41" i="1"/>
  <c r="P42" i="1"/>
  <c r="P43" i="1"/>
  <c r="P44" i="1"/>
  <c r="P45" i="1"/>
  <c r="P17" i="1"/>
  <c r="P25" i="1"/>
  <c r="P46" i="1"/>
  <c r="P24" i="1"/>
  <c r="P28" i="1"/>
  <c r="P11" i="1"/>
  <c r="P22" i="1"/>
  <c r="P47" i="1"/>
  <c r="N3" i="1"/>
  <c r="N4" i="1"/>
  <c r="N5" i="1"/>
  <c r="N6" i="1"/>
  <c r="N7" i="1"/>
  <c r="N8" i="1"/>
  <c r="N9" i="1"/>
  <c r="N10" i="1"/>
  <c r="N12" i="1"/>
  <c r="N13" i="1"/>
  <c r="N14" i="1"/>
  <c r="N15" i="1"/>
  <c r="N16" i="1"/>
  <c r="N18" i="1"/>
  <c r="N19" i="1"/>
  <c r="N20" i="1"/>
  <c r="N21" i="1"/>
  <c r="N23" i="1"/>
  <c r="N26" i="1"/>
  <c r="N27" i="1"/>
  <c r="N29" i="1"/>
  <c r="N30" i="1"/>
  <c r="N31" i="1"/>
  <c r="N32" i="1"/>
  <c r="N33" i="1"/>
  <c r="N34" i="1"/>
  <c r="N35" i="1"/>
  <c r="N36" i="1"/>
  <c r="N37" i="1"/>
  <c r="N38" i="1"/>
  <c r="N39" i="1"/>
  <c r="N40" i="1"/>
  <c r="N41" i="1"/>
  <c r="N42" i="1"/>
  <c r="N43" i="1"/>
  <c r="N44" i="1"/>
  <c r="N45" i="1"/>
  <c r="N17" i="1"/>
  <c r="N25" i="1"/>
  <c r="N46" i="1"/>
  <c r="N24" i="1"/>
  <c r="N28" i="1"/>
  <c r="N11" i="1"/>
  <c r="N22" i="1"/>
  <c r="N47" i="1"/>
  <c r="L3" i="1"/>
  <c r="L4" i="1"/>
  <c r="L5" i="1"/>
  <c r="L6" i="1"/>
  <c r="L7" i="1"/>
  <c r="L8" i="1"/>
  <c r="L9" i="1"/>
  <c r="L10" i="1"/>
  <c r="L12" i="1"/>
  <c r="L13" i="1"/>
  <c r="L14" i="1"/>
  <c r="L15" i="1"/>
  <c r="L16" i="1"/>
  <c r="L18" i="1"/>
  <c r="L19" i="1"/>
  <c r="L20" i="1"/>
  <c r="L21" i="1"/>
  <c r="L23" i="1"/>
  <c r="L26" i="1"/>
  <c r="L27" i="1"/>
  <c r="L29" i="1"/>
  <c r="L30" i="1"/>
  <c r="L31" i="1"/>
  <c r="L32" i="1"/>
  <c r="L33" i="1"/>
  <c r="L34" i="1"/>
  <c r="L35" i="1"/>
  <c r="L36" i="1"/>
  <c r="L37" i="1"/>
  <c r="L38" i="1"/>
  <c r="L39" i="1"/>
  <c r="L40" i="1"/>
  <c r="L41" i="1"/>
  <c r="L42" i="1"/>
  <c r="L43" i="1"/>
  <c r="L44" i="1"/>
  <c r="L45" i="1"/>
  <c r="L17" i="1"/>
  <c r="L25" i="1"/>
  <c r="L46" i="1"/>
  <c r="L24" i="1"/>
  <c r="L28" i="1"/>
  <c r="L11" i="1"/>
  <c r="L22" i="1"/>
  <c r="L47" i="1"/>
  <c r="J3" i="1"/>
  <c r="J4" i="1"/>
  <c r="J5" i="1"/>
  <c r="J6" i="1"/>
  <c r="J7" i="1"/>
  <c r="J8" i="1"/>
  <c r="J9" i="1"/>
  <c r="J10" i="1"/>
  <c r="J12" i="1"/>
  <c r="J13" i="1"/>
  <c r="J14" i="1"/>
  <c r="J15" i="1"/>
  <c r="J16" i="1"/>
  <c r="J18" i="1"/>
  <c r="J19" i="1"/>
  <c r="J20" i="1"/>
  <c r="J21" i="1"/>
  <c r="J23" i="1"/>
  <c r="J26" i="1"/>
  <c r="J27" i="1"/>
  <c r="J29" i="1"/>
  <c r="J30" i="1"/>
  <c r="J31" i="1"/>
  <c r="J32" i="1"/>
  <c r="J33" i="1"/>
  <c r="J34" i="1"/>
  <c r="J35" i="1"/>
  <c r="J36" i="1"/>
  <c r="J37" i="1"/>
  <c r="J38" i="1"/>
  <c r="J39" i="1"/>
  <c r="J40" i="1"/>
  <c r="J41" i="1"/>
  <c r="J42" i="1"/>
  <c r="J43" i="1"/>
  <c r="J44" i="1"/>
  <c r="J45" i="1"/>
  <c r="J17" i="1"/>
  <c r="J25" i="1"/>
  <c r="J46" i="1"/>
  <c r="J24" i="1"/>
  <c r="J28" i="1"/>
  <c r="J11" i="1"/>
  <c r="J22" i="1"/>
  <c r="J47" i="1"/>
  <c r="H3" i="1"/>
  <c r="H4" i="1"/>
  <c r="H5" i="1"/>
  <c r="H6" i="1"/>
  <c r="H7" i="1"/>
  <c r="H8" i="1"/>
  <c r="H9" i="1"/>
  <c r="H10" i="1"/>
  <c r="H12" i="1"/>
  <c r="H13" i="1"/>
  <c r="H14" i="1"/>
  <c r="H15" i="1"/>
  <c r="H16" i="1"/>
  <c r="H18" i="1"/>
  <c r="H19" i="1"/>
  <c r="H20" i="1"/>
  <c r="H21" i="1"/>
  <c r="H23" i="1"/>
  <c r="H26" i="1"/>
  <c r="H27" i="1"/>
  <c r="H29" i="1"/>
  <c r="H30" i="1"/>
  <c r="H31" i="1"/>
  <c r="H32" i="1"/>
  <c r="H33" i="1"/>
  <c r="H34" i="1"/>
  <c r="H35" i="1"/>
  <c r="H36" i="1"/>
  <c r="H37" i="1"/>
  <c r="H38" i="1"/>
  <c r="H39" i="1"/>
  <c r="H40" i="1"/>
  <c r="H41" i="1"/>
  <c r="H42" i="1"/>
  <c r="H43" i="1"/>
  <c r="H44" i="1"/>
  <c r="H45" i="1"/>
  <c r="H17" i="1"/>
  <c r="H25" i="1"/>
  <c r="H46" i="1"/>
  <c r="H24" i="1"/>
  <c r="H28" i="1"/>
  <c r="H11" i="1"/>
  <c r="H22" i="1"/>
  <c r="H47" i="1"/>
  <c r="E41" i="9"/>
  <c r="E14" i="9"/>
  <c r="E40" i="9"/>
  <c r="E5" i="9"/>
  <c r="E39" i="9"/>
  <c r="E38" i="9"/>
  <c r="E17" i="9"/>
  <c r="E37" i="9"/>
  <c r="E13" i="9"/>
  <c r="E36" i="9"/>
  <c r="E35" i="9"/>
  <c r="E12" i="9"/>
  <c r="E34" i="9"/>
  <c r="E11" i="9"/>
  <c r="E33" i="9"/>
  <c r="E32" i="9"/>
  <c r="E10" i="9"/>
  <c r="E31" i="9"/>
  <c r="E18" i="9"/>
  <c r="E30" i="9"/>
  <c r="E4" i="9"/>
  <c r="E9" i="9"/>
  <c r="E29" i="9"/>
  <c r="E16" i="9"/>
  <c r="E28" i="9"/>
  <c r="E8" i="9"/>
  <c r="E27" i="9"/>
  <c r="E7" i="9"/>
  <c r="E15" i="9"/>
  <c r="E26" i="9"/>
  <c r="E25" i="9"/>
  <c r="E24" i="9"/>
  <c r="E23" i="9"/>
  <c r="E22" i="9"/>
  <c r="E6" i="9"/>
  <c r="E21" i="9"/>
  <c r="E20" i="9"/>
  <c r="E19" i="9"/>
  <c r="E98" i="8"/>
  <c r="E136" i="8"/>
  <c r="E135" i="8"/>
  <c r="E134" i="8"/>
  <c r="E133" i="8"/>
  <c r="E88" i="8"/>
  <c r="E132" i="8"/>
  <c r="E75" i="8"/>
  <c r="E74" i="8"/>
  <c r="E73" i="8"/>
  <c r="E84" i="8"/>
  <c r="E72" i="8"/>
  <c r="E44" i="8"/>
  <c r="E107" i="8"/>
  <c r="E43" i="8"/>
  <c r="E38" i="8"/>
  <c r="E17" i="8"/>
  <c r="E165" i="8"/>
  <c r="E144" i="8"/>
  <c r="E143" i="8"/>
  <c r="E93" i="8"/>
  <c r="E163" i="8"/>
  <c r="E71" i="8"/>
  <c r="E37" i="8"/>
  <c r="E92" i="8"/>
  <c r="E91" i="8"/>
  <c r="E159" i="8"/>
  <c r="E158" i="8"/>
  <c r="E167" i="8"/>
  <c r="E131" i="8"/>
  <c r="E130" i="8"/>
  <c r="E87" i="8"/>
  <c r="E106" i="8"/>
  <c r="E70" i="8"/>
  <c r="E142" i="8"/>
  <c r="E129" i="8"/>
  <c r="E148" i="8"/>
  <c r="E147" i="8"/>
  <c r="E77" i="8"/>
  <c r="E11" i="8"/>
  <c r="E111" i="8"/>
  <c r="E86" i="8"/>
  <c r="E83" i="8"/>
  <c r="E82" i="8"/>
  <c r="E128" i="8"/>
  <c r="E5" i="8"/>
  <c r="E110" i="8"/>
  <c r="E16" i="8"/>
  <c r="E109" i="8"/>
  <c r="E108" i="8"/>
  <c r="E90" i="8"/>
  <c r="E127" i="8"/>
  <c r="E126" i="8"/>
  <c r="E125" i="8"/>
  <c r="E69" i="8"/>
  <c r="E36" i="8"/>
  <c r="E141" i="8"/>
  <c r="E157" i="8"/>
  <c r="E151" i="8"/>
  <c r="E150" i="8"/>
  <c r="E112" i="8"/>
  <c r="E97" i="8"/>
  <c r="E124" i="8"/>
  <c r="E68" i="8"/>
  <c r="E67" i="8"/>
  <c r="E162" i="8"/>
  <c r="E161" i="8"/>
  <c r="E105" i="8"/>
  <c r="E6" i="8"/>
  <c r="E35" i="8"/>
  <c r="E146" i="8"/>
  <c r="E15" i="8"/>
  <c r="E76" i="8"/>
  <c r="E89" i="8"/>
  <c r="E34" i="8"/>
  <c r="E123" i="8"/>
  <c r="E14" i="8"/>
  <c r="E156" i="8"/>
  <c r="E33" i="8"/>
  <c r="E96" i="8"/>
  <c r="E95" i="8"/>
  <c r="E79" i="8"/>
  <c r="E32" i="8"/>
  <c r="E31" i="8"/>
  <c r="E145" i="8"/>
  <c r="E104" i="8"/>
  <c r="E66" i="8"/>
  <c r="E65" i="8"/>
  <c r="E114" i="8"/>
  <c r="E113" i="8"/>
  <c r="E64" i="8"/>
  <c r="E160" i="8"/>
  <c r="E63" i="8"/>
  <c r="E10" i="8"/>
  <c r="E140" i="8"/>
  <c r="E85" i="8"/>
  <c r="E62" i="8"/>
  <c r="E61" i="8"/>
  <c r="E60" i="8"/>
  <c r="E59" i="8"/>
  <c r="E19" i="8"/>
  <c r="E139" i="8"/>
  <c r="E103" i="8"/>
  <c r="E102" i="8"/>
  <c r="E30" i="8"/>
  <c r="E29" i="8"/>
  <c r="E28" i="8"/>
  <c r="E27" i="8"/>
  <c r="E26" i="8"/>
  <c r="E25" i="8"/>
  <c r="E138" i="8"/>
  <c r="E24" i="8"/>
  <c r="E58" i="8"/>
  <c r="E57" i="8"/>
  <c r="E56" i="8"/>
  <c r="E122" i="8"/>
  <c r="E121" i="8"/>
  <c r="E120" i="8"/>
  <c r="E119" i="8"/>
  <c r="E40" i="8"/>
  <c r="E39" i="8"/>
  <c r="E137" i="8"/>
  <c r="E78" i="8"/>
  <c r="E94" i="8"/>
  <c r="E81" i="8"/>
  <c r="E164" i="8"/>
  <c r="E55" i="8"/>
  <c r="E118" i="8"/>
  <c r="E80" i="8"/>
  <c r="E101" i="8"/>
  <c r="E149" i="8"/>
  <c r="E54" i="8"/>
  <c r="E53" i="8"/>
  <c r="E9" i="8"/>
  <c r="E13" i="8"/>
  <c r="E117" i="8"/>
  <c r="E52" i="8"/>
  <c r="E51" i="8"/>
  <c r="E116" i="8"/>
  <c r="E50" i="8"/>
  <c r="E49" i="8"/>
  <c r="E166" i="8"/>
  <c r="E23" i="8"/>
  <c r="E22" i="8"/>
  <c r="E21" i="8"/>
  <c r="E100" i="8"/>
  <c r="E41" i="8"/>
  <c r="E48" i="8"/>
  <c r="E12" i="8"/>
  <c r="E115" i="8"/>
  <c r="E42" i="8"/>
  <c r="E99" i="8"/>
  <c r="E18" i="8"/>
  <c r="E155" i="8"/>
  <c r="E154" i="8"/>
  <c r="E8" i="8"/>
  <c r="E47" i="8"/>
  <c r="E46" i="8"/>
  <c r="E45" i="8"/>
  <c r="E20" i="8"/>
  <c r="E4" i="8"/>
  <c r="E7" i="8"/>
  <c r="E153" i="8"/>
  <c r="E152" i="8"/>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E4" i="7"/>
  <c r="I419" i="2"/>
  <c r="K419" i="2"/>
  <c r="M419" i="2"/>
  <c r="I451" i="2"/>
  <c r="K451" i="2"/>
  <c r="M451" i="2"/>
  <c r="I369" i="2"/>
  <c r="K369" i="2"/>
  <c r="M369" i="2"/>
  <c r="I368" i="2"/>
  <c r="K368" i="2"/>
  <c r="M368" i="2"/>
  <c r="I367" i="2"/>
  <c r="K367" i="2"/>
  <c r="M367" i="2"/>
  <c r="I517" i="2"/>
  <c r="K517" i="2"/>
  <c r="M517" i="2"/>
  <c r="I516" i="2"/>
  <c r="K516" i="2"/>
  <c r="M516" i="2"/>
  <c r="I515" i="2"/>
  <c r="K515" i="2"/>
  <c r="M515" i="2"/>
  <c r="I514" i="2"/>
  <c r="K514" i="2"/>
  <c r="M514" i="2"/>
  <c r="I254" i="2"/>
  <c r="K254" i="2"/>
  <c r="M254" i="2"/>
  <c r="I274" i="2"/>
  <c r="K274" i="2"/>
  <c r="M274" i="2"/>
  <c r="I513" i="2"/>
  <c r="K513" i="2"/>
  <c r="M513" i="2"/>
  <c r="I512" i="2"/>
  <c r="K512" i="2"/>
  <c r="M512" i="2"/>
  <c r="I511" i="2"/>
  <c r="K511" i="2"/>
  <c r="M511" i="2"/>
  <c r="I102" i="2"/>
  <c r="K102" i="2"/>
  <c r="M102" i="2"/>
  <c r="I418" i="2"/>
  <c r="K418" i="2"/>
  <c r="M418" i="2"/>
  <c r="I204" i="2"/>
  <c r="K204" i="2"/>
  <c r="M204" i="2"/>
  <c r="I652" i="2"/>
  <c r="K652" i="2"/>
  <c r="M652" i="2"/>
  <c r="I651" i="2"/>
  <c r="K651" i="2"/>
  <c r="M651" i="2"/>
  <c r="I324" i="2"/>
  <c r="K324" i="2"/>
  <c r="M324" i="2"/>
  <c r="I650" i="2"/>
  <c r="K650" i="2"/>
  <c r="M650" i="2"/>
  <c r="I173" i="2"/>
  <c r="K173" i="2"/>
  <c r="M173" i="2"/>
  <c r="I203" i="2"/>
  <c r="K203" i="2"/>
  <c r="M203" i="2"/>
  <c r="I202" i="2"/>
  <c r="K202" i="2"/>
  <c r="M202" i="2"/>
  <c r="I270" i="2"/>
  <c r="K270" i="2"/>
  <c r="M270" i="2"/>
  <c r="I450" i="2"/>
  <c r="K450" i="2"/>
  <c r="M450" i="2"/>
  <c r="I241" i="2"/>
  <c r="K241" i="2"/>
  <c r="M241" i="2"/>
  <c r="I240" i="2"/>
  <c r="K240" i="2"/>
  <c r="M240" i="2"/>
  <c r="I306" i="2"/>
  <c r="K306" i="2"/>
  <c r="M306" i="2"/>
  <c r="I201" i="2"/>
  <c r="K201" i="2"/>
  <c r="M201" i="2"/>
  <c r="I172" i="2"/>
  <c r="K172" i="2"/>
  <c r="M172" i="2"/>
  <c r="I448" i="2"/>
  <c r="K448" i="2"/>
  <c r="M448" i="2"/>
  <c r="I417" i="2"/>
  <c r="K417" i="2"/>
  <c r="M417" i="2"/>
  <c r="I416" i="2"/>
  <c r="K416" i="2"/>
  <c r="M416" i="2"/>
  <c r="I70" i="2"/>
  <c r="K70" i="2"/>
  <c r="M70" i="2"/>
  <c r="I484" i="2"/>
  <c r="K484" i="2"/>
  <c r="M484" i="2"/>
  <c r="I649" i="2"/>
  <c r="K649" i="2"/>
  <c r="M649" i="2"/>
  <c r="I633" i="2"/>
  <c r="K633" i="2"/>
  <c r="M633" i="2"/>
  <c r="I41" i="2"/>
  <c r="K41" i="2"/>
  <c r="M41" i="2"/>
  <c r="I632" i="2"/>
  <c r="K632" i="2"/>
  <c r="M632" i="2"/>
  <c r="I631" i="2"/>
  <c r="K631" i="2"/>
  <c r="M631" i="2"/>
  <c r="I253" i="2"/>
  <c r="K253" i="2"/>
  <c r="M253" i="2"/>
  <c r="I323" i="2"/>
  <c r="K323" i="2"/>
  <c r="M323" i="2"/>
  <c r="I322" i="2"/>
  <c r="K322" i="2"/>
  <c r="M322" i="2"/>
  <c r="I321" i="2"/>
  <c r="K321" i="2"/>
  <c r="M321" i="2"/>
  <c r="I320" i="2"/>
  <c r="K320" i="2"/>
  <c r="M320" i="2"/>
  <c r="I305" i="2"/>
  <c r="K305" i="2"/>
  <c r="M305" i="2"/>
  <c r="I304" i="2"/>
  <c r="K304" i="2"/>
  <c r="M304" i="2"/>
  <c r="I303" i="2"/>
  <c r="K303" i="2"/>
  <c r="M303" i="2"/>
  <c r="I362" i="2"/>
  <c r="K362" i="2"/>
  <c r="M362" i="2"/>
  <c r="I302" i="2"/>
  <c r="K302" i="2"/>
  <c r="M302" i="2"/>
  <c r="I319" i="2"/>
  <c r="K319" i="2"/>
  <c r="M319" i="2"/>
  <c r="I318" i="2"/>
  <c r="K318" i="2"/>
  <c r="M318" i="2"/>
  <c r="I341" i="2"/>
  <c r="K341" i="2"/>
  <c r="M341" i="2"/>
  <c r="I610" i="2"/>
  <c r="K610" i="2"/>
  <c r="M610" i="2"/>
  <c r="I609" i="2"/>
  <c r="K609" i="2"/>
  <c r="M609" i="2"/>
  <c r="I11" i="2"/>
  <c r="K11" i="2"/>
  <c r="M11" i="2"/>
  <c r="I366" i="2"/>
  <c r="K366" i="2"/>
  <c r="M366" i="2"/>
  <c r="I200" i="2"/>
  <c r="K200" i="2"/>
  <c r="M200" i="2"/>
  <c r="I656" i="2"/>
  <c r="K656" i="2"/>
  <c r="M656" i="2"/>
  <c r="I655" i="2"/>
  <c r="K655" i="2"/>
  <c r="M655" i="2"/>
  <c r="I449" i="2"/>
  <c r="K449" i="2"/>
  <c r="M449" i="2"/>
  <c r="I566" i="2"/>
  <c r="K566" i="2"/>
  <c r="M566" i="2"/>
  <c r="I415" i="2"/>
  <c r="K415" i="2"/>
  <c r="M415" i="2"/>
  <c r="I301" i="2"/>
  <c r="K301" i="2"/>
  <c r="M301" i="2"/>
  <c r="I69" i="2"/>
  <c r="K69" i="2"/>
  <c r="M69" i="2"/>
  <c r="I171" i="2"/>
  <c r="K171" i="2"/>
  <c r="M171" i="2"/>
  <c r="I129" i="2"/>
  <c r="K129" i="2"/>
  <c r="M129" i="2"/>
  <c r="I128" i="2"/>
  <c r="K128" i="2"/>
  <c r="M128" i="2"/>
  <c r="I300" i="2"/>
  <c r="K300" i="2"/>
  <c r="M300" i="2"/>
  <c r="I299" i="2"/>
  <c r="K299" i="2"/>
  <c r="M299" i="2"/>
  <c r="I298" i="2"/>
  <c r="K298" i="2"/>
  <c r="M298" i="2"/>
  <c r="I297" i="2"/>
  <c r="K297" i="2"/>
  <c r="M297" i="2"/>
  <c r="I296" i="2"/>
  <c r="K296" i="2"/>
  <c r="M296" i="2"/>
  <c r="I295" i="2"/>
  <c r="K295" i="2"/>
  <c r="M295" i="2"/>
  <c r="I294" i="2"/>
  <c r="K294" i="2"/>
  <c r="M294" i="2"/>
  <c r="I170" i="2"/>
  <c r="K170" i="2"/>
  <c r="M170" i="2"/>
  <c r="I169" i="2"/>
  <c r="K169" i="2"/>
  <c r="M169" i="2"/>
  <c r="I127" i="2"/>
  <c r="K127" i="2"/>
  <c r="M127" i="2"/>
  <c r="I168" i="2"/>
  <c r="K168" i="2"/>
  <c r="M168" i="2"/>
  <c r="I648" i="2"/>
  <c r="K648" i="2"/>
  <c r="M648" i="2"/>
  <c r="I37" i="2"/>
  <c r="K37" i="2"/>
  <c r="M37" i="2"/>
  <c r="I482" i="2"/>
  <c r="K482" i="2"/>
  <c r="M482" i="2"/>
  <c r="I293" i="2"/>
  <c r="K293" i="2"/>
  <c r="M293" i="2"/>
  <c r="I483" i="2"/>
  <c r="K483" i="2"/>
  <c r="M483" i="2"/>
  <c r="I340" i="2"/>
  <c r="K340" i="2"/>
  <c r="M340" i="2"/>
  <c r="I600" i="2"/>
  <c r="K600" i="2"/>
  <c r="M600" i="2"/>
  <c r="I599" i="2"/>
  <c r="K599" i="2"/>
  <c r="M599" i="2"/>
  <c r="I598" i="2"/>
  <c r="K598" i="2"/>
  <c r="M598" i="2"/>
  <c r="I427" i="2"/>
  <c r="K427" i="2"/>
  <c r="M427" i="2"/>
  <c r="I597" i="2"/>
  <c r="K597" i="2"/>
  <c r="M597" i="2"/>
  <c r="I596" i="2"/>
  <c r="K596" i="2"/>
  <c r="M596" i="2"/>
  <c r="I426" i="2"/>
  <c r="K426" i="2"/>
  <c r="M426" i="2"/>
  <c r="I595" i="2"/>
  <c r="K595" i="2"/>
  <c r="M595" i="2"/>
  <c r="I594" i="2"/>
  <c r="K594" i="2"/>
  <c r="M594" i="2"/>
  <c r="I593" i="2"/>
  <c r="K593" i="2"/>
  <c r="M593" i="2"/>
  <c r="I592" i="2"/>
  <c r="K592" i="2"/>
  <c r="M592" i="2"/>
  <c r="I591" i="2"/>
  <c r="K591" i="2"/>
  <c r="M591" i="2"/>
  <c r="I590" i="2"/>
  <c r="K590" i="2"/>
  <c r="M590" i="2"/>
  <c r="I627" i="2"/>
  <c r="K627" i="2"/>
  <c r="M627" i="2"/>
  <c r="I626" i="2"/>
  <c r="K626" i="2"/>
  <c r="M626" i="2"/>
  <c r="I625" i="2"/>
  <c r="K625" i="2"/>
  <c r="M625" i="2"/>
  <c r="I624" i="2"/>
  <c r="K624" i="2"/>
  <c r="M624" i="2"/>
  <c r="I623" i="2"/>
  <c r="K623" i="2"/>
  <c r="M623" i="2"/>
  <c r="I622" i="2"/>
  <c r="K622" i="2"/>
  <c r="M622" i="2"/>
  <c r="I621" i="2"/>
  <c r="K621" i="2"/>
  <c r="M621" i="2"/>
  <c r="I620" i="2"/>
  <c r="K620" i="2"/>
  <c r="M620" i="2"/>
  <c r="I589" i="2"/>
  <c r="K589" i="2"/>
  <c r="M589" i="2"/>
  <c r="I619" i="2"/>
  <c r="K619" i="2"/>
  <c r="M619" i="2"/>
  <c r="I588" i="2"/>
  <c r="K588" i="2"/>
  <c r="M588" i="2"/>
  <c r="I587" i="2"/>
  <c r="K587" i="2"/>
  <c r="M587" i="2"/>
  <c r="I586" i="2"/>
  <c r="K586" i="2"/>
  <c r="M586" i="2"/>
  <c r="I585" i="2"/>
  <c r="K585" i="2"/>
  <c r="M585" i="2"/>
  <c r="I584" i="2"/>
  <c r="K584" i="2"/>
  <c r="M584" i="2"/>
  <c r="I583" i="2"/>
  <c r="K583" i="2"/>
  <c r="M583" i="2"/>
  <c r="I618" i="2"/>
  <c r="K618" i="2"/>
  <c r="M618" i="2"/>
  <c r="I582" i="2"/>
  <c r="K582" i="2"/>
  <c r="M582" i="2"/>
  <c r="I581" i="2"/>
  <c r="K581" i="2"/>
  <c r="M581" i="2"/>
  <c r="I580" i="2"/>
  <c r="K580" i="2"/>
  <c r="M580" i="2"/>
  <c r="I579" i="2"/>
  <c r="K579" i="2"/>
  <c r="M579" i="2"/>
  <c r="I510" i="2"/>
  <c r="K510" i="2"/>
  <c r="M510" i="2"/>
  <c r="I509" i="2"/>
  <c r="K509" i="2"/>
  <c r="M509" i="2"/>
  <c r="I508" i="2"/>
  <c r="K508" i="2"/>
  <c r="M508" i="2"/>
  <c r="I273" i="2"/>
  <c r="K273" i="2"/>
  <c r="M273" i="2"/>
  <c r="I126" i="2"/>
  <c r="K126" i="2"/>
  <c r="M126" i="2"/>
  <c r="I414" i="2"/>
  <c r="K414" i="2"/>
  <c r="M414" i="2"/>
  <c r="I413" i="2"/>
  <c r="K413" i="2"/>
  <c r="M413" i="2"/>
  <c r="I412" i="2"/>
  <c r="K412" i="2"/>
  <c r="M412" i="2"/>
  <c r="I547" i="2"/>
  <c r="K547" i="2"/>
  <c r="M547" i="2"/>
  <c r="I18" i="2"/>
  <c r="K18" i="2"/>
  <c r="M18" i="2"/>
  <c r="I199" i="2"/>
  <c r="K199" i="2"/>
  <c r="M199" i="2"/>
  <c r="I411" i="2"/>
  <c r="K411" i="2"/>
  <c r="M411" i="2"/>
  <c r="I546" i="2"/>
  <c r="K546" i="2"/>
  <c r="M546" i="2"/>
  <c r="I545" i="2"/>
  <c r="K545" i="2"/>
  <c r="M545" i="2"/>
  <c r="I125" i="2"/>
  <c r="K125" i="2"/>
  <c r="M125" i="2"/>
  <c r="I617" i="2"/>
  <c r="K617" i="2"/>
  <c r="M617" i="2"/>
  <c r="I507" i="2"/>
  <c r="K507" i="2"/>
  <c r="M507" i="2"/>
  <c r="I506" i="2"/>
  <c r="K506" i="2"/>
  <c r="M506" i="2"/>
  <c r="I410" i="2"/>
  <c r="K410" i="2"/>
  <c r="M410" i="2"/>
  <c r="I462" i="2"/>
  <c r="K462" i="2"/>
  <c r="M462" i="2"/>
  <c r="I124" i="2"/>
  <c r="K124" i="2"/>
  <c r="M124" i="2"/>
  <c r="I481" i="2"/>
  <c r="K481" i="2"/>
  <c r="M481" i="2"/>
  <c r="I480" i="2"/>
  <c r="K480" i="2"/>
  <c r="M480" i="2"/>
  <c r="I479" i="2"/>
  <c r="K479" i="2"/>
  <c r="M479" i="2"/>
  <c r="I565" i="2"/>
  <c r="K565" i="2"/>
  <c r="M565" i="2"/>
  <c r="I564" i="2"/>
  <c r="K564" i="2"/>
  <c r="M564" i="2"/>
  <c r="I23" i="2"/>
  <c r="K23" i="2"/>
  <c r="M23" i="2"/>
  <c r="I123" i="2"/>
  <c r="K123" i="2"/>
  <c r="M123" i="2"/>
  <c r="I425" i="2"/>
  <c r="K425" i="2"/>
  <c r="M425" i="2"/>
  <c r="I424" i="2"/>
  <c r="K424" i="2"/>
  <c r="M424" i="2"/>
  <c r="I365" i="2"/>
  <c r="K365" i="2"/>
  <c r="M365" i="2"/>
  <c r="I272" i="2"/>
  <c r="K272" i="2"/>
  <c r="M272" i="2"/>
  <c r="I269" i="2"/>
  <c r="K269" i="2"/>
  <c r="M269" i="2"/>
  <c r="I447" i="2"/>
  <c r="K447" i="2"/>
  <c r="M447" i="2"/>
  <c r="I558" i="2"/>
  <c r="K558" i="2"/>
  <c r="M558" i="2"/>
  <c r="I239" i="2"/>
  <c r="K239" i="2"/>
  <c r="M239" i="2"/>
  <c r="I505" i="2"/>
  <c r="K505" i="2"/>
  <c r="M505" i="2"/>
  <c r="I122" i="2"/>
  <c r="K122" i="2"/>
  <c r="M122" i="2"/>
  <c r="I121" i="2"/>
  <c r="K121" i="2"/>
  <c r="M121" i="2"/>
  <c r="I423" i="2"/>
  <c r="K423" i="2"/>
  <c r="M423" i="2"/>
  <c r="I120" i="2"/>
  <c r="K120" i="2"/>
  <c r="M120" i="2"/>
  <c r="I238" i="2"/>
  <c r="K238" i="2"/>
  <c r="M238" i="2"/>
  <c r="I167" i="2"/>
  <c r="K167" i="2"/>
  <c r="M167" i="2"/>
  <c r="I166" i="2"/>
  <c r="K166" i="2"/>
  <c r="M166" i="2"/>
  <c r="I478" i="2"/>
  <c r="K478" i="2"/>
  <c r="M478" i="2"/>
  <c r="I477" i="2"/>
  <c r="K477" i="2"/>
  <c r="M477" i="2"/>
  <c r="I252" i="2"/>
  <c r="K252" i="2"/>
  <c r="M252" i="2"/>
  <c r="I229" i="2"/>
  <c r="K229" i="2"/>
  <c r="M229" i="2"/>
  <c r="I409" i="2"/>
  <c r="K409" i="2"/>
  <c r="M409" i="2"/>
  <c r="I408" i="2"/>
  <c r="K408" i="2"/>
  <c r="M408" i="2"/>
  <c r="I407" i="2"/>
  <c r="K407" i="2"/>
  <c r="M407" i="2"/>
  <c r="I237" i="2"/>
  <c r="K237" i="2"/>
  <c r="M237" i="2"/>
  <c r="I573" i="2"/>
  <c r="K573" i="2"/>
  <c r="M573" i="2"/>
  <c r="I406" i="2"/>
  <c r="K406" i="2"/>
  <c r="M406" i="2"/>
  <c r="I405" i="2"/>
  <c r="K405" i="2"/>
  <c r="M405" i="2"/>
  <c r="I236" i="2"/>
  <c r="K236" i="2"/>
  <c r="M236" i="2"/>
  <c r="I563" i="2"/>
  <c r="K563" i="2"/>
  <c r="M563" i="2"/>
  <c r="I235" i="2"/>
  <c r="K235" i="2"/>
  <c r="M235" i="2"/>
  <c r="I17" i="2"/>
  <c r="K17" i="2"/>
  <c r="M17" i="2"/>
  <c r="I544" i="2"/>
  <c r="K544" i="2"/>
  <c r="M544" i="2"/>
  <c r="I404" i="2"/>
  <c r="K404" i="2"/>
  <c r="M404" i="2"/>
  <c r="I234" i="2"/>
  <c r="K234" i="2"/>
  <c r="M234" i="2"/>
  <c r="I233" i="2"/>
  <c r="K233" i="2"/>
  <c r="M233" i="2"/>
  <c r="I232" i="2"/>
  <c r="K232" i="2"/>
  <c r="M232" i="2"/>
  <c r="I231" i="2"/>
  <c r="K231" i="2"/>
  <c r="M231" i="2"/>
  <c r="I403" i="2"/>
  <c r="K403" i="2"/>
  <c r="M403" i="2"/>
  <c r="I402" i="2"/>
  <c r="K402" i="2"/>
  <c r="M402" i="2"/>
  <c r="I401" i="2"/>
  <c r="K401" i="2"/>
  <c r="M401" i="2"/>
  <c r="I400" i="2"/>
  <c r="K400" i="2"/>
  <c r="M400" i="2"/>
  <c r="I578" i="2"/>
  <c r="K578" i="2"/>
  <c r="M578" i="2"/>
  <c r="I577" i="2"/>
  <c r="K577" i="2"/>
  <c r="M577" i="2"/>
  <c r="I576" i="2"/>
  <c r="K576" i="2"/>
  <c r="M576" i="2"/>
  <c r="I575" i="2"/>
  <c r="K575" i="2"/>
  <c r="M575" i="2"/>
  <c r="I398" i="2"/>
  <c r="K398" i="2"/>
  <c r="M398" i="2"/>
  <c r="I399" i="2"/>
  <c r="K399" i="2"/>
  <c r="M399" i="2"/>
  <c r="I504" i="2"/>
  <c r="K504" i="2"/>
  <c r="M504" i="2"/>
  <c r="I397" i="2"/>
  <c r="K397" i="2"/>
  <c r="M397" i="2"/>
  <c r="I230" i="2"/>
  <c r="K230" i="2"/>
  <c r="M230" i="2"/>
  <c r="I574" i="2"/>
  <c r="K574" i="2"/>
  <c r="M574" i="2"/>
  <c r="I396" i="2"/>
  <c r="K396" i="2"/>
  <c r="M396" i="2"/>
  <c r="I228" i="2"/>
  <c r="K228" i="2"/>
  <c r="M228" i="2"/>
  <c r="I227" i="2"/>
  <c r="K227" i="2"/>
  <c r="M227" i="2"/>
  <c r="I40" i="2"/>
  <c r="K40" i="2"/>
  <c r="M40" i="2"/>
  <c r="I226" i="2"/>
  <c r="K226" i="2"/>
  <c r="M226" i="2"/>
  <c r="I39" i="2"/>
  <c r="K39" i="2"/>
  <c r="M39" i="2"/>
  <c r="I572" i="2"/>
  <c r="K572" i="2"/>
  <c r="M572" i="2"/>
  <c r="I225" i="2"/>
  <c r="K225" i="2"/>
  <c r="M225" i="2"/>
  <c r="I224" i="2"/>
  <c r="K224" i="2"/>
  <c r="M224" i="2"/>
  <c r="I571" i="2"/>
  <c r="K571" i="2"/>
  <c r="M571" i="2"/>
  <c r="I223" i="2"/>
  <c r="K223" i="2"/>
  <c r="M223" i="2"/>
  <c r="I222" i="2"/>
  <c r="K222" i="2"/>
  <c r="M222" i="2"/>
  <c r="I221" i="2"/>
  <c r="K221" i="2"/>
  <c r="M221" i="2"/>
  <c r="I220" i="2"/>
  <c r="K220" i="2"/>
  <c r="M220" i="2"/>
  <c r="I219" i="2"/>
  <c r="K219" i="2"/>
  <c r="M219" i="2"/>
  <c r="I364" i="2"/>
  <c r="K364" i="2"/>
  <c r="M364" i="2"/>
  <c r="I218" i="2"/>
  <c r="K218" i="2"/>
  <c r="M218" i="2"/>
  <c r="I217" i="2"/>
  <c r="K217" i="2"/>
  <c r="M217" i="2"/>
  <c r="I608" i="2"/>
  <c r="K608" i="2"/>
  <c r="M608" i="2"/>
  <c r="I607" i="2"/>
  <c r="K607" i="2"/>
  <c r="M607" i="2"/>
  <c r="I606" i="2"/>
  <c r="K606" i="2"/>
  <c r="M606" i="2"/>
  <c r="I605" i="2"/>
  <c r="K605" i="2"/>
  <c r="M605" i="2"/>
  <c r="I422" i="2"/>
  <c r="K422" i="2"/>
  <c r="M422" i="2"/>
  <c r="I630" i="2"/>
  <c r="K630" i="2"/>
  <c r="M630" i="2"/>
  <c r="I47" i="2"/>
  <c r="K47" i="2"/>
  <c r="M47" i="2"/>
  <c r="I165" i="2"/>
  <c r="K165" i="2"/>
  <c r="M165" i="2"/>
  <c r="I119" i="2"/>
  <c r="K119" i="2"/>
  <c r="M119" i="2"/>
  <c r="I446" i="2"/>
  <c r="K446" i="2"/>
  <c r="M446" i="2"/>
  <c r="I445" i="2"/>
  <c r="K445" i="2"/>
  <c r="M445" i="2"/>
  <c r="I164" i="2"/>
  <c r="K164" i="2"/>
  <c r="M164" i="2"/>
  <c r="I503" i="2"/>
  <c r="K503" i="2"/>
  <c r="M503" i="2"/>
  <c r="I502" i="2"/>
  <c r="K502" i="2"/>
  <c r="M502" i="2"/>
  <c r="I501" i="2"/>
  <c r="K501" i="2"/>
  <c r="M501" i="2"/>
  <c r="I500" i="2"/>
  <c r="K500" i="2"/>
  <c r="M500" i="2"/>
  <c r="I499" i="2"/>
  <c r="K499" i="2"/>
  <c r="M499" i="2"/>
  <c r="I339" i="2"/>
  <c r="K339" i="2"/>
  <c r="M339" i="2"/>
  <c r="I471" i="2"/>
  <c r="K471" i="2"/>
  <c r="M471" i="2"/>
  <c r="I470" i="2"/>
  <c r="K470" i="2"/>
  <c r="M470" i="2"/>
  <c r="I469" i="2"/>
  <c r="K469" i="2"/>
  <c r="M469" i="2"/>
  <c r="I468" i="2"/>
  <c r="K468" i="2"/>
  <c r="M468" i="2"/>
  <c r="I467" i="2"/>
  <c r="K467" i="2"/>
  <c r="M467" i="2"/>
  <c r="I466" i="2"/>
  <c r="K466" i="2"/>
  <c r="M466" i="2"/>
  <c r="I198" i="2"/>
  <c r="K198" i="2"/>
  <c r="M198" i="2"/>
  <c r="I216" i="2"/>
  <c r="K216" i="2"/>
  <c r="M216" i="2"/>
  <c r="I68" i="2"/>
  <c r="K68" i="2"/>
  <c r="M68" i="2"/>
  <c r="I461" i="2"/>
  <c r="K461" i="2"/>
  <c r="M461" i="2"/>
  <c r="I460" i="2"/>
  <c r="K460" i="2"/>
  <c r="M460" i="2"/>
  <c r="I215" i="2"/>
  <c r="K215" i="2"/>
  <c r="M215" i="2"/>
  <c r="I214" i="2"/>
  <c r="K214" i="2"/>
  <c r="M214" i="2"/>
  <c r="I459" i="2"/>
  <c r="K459" i="2"/>
  <c r="M459" i="2"/>
  <c r="I458" i="2"/>
  <c r="K458" i="2"/>
  <c r="M458" i="2"/>
  <c r="I457" i="2"/>
  <c r="K457" i="2"/>
  <c r="M457" i="2"/>
  <c r="I456" i="2"/>
  <c r="K456" i="2"/>
  <c r="M456" i="2"/>
  <c r="I455" i="2"/>
  <c r="K455" i="2"/>
  <c r="M455" i="2"/>
  <c r="I213" i="2"/>
  <c r="K213" i="2"/>
  <c r="M213" i="2"/>
  <c r="I30" i="2"/>
  <c r="K30" i="2"/>
  <c r="M30" i="2"/>
  <c r="I454" i="2"/>
  <c r="K454" i="2"/>
  <c r="M454" i="2"/>
  <c r="I453" i="2"/>
  <c r="K453" i="2"/>
  <c r="M453" i="2"/>
  <c r="I395" i="2"/>
  <c r="K395" i="2"/>
  <c r="M395" i="2"/>
  <c r="I338" i="2"/>
  <c r="K338" i="2"/>
  <c r="M338" i="2"/>
  <c r="I570" i="2"/>
  <c r="K570" i="2"/>
  <c r="M570" i="2"/>
  <c r="I569" i="2"/>
  <c r="K569" i="2"/>
  <c r="M569" i="2"/>
  <c r="I212" i="2"/>
  <c r="K212" i="2"/>
  <c r="M212" i="2"/>
  <c r="I421" i="2"/>
  <c r="K421" i="2"/>
  <c r="M421" i="2"/>
  <c r="I444" i="2"/>
  <c r="K444" i="2"/>
  <c r="M444" i="2"/>
  <c r="I251" i="2"/>
  <c r="K251" i="2"/>
  <c r="M251" i="2"/>
  <c r="I476" i="2"/>
  <c r="K476" i="2"/>
  <c r="M476" i="2"/>
  <c r="I475" i="2"/>
  <c r="K475" i="2"/>
  <c r="M475" i="2"/>
  <c r="I211" i="2"/>
  <c r="K211" i="2"/>
  <c r="M211" i="2"/>
  <c r="I210" i="2"/>
  <c r="K210" i="2"/>
  <c r="M210" i="2"/>
  <c r="I363" i="2"/>
  <c r="K363" i="2"/>
  <c r="M363" i="2"/>
  <c r="I292" i="2"/>
  <c r="K292" i="2"/>
  <c r="M292" i="2"/>
  <c r="I291" i="2"/>
  <c r="K291" i="2"/>
  <c r="M291" i="2"/>
  <c r="I351" i="2"/>
  <c r="K351" i="2"/>
  <c r="M351" i="2"/>
  <c r="I350" i="2"/>
  <c r="K350" i="2"/>
  <c r="M350" i="2"/>
  <c r="I361" i="2"/>
  <c r="K361" i="2"/>
  <c r="M361" i="2"/>
  <c r="I337" i="2"/>
  <c r="K337" i="2"/>
  <c r="M337" i="2"/>
  <c r="I317" i="2"/>
  <c r="K317" i="2"/>
  <c r="M317" i="2"/>
  <c r="I336" i="2"/>
  <c r="K336" i="2"/>
  <c r="M336" i="2"/>
  <c r="I360" i="2"/>
  <c r="K360" i="2"/>
  <c r="M360" i="2"/>
  <c r="I335" i="2"/>
  <c r="K335" i="2"/>
  <c r="M335" i="2"/>
  <c r="I290" i="2"/>
  <c r="K290" i="2"/>
  <c r="M290" i="2"/>
  <c r="I359" i="2"/>
  <c r="K359" i="2"/>
  <c r="M359" i="2"/>
  <c r="I10" i="2"/>
  <c r="K10" i="2"/>
  <c r="M10" i="2"/>
  <c r="I394" i="2"/>
  <c r="K394" i="2"/>
  <c r="M394" i="2"/>
  <c r="I163" i="2"/>
  <c r="K163" i="2"/>
  <c r="M163" i="2"/>
  <c r="I118" i="2"/>
  <c r="K118" i="2"/>
  <c r="M118" i="2"/>
  <c r="I647" i="2"/>
  <c r="K647" i="2"/>
  <c r="M647" i="2"/>
  <c r="I162" i="2"/>
  <c r="K162" i="2"/>
  <c r="M162" i="2"/>
  <c r="I161" i="2"/>
  <c r="K161" i="2"/>
  <c r="M161" i="2"/>
  <c r="I160" i="2"/>
  <c r="K160" i="2"/>
  <c r="M160" i="2"/>
  <c r="I498" i="2"/>
  <c r="K498" i="2"/>
  <c r="M498" i="2"/>
  <c r="I497" i="2"/>
  <c r="K497" i="2"/>
  <c r="M497" i="2"/>
  <c r="I159" i="2"/>
  <c r="K159" i="2"/>
  <c r="M159" i="2"/>
  <c r="I358" i="2"/>
  <c r="K358" i="2"/>
  <c r="M358" i="2"/>
  <c r="I357" i="2"/>
  <c r="K357" i="2"/>
  <c r="M357" i="2"/>
  <c r="I158" i="2"/>
  <c r="K158" i="2"/>
  <c r="M158" i="2"/>
  <c r="I289" i="2"/>
  <c r="K289" i="2"/>
  <c r="M289" i="2"/>
  <c r="I197" i="2"/>
  <c r="K197" i="2"/>
  <c r="M197" i="2"/>
  <c r="I196" i="2"/>
  <c r="K196" i="2"/>
  <c r="M196" i="2"/>
  <c r="I604" i="2"/>
  <c r="K604" i="2"/>
  <c r="M604" i="2"/>
  <c r="I465" i="2"/>
  <c r="K465" i="2"/>
  <c r="M465" i="2"/>
  <c r="I464" i="2"/>
  <c r="K464" i="2"/>
  <c r="M464" i="2"/>
  <c r="I463" i="2"/>
  <c r="K463" i="2"/>
  <c r="M463" i="2"/>
  <c r="I9" i="2"/>
  <c r="K9" i="2"/>
  <c r="M9" i="2"/>
  <c r="I8" i="2"/>
  <c r="K8" i="2"/>
  <c r="M8" i="2"/>
  <c r="I91" i="2"/>
  <c r="K91" i="2"/>
  <c r="M91" i="2"/>
  <c r="I16" i="2"/>
  <c r="K16" i="2"/>
  <c r="M16" i="2"/>
  <c r="I38" i="2"/>
  <c r="K38" i="2"/>
  <c r="M38" i="2"/>
  <c r="I646" i="2"/>
  <c r="K646" i="2"/>
  <c r="M646" i="2"/>
  <c r="I443" i="2"/>
  <c r="K443" i="2"/>
  <c r="M443" i="2"/>
  <c r="I654" i="2"/>
  <c r="K654" i="2"/>
  <c r="M654" i="2"/>
  <c r="I67" i="2"/>
  <c r="K67" i="2"/>
  <c r="M67" i="2"/>
  <c r="I645" i="2"/>
  <c r="K645" i="2"/>
  <c r="M645" i="2"/>
  <c r="I7" i="2"/>
  <c r="K7" i="2"/>
  <c r="M7" i="2"/>
  <c r="I6" i="2"/>
  <c r="K6" i="2"/>
  <c r="M6" i="2"/>
  <c r="I90" i="2"/>
  <c r="K90" i="2"/>
  <c r="M90" i="2"/>
  <c r="I250" i="2"/>
  <c r="K250" i="2"/>
  <c r="M250" i="2"/>
  <c r="I393" i="2"/>
  <c r="K393" i="2"/>
  <c r="M393" i="2"/>
  <c r="I644" i="2"/>
  <c r="K644" i="2"/>
  <c r="M644" i="2"/>
  <c r="I288" i="2"/>
  <c r="K288" i="2"/>
  <c r="M288" i="2"/>
  <c r="I157" i="2"/>
  <c r="K157" i="2"/>
  <c r="M157" i="2"/>
  <c r="I156" i="2"/>
  <c r="K156" i="2"/>
  <c r="M156" i="2"/>
  <c r="I562" i="2"/>
  <c r="K562" i="2"/>
  <c r="M562" i="2"/>
  <c r="I29" i="2"/>
  <c r="K29" i="2"/>
  <c r="M29" i="2"/>
  <c r="I101" i="2"/>
  <c r="K101" i="2"/>
  <c r="M101" i="2"/>
  <c r="I209" i="2"/>
  <c r="K209" i="2"/>
  <c r="M209" i="2"/>
  <c r="I208" i="2"/>
  <c r="K208" i="2"/>
  <c r="M208" i="2"/>
  <c r="I268" i="2"/>
  <c r="K268" i="2"/>
  <c r="M268" i="2"/>
  <c r="I89" i="2"/>
  <c r="K89" i="2"/>
  <c r="M89" i="2"/>
  <c r="I66" i="2"/>
  <c r="K66" i="2"/>
  <c r="M66" i="2"/>
  <c r="I267" i="2"/>
  <c r="K267" i="2"/>
  <c r="M267" i="2"/>
  <c r="I28" i="2"/>
  <c r="K28" i="2"/>
  <c r="M28" i="2"/>
  <c r="I496" i="2"/>
  <c r="K496" i="2"/>
  <c r="M496" i="2"/>
  <c r="I495" i="2"/>
  <c r="K495" i="2"/>
  <c r="M495" i="2"/>
  <c r="I249" i="2"/>
  <c r="K249" i="2"/>
  <c r="M249" i="2"/>
  <c r="I248" i="2"/>
  <c r="K248" i="2"/>
  <c r="M248" i="2"/>
  <c r="I557" i="2"/>
  <c r="K557" i="2"/>
  <c r="M557" i="2"/>
  <c r="I556" i="2"/>
  <c r="K556" i="2"/>
  <c r="M556" i="2"/>
  <c r="I247" i="2"/>
  <c r="K247" i="2"/>
  <c r="M247" i="2"/>
  <c r="I266" i="2"/>
  <c r="K266" i="2"/>
  <c r="M266" i="2"/>
  <c r="I246" i="2"/>
  <c r="K246" i="2"/>
  <c r="M246" i="2"/>
  <c r="I260" i="2"/>
  <c r="K260" i="2"/>
  <c r="M260" i="2"/>
  <c r="I259" i="2"/>
  <c r="K259" i="2"/>
  <c r="M259" i="2"/>
  <c r="I258" i="2"/>
  <c r="K258" i="2"/>
  <c r="M258" i="2"/>
  <c r="I257" i="2"/>
  <c r="K257" i="2"/>
  <c r="M257" i="2"/>
  <c r="I474" i="2"/>
  <c r="K474" i="2"/>
  <c r="M474" i="2"/>
  <c r="I256" i="2"/>
  <c r="K256" i="2"/>
  <c r="M256" i="2"/>
  <c r="I255" i="2"/>
  <c r="K255" i="2"/>
  <c r="M255" i="2"/>
  <c r="I155" i="2"/>
  <c r="K155" i="2"/>
  <c r="M155" i="2"/>
  <c r="I117" i="2"/>
  <c r="K117" i="2"/>
  <c r="M117" i="2"/>
  <c r="I643" i="2"/>
  <c r="K643" i="2"/>
  <c r="M643" i="2"/>
  <c r="I51" i="2"/>
  <c r="K51" i="2"/>
  <c r="M51" i="2"/>
  <c r="I100" i="2"/>
  <c r="K100" i="2"/>
  <c r="M100" i="2"/>
  <c r="I334" i="2"/>
  <c r="K334" i="2"/>
  <c r="M334" i="2"/>
  <c r="I154" i="2"/>
  <c r="K154" i="2"/>
  <c r="M154" i="2"/>
  <c r="I349" i="2"/>
  <c r="K349" i="2"/>
  <c r="M349" i="2"/>
  <c r="I348" i="2"/>
  <c r="K348" i="2"/>
  <c r="M348" i="2"/>
  <c r="I347" i="2"/>
  <c r="K347" i="2"/>
  <c r="M347" i="2"/>
  <c r="I346" i="2"/>
  <c r="K346" i="2"/>
  <c r="M346" i="2"/>
  <c r="I345" i="2"/>
  <c r="K345" i="2"/>
  <c r="M345" i="2"/>
  <c r="I344" i="2"/>
  <c r="K344" i="2"/>
  <c r="M344" i="2"/>
  <c r="I343" i="2"/>
  <c r="K343" i="2"/>
  <c r="M343" i="2"/>
  <c r="I65" i="2"/>
  <c r="K65" i="2"/>
  <c r="M65" i="2"/>
  <c r="I342" i="2"/>
  <c r="K342" i="2"/>
  <c r="M342" i="2"/>
  <c r="I83" i="2"/>
  <c r="K83" i="2"/>
  <c r="M83" i="2"/>
  <c r="I82" i="2"/>
  <c r="K82" i="2"/>
  <c r="M82" i="2"/>
  <c r="I64" i="2"/>
  <c r="K64" i="2"/>
  <c r="M64" i="2"/>
  <c r="I36" i="2"/>
  <c r="K36" i="2"/>
  <c r="M36" i="2"/>
  <c r="I442" i="2"/>
  <c r="K442" i="2"/>
  <c r="M442" i="2"/>
  <c r="I63" i="2"/>
  <c r="K63" i="2"/>
  <c r="M63" i="2"/>
  <c r="I629" i="2"/>
  <c r="K629" i="2"/>
  <c r="M629" i="2"/>
  <c r="I628" i="2"/>
  <c r="K628" i="2"/>
  <c r="M628" i="2"/>
  <c r="I561" i="2"/>
  <c r="K561" i="2"/>
  <c r="M561" i="2"/>
  <c r="I287" i="2"/>
  <c r="K287" i="2"/>
  <c r="M287" i="2"/>
  <c r="I441" i="2"/>
  <c r="K441" i="2"/>
  <c r="M441" i="2"/>
  <c r="I245" i="2"/>
  <c r="K245" i="2"/>
  <c r="M245" i="2"/>
  <c r="I195" i="2"/>
  <c r="K195" i="2"/>
  <c r="M195" i="2"/>
  <c r="I194" i="2"/>
  <c r="K194" i="2"/>
  <c r="M194" i="2"/>
  <c r="I116" i="2"/>
  <c r="K116" i="2"/>
  <c r="M116" i="2"/>
  <c r="I207" i="2"/>
  <c r="K207" i="2"/>
  <c r="M207" i="2"/>
  <c r="I99" i="2"/>
  <c r="K99" i="2"/>
  <c r="M99" i="2"/>
  <c r="I98" i="2"/>
  <c r="K98" i="2"/>
  <c r="M98" i="2"/>
  <c r="I392" i="2"/>
  <c r="K392" i="2"/>
  <c r="M392" i="2"/>
  <c r="I115" i="2"/>
  <c r="K115" i="2"/>
  <c r="M115" i="2"/>
  <c r="I473" i="2"/>
  <c r="K473" i="2"/>
  <c r="M473" i="2"/>
  <c r="I153" i="2"/>
  <c r="K153" i="2"/>
  <c r="M153" i="2"/>
  <c r="I472" i="2"/>
  <c r="K472" i="2"/>
  <c r="M472" i="2"/>
  <c r="I114" i="2"/>
  <c r="K114" i="2"/>
  <c r="M114" i="2"/>
  <c r="I420" i="2"/>
  <c r="K420" i="2"/>
  <c r="M420" i="2"/>
  <c r="I244" i="2"/>
  <c r="K244" i="2"/>
  <c r="M244" i="2"/>
  <c r="I193" i="2"/>
  <c r="K193" i="2"/>
  <c r="M193" i="2"/>
  <c r="I560" i="2"/>
  <c r="K560" i="2"/>
  <c r="M560" i="2"/>
  <c r="I88" i="2"/>
  <c r="K88" i="2"/>
  <c r="M88" i="2"/>
  <c r="I391" i="2"/>
  <c r="K391" i="2"/>
  <c r="M391" i="2"/>
  <c r="I390" i="2"/>
  <c r="K390" i="2"/>
  <c r="M390" i="2"/>
  <c r="I243" i="2"/>
  <c r="K243" i="2"/>
  <c r="M243" i="2"/>
  <c r="I603" i="2"/>
  <c r="K603" i="2"/>
  <c r="M603" i="2"/>
  <c r="I543" i="2"/>
  <c r="K543" i="2"/>
  <c r="M543" i="2"/>
  <c r="I542" i="2"/>
  <c r="K542" i="2"/>
  <c r="M542" i="2"/>
  <c r="I541" i="2"/>
  <c r="K541" i="2"/>
  <c r="M541" i="2"/>
  <c r="I540" i="2"/>
  <c r="K540" i="2"/>
  <c r="M540" i="2"/>
  <c r="I539" i="2"/>
  <c r="K539" i="2"/>
  <c r="M539" i="2"/>
  <c r="I538" i="2"/>
  <c r="K538" i="2"/>
  <c r="M538" i="2"/>
  <c r="I537" i="2"/>
  <c r="K537" i="2"/>
  <c r="M537" i="2"/>
  <c r="I536" i="2"/>
  <c r="K536" i="2"/>
  <c r="M536" i="2"/>
  <c r="I535" i="2"/>
  <c r="K535" i="2"/>
  <c r="M535" i="2"/>
  <c r="I534" i="2"/>
  <c r="K534" i="2"/>
  <c r="M534" i="2"/>
  <c r="I533" i="2"/>
  <c r="K533" i="2"/>
  <c r="M533" i="2"/>
  <c r="I192" i="2"/>
  <c r="K192" i="2"/>
  <c r="M192" i="2"/>
  <c r="I22" i="2"/>
  <c r="K22" i="2"/>
  <c r="M22" i="2"/>
  <c r="I532" i="2"/>
  <c r="K532" i="2"/>
  <c r="M532" i="2"/>
  <c r="I531" i="2"/>
  <c r="K531" i="2"/>
  <c r="M531" i="2"/>
  <c r="I530" i="2"/>
  <c r="K530" i="2"/>
  <c r="M530" i="2"/>
  <c r="I529" i="2"/>
  <c r="K529" i="2"/>
  <c r="M529" i="2"/>
  <c r="I271" i="2"/>
  <c r="K271" i="2"/>
  <c r="M271" i="2"/>
  <c r="I191" i="2"/>
  <c r="K191" i="2"/>
  <c r="M191" i="2"/>
  <c r="I285" i="2"/>
  <c r="K285" i="2"/>
  <c r="M285" i="2"/>
  <c r="I286" i="2"/>
  <c r="K286" i="2"/>
  <c r="M286" i="2"/>
  <c r="I284" i="2"/>
  <c r="K284" i="2"/>
  <c r="M284" i="2"/>
  <c r="I283" i="2"/>
  <c r="K283" i="2"/>
  <c r="M283" i="2"/>
  <c r="I389" i="2"/>
  <c r="K389" i="2"/>
  <c r="M389" i="2"/>
  <c r="I388" i="2"/>
  <c r="K388" i="2"/>
  <c r="M388" i="2"/>
  <c r="I387" i="2"/>
  <c r="K387" i="2"/>
  <c r="M387" i="2"/>
  <c r="I555" i="2"/>
  <c r="K555" i="2"/>
  <c r="M555" i="2"/>
  <c r="I554" i="2"/>
  <c r="K554" i="2"/>
  <c r="M554" i="2"/>
  <c r="I190" i="2"/>
  <c r="K190" i="2"/>
  <c r="M190" i="2"/>
  <c r="I616" i="2"/>
  <c r="K616" i="2"/>
  <c r="M616" i="2"/>
  <c r="I113" i="2"/>
  <c r="K113" i="2"/>
  <c r="M113" i="2"/>
  <c r="I112" i="2"/>
  <c r="K112" i="2"/>
  <c r="M112" i="2"/>
  <c r="I642" i="2"/>
  <c r="K642" i="2"/>
  <c r="M642" i="2"/>
  <c r="I641" i="2"/>
  <c r="K641" i="2"/>
  <c r="M641" i="2"/>
  <c r="I640" i="2"/>
  <c r="K640" i="2"/>
  <c r="M640" i="2"/>
  <c r="I111" i="2"/>
  <c r="K111" i="2"/>
  <c r="M111" i="2"/>
  <c r="I639" i="2"/>
  <c r="K639" i="2"/>
  <c r="M639" i="2"/>
  <c r="I110" i="2"/>
  <c r="K110" i="2"/>
  <c r="M110" i="2"/>
  <c r="I356" i="2"/>
  <c r="K356" i="2"/>
  <c r="M356" i="2"/>
  <c r="I316" i="2"/>
  <c r="K316" i="2"/>
  <c r="M316" i="2"/>
  <c r="I282" i="2"/>
  <c r="K282" i="2"/>
  <c r="M282" i="2"/>
  <c r="I281" i="2"/>
  <c r="K281" i="2"/>
  <c r="M281" i="2"/>
  <c r="I81" i="2"/>
  <c r="K81" i="2"/>
  <c r="M81" i="2"/>
  <c r="I242" i="2"/>
  <c r="K242" i="2"/>
  <c r="M242" i="2"/>
  <c r="I189" i="2"/>
  <c r="K189" i="2"/>
  <c r="M189" i="2"/>
  <c r="I188" i="2"/>
  <c r="K188" i="2"/>
  <c r="M188" i="2"/>
  <c r="I87" i="2"/>
  <c r="K87" i="2"/>
  <c r="M87" i="2"/>
  <c r="I386" i="2"/>
  <c r="K386" i="2"/>
  <c r="M386" i="2"/>
  <c r="I46" i="2"/>
  <c r="K46" i="2"/>
  <c r="M46" i="2"/>
  <c r="I528" i="2"/>
  <c r="K528" i="2"/>
  <c r="M528" i="2"/>
  <c r="I527" i="2"/>
  <c r="K527" i="2"/>
  <c r="M527" i="2"/>
  <c r="I526" i="2"/>
  <c r="K526" i="2"/>
  <c r="M526" i="2"/>
  <c r="I440" i="2"/>
  <c r="K440" i="2"/>
  <c r="M440" i="2"/>
  <c r="I152" i="2"/>
  <c r="K152" i="2"/>
  <c r="M152" i="2"/>
  <c r="I151" i="2"/>
  <c r="K151" i="2"/>
  <c r="M151" i="2"/>
  <c r="I385" i="2"/>
  <c r="K385" i="2"/>
  <c r="M385" i="2"/>
  <c r="I384" i="2"/>
  <c r="K384" i="2"/>
  <c r="M384" i="2"/>
  <c r="I553" i="2"/>
  <c r="K553" i="2"/>
  <c r="M553" i="2"/>
  <c r="I552" i="2"/>
  <c r="K552" i="2"/>
  <c r="M552" i="2"/>
  <c r="I383" i="2"/>
  <c r="K383" i="2"/>
  <c r="M383" i="2"/>
  <c r="I382" i="2"/>
  <c r="K382" i="2"/>
  <c r="M382" i="2"/>
  <c r="I381" i="2"/>
  <c r="K381" i="2"/>
  <c r="M381" i="2"/>
  <c r="I55" i="2"/>
  <c r="K55" i="2"/>
  <c r="M55" i="2"/>
  <c r="I525" i="2"/>
  <c r="K525" i="2"/>
  <c r="M525" i="2"/>
  <c r="I62" i="2"/>
  <c r="K62" i="2"/>
  <c r="M62" i="2"/>
  <c r="I61" i="2"/>
  <c r="K61" i="2"/>
  <c r="M61" i="2"/>
  <c r="I60" i="2"/>
  <c r="K60" i="2"/>
  <c r="M60" i="2"/>
  <c r="I59" i="2"/>
  <c r="K59" i="2"/>
  <c r="M59" i="2"/>
  <c r="I58" i="2"/>
  <c r="K58" i="2"/>
  <c r="M58" i="2"/>
  <c r="I57" i="2"/>
  <c r="K57" i="2"/>
  <c r="M57" i="2"/>
  <c r="I56" i="2"/>
  <c r="K56" i="2"/>
  <c r="M56" i="2"/>
  <c r="I638" i="2"/>
  <c r="K638" i="2"/>
  <c r="M638" i="2"/>
  <c r="I551" i="2"/>
  <c r="K551" i="2"/>
  <c r="M551" i="2"/>
  <c r="I637" i="2"/>
  <c r="K637" i="2"/>
  <c r="M637" i="2"/>
  <c r="I636" i="2"/>
  <c r="K636" i="2"/>
  <c r="M636" i="2"/>
  <c r="I187" i="2"/>
  <c r="K187" i="2"/>
  <c r="M187" i="2"/>
  <c r="I186" i="2"/>
  <c r="K186" i="2"/>
  <c r="M186" i="2"/>
  <c r="I185" i="2"/>
  <c r="K185" i="2"/>
  <c r="M185" i="2"/>
  <c r="I355" i="2"/>
  <c r="K355" i="2"/>
  <c r="M355" i="2"/>
  <c r="I280" i="2"/>
  <c r="K280" i="2"/>
  <c r="M280" i="2"/>
  <c r="I354" i="2"/>
  <c r="K354" i="2"/>
  <c r="M354" i="2"/>
  <c r="I333" i="2"/>
  <c r="K333" i="2"/>
  <c r="M333" i="2"/>
  <c r="I332" i="2"/>
  <c r="K332" i="2"/>
  <c r="M332" i="2"/>
  <c r="I494" i="2"/>
  <c r="K494" i="2"/>
  <c r="M494" i="2"/>
  <c r="I493" i="2"/>
  <c r="K493" i="2"/>
  <c r="M493" i="2"/>
  <c r="I492" i="2"/>
  <c r="K492" i="2"/>
  <c r="M492" i="2"/>
  <c r="I491" i="2"/>
  <c r="K491" i="2"/>
  <c r="M491" i="2"/>
  <c r="I80" i="2"/>
  <c r="K80" i="2"/>
  <c r="M80" i="2"/>
  <c r="I79" i="2"/>
  <c r="K79" i="2"/>
  <c r="M79" i="2"/>
  <c r="I78" i="2"/>
  <c r="K78" i="2"/>
  <c r="M78" i="2"/>
  <c r="I77" i="2"/>
  <c r="K77" i="2"/>
  <c r="M77" i="2"/>
  <c r="I524" i="2"/>
  <c r="K524" i="2"/>
  <c r="M524" i="2"/>
  <c r="I523" i="2"/>
  <c r="K523" i="2"/>
  <c r="M523" i="2"/>
  <c r="I522" i="2"/>
  <c r="K522" i="2"/>
  <c r="M522" i="2"/>
  <c r="I380" i="2"/>
  <c r="K380" i="2"/>
  <c r="M380" i="2"/>
  <c r="I379" i="2"/>
  <c r="K379" i="2"/>
  <c r="M379" i="2"/>
  <c r="I521" i="2"/>
  <c r="K521" i="2"/>
  <c r="M521" i="2"/>
  <c r="I520" i="2"/>
  <c r="K520" i="2"/>
  <c r="M520" i="2"/>
  <c r="I519" i="2"/>
  <c r="K519" i="2"/>
  <c r="M519" i="2"/>
  <c r="I518" i="2"/>
  <c r="K518" i="2"/>
  <c r="M518" i="2"/>
  <c r="I550" i="2"/>
  <c r="K550" i="2"/>
  <c r="M550" i="2"/>
  <c r="I549" i="2"/>
  <c r="K549" i="2"/>
  <c r="M549" i="2"/>
  <c r="I150" i="2"/>
  <c r="K150" i="2"/>
  <c r="M150" i="2"/>
  <c r="I265" i="2"/>
  <c r="K265" i="2"/>
  <c r="M265" i="2"/>
  <c r="I331" i="2"/>
  <c r="K331" i="2"/>
  <c r="M331" i="2"/>
  <c r="I330" i="2"/>
  <c r="K330" i="2"/>
  <c r="M330" i="2"/>
  <c r="I329" i="2"/>
  <c r="K329" i="2"/>
  <c r="M329" i="2"/>
  <c r="I328" i="2"/>
  <c r="K328" i="2"/>
  <c r="M328" i="2"/>
  <c r="I327" i="2"/>
  <c r="K327" i="2"/>
  <c r="M327" i="2"/>
  <c r="I326" i="2"/>
  <c r="K326" i="2"/>
  <c r="M326" i="2"/>
  <c r="I264" i="2"/>
  <c r="K264" i="2"/>
  <c r="M264" i="2"/>
  <c r="I263" i="2"/>
  <c r="K263" i="2"/>
  <c r="M263" i="2"/>
  <c r="I439" i="2"/>
  <c r="K439" i="2"/>
  <c r="M439" i="2"/>
  <c r="I315" i="2"/>
  <c r="K315" i="2"/>
  <c r="M315" i="2"/>
  <c r="I50" i="2"/>
  <c r="K50" i="2"/>
  <c r="M50" i="2"/>
  <c r="I184" i="2"/>
  <c r="K184" i="2"/>
  <c r="M184" i="2"/>
  <c r="I279" i="2"/>
  <c r="K279" i="2"/>
  <c r="M279" i="2"/>
  <c r="I278" i="2"/>
  <c r="K278" i="2"/>
  <c r="M278" i="2"/>
  <c r="I277" i="2"/>
  <c r="K277" i="2"/>
  <c r="M277" i="2"/>
  <c r="I276" i="2"/>
  <c r="K276" i="2"/>
  <c r="M276" i="2"/>
  <c r="I149" i="2"/>
  <c r="K149" i="2"/>
  <c r="M149" i="2"/>
  <c r="I148" i="2"/>
  <c r="K148" i="2"/>
  <c r="M148" i="2"/>
  <c r="I490" i="2"/>
  <c r="K490" i="2"/>
  <c r="M490" i="2"/>
  <c r="I489" i="2"/>
  <c r="K489" i="2"/>
  <c r="M489" i="2"/>
  <c r="I45" i="2"/>
  <c r="K45" i="2"/>
  <c r="M45" i="2"/>
  <c r="I109" i="2"/>
  <c r="K109" i="2"/>
  <c r="M109" i="2"/>
  <c r="I108" i="2"/>
  <c r="K108" i="2"/>
  <c r="M108" i="2"/>
  <c r="I35" i="2"/>
  <c r="K35" i="2"/>
  <c r="M35" i="2"/>
  <c r="I437" i="2"/>
  <c r="K437" i="2"/>
  <c r="M437" i="2"/>
  <c r="I436" i="2"/>
  <c r="K436" i="2"/>
  <c r="M436" i="2"/>
  <c r="I378" i="2"/>
  <c r="K378" i="2"/>
  <c r="M378" i="2"/>
  <c r="I377" i="2"/>
  <c r="K377" i="2"/>
  <c r="M377" i="2"/>
  <c r="I44" i="2"/>
  <c r="K44" i="2"/>
  <c r="M44" i="2"/>
  <c r="I568" i="2"/>
  <c r="K568" i="2"/>
  <c r="M568" i="2"/>
  <c r="I567" i="2"/>
  <c r="K567" i="2"/>
  <c r="M567" i="2"/>
  <c r="I49" i="2"/>
  <c r="K49" i="2"/>
  <c r="M49" i="2"/>
  <c r="I183" i="2"/>
  <c r="K183" i="2"/>
  <c r="M183" i="2"/>
  <c r="I182" i="2"/>
  <c r="K182" i="2"/>
  <c r="M182" i="2"/>
  <c r="I262" i="2"/>
  <c r="K262" i="2"/>
  <c r="M262" i="2"/>
  <c r="I21" i="2"/>
  <c r="K21" i="2"/>
  <c r="M21" i="2"/>
  <c r="I206" i="2"/>
  <c r="K206" i="2"/>
  <c r="M206" i="2"/>
  <c r="I261" i="2"/>
  <c r="K261" i="2"/>
  <c r="M261" i="2"/>
  <c r="I34" i="2"/>
  <c r="K34" i="2"/>
  <c r="M34" i="2"/>
  <c r="I33" i="2"/>
  <c r="K33" i="2"/>
  <c r="M33" i="2"/>
  <c r="I32" i="2"/>
  <c r="K32" i="2"/>
  <c r="M32" i="2"/>
  <c r="I31" i="2"/>
  <c r="K31" i="2"/>
  <c r="M31" i="2"/>
  <c r="I27" i="2"/>
  <c r="K27" i="2"/>
  <c r="M27" i="2"/>
  <c r="I26" i="2"/>
  <c r="K26" i="2"/>
  <c r="M26" i="2"/>
  <c r="I25" i="2"/>
  <c r="K25" i="2"/>
  <c r="M25" i="2"/>
  <c r="I24" i="2"/>
  <c r="K24" i="2"/>
  <c r="M24" i="2"/>
  <c r="I97" i="2"/>
  <c r="K97" i="2"/>
  <c r="M97" i="2"/>
  <c r="I96" i="2"/>
  <c r="K96" i="2"/>
  <c r="M96" i="2"/>
  <c r="I95" i="2"/>
  <c r="K95" i="2"/>
  <c r="M95" i="2"/>
  <c r="I94" i="2"/>
  <c r="K94" i="2"/>
  <c r="M94" i="2"/>
  <c r="I93" i="2"/>
  <c r="K93" i="2"/>
  <c r="M93" i="2"/>
  <c r="I92" i="2"/>
  <c r="K92" i="2"/>
  <c r="M92" i="2"/>
  <c r="I635" i="2"/>
  <c r="K635" i="2"/>
  <c r="M635" i="2"/>
  <c r="I147" i="2"/>
  <c r="K147" i="2"/>
  <c r="M147" i="2"/>
  <c r="I86" i="2"/>
  <c r="K86" i="2"/>
  <c r="M86" i="2"/>
  <c r="I85" i="2"/>
  <c r="K85" i="2"/>
  <c r="M85" i="2"/>
  <c r="I181" i="2"/>
  <c r="K181" i="2"/>
  <c r="M181" i="2"/>
  <c r="I180" i="2"/>
  <c r="K180" i="2"/>
  <c r="M180" i="2"/>
  <c r="I435" i="2"/>
  <c r="K435" i="2"/>
  <c r="M435" i="2"/>
  <c r="I146" i="2"/>
  <c r="K146" i="2"/>
  <c r="M146" i="2"/>
  <c r="I145" i="2"/>
  <c r="K145" i="2"/>
  <c r="M145" i="2"/>
  <c r="I452" i="2"/>
  <c r="K452" i="2"/>
  <c r="M452" i="2"/>
  <c r="I488" i="2"/>
  <c r="K488" i="2"/>
  <c r="M488" i="2"/>
  <c r="I487" i="2"/>
  <c r="K487" i="2"/>
  <c r="M487" i="2"/>
  <c r="I353" i="2"/>
  <c r="K353" i="2"/>
  <c r="M353" i="2"/>
  <c r="I352" i="2"/>
  <c r="K352" i="2"/>
  <c r="M352" i="2"/>
  <c r="I179" i="2"/>
  <c r="K179" i="2"/>
  <c r="M179" i="2"/>
  <c r="I634" i="2"/>
  <c r="K634" i="2"/>
  <c r="M634" i="2"/>
  <c r="I76" i="2"/>
  <c r="K76" i="2"/>
  <c r="M76" i="2"/>
  <c r="I75" i="2"/>
  <c r="K75" i="2"/>
  <c r="M75" i="2"/>
  <c r="I74" i="2"/>
  <c r="K74" i="2"/>
  <c r="M74" i="2"/>
  <c r="I73" i="2"/>
  <c r="K73" i="2"/>
  <c r="M73" i="2"/>
  <c r="I72" i="2"/>
  <c r="K72" i="2"/>
  <c r="M72" i="2"/>
  <c r="I71" i="2"/>
  <c r="K71" i="2"/>
  <c r="M71" i="2"/>
  <c r="I434" i="2"/>
  <c r="K434" i="2"/>
  <c r="M434" i="2"/>
  <c r="I433" i="2"/>
  <c r="K433" i="2"/>
  <c r="M433" i="2"/>
  <c r="I144" i="2"/>
  <c r="K144" i="2"/>
  <c r="M144" i="2"/>
  <c r="I178" i="2"/>
  <c r="K178" i="2"/>
  <c r="M178" i="2"/>
  <c r="I548" i="2"/>
  <c r="K548" i="2"/>
  <c r="M548" i="2"/>
  <c r="I432" i="2"/>
  <c r="K432" i="2"/>
  <c r="M432" i="2"/>
  <c r="I143" i="2"/>
  <c r="K143" i="2"/>
  <c r="M143" i="2"/>
  <c r="I142" i="2"/>
  <c r="K142" i="2"/>
  <c r="M142" i="2"/>
  <c r="I141" i="2"/>
  <c r="K141" i="2"/>
  <c r="M141" i="2"/>
  <c r="I140" i="2"/>
  <c r="K140" i="2"/>
  <c r="M140" i="2"/>
  <c r="I139" i="2"/>
  <c r="K139" i="2"/>
  <c r="M139" i="2"/>
  <c r="I138" i="2"/>
  <c r="K138" i="2"/>
  <c r="M138" i="2"/>
  <c r="I48" i="2"/>
  <c r="K48" i="2"/>
  <c r="M48" i="2"/>
  <c r="I54" i="2"/>
  <c r="K54" i="2"/>
  <c r="M54" i="2"/>
  <c r="I53" i="2"/>
  <c r="K53" i="2"/>
  <c r="M53" i="2"/>
  <c r="I52" i="2"/>
  <c r="K52" i="2"/>
  <c r="M52" i="2"/>
  <c r="I438" i="2"/>
  <c r="K438" i="2"/>
  <c r="M438" i="2"/>
  <c r="I376" i="2"/>
  <c r="K376" i="2"/>
  <c r="M376" i="2"/>
  <c r="I375" i="2"/>
  <c r="K375" i="2"/>
  <c r="M375" i="2"/>
  <c r="I374" i="2"/>
  <c r="K374" i="2"/>
  <c r="M374" i="2"/>
  <c r="I373" i="2"/>
  <c r="K373" i="2"/>
  <c r="M373" i="2"/>
  <c r="I602" i="2"/>
  <c r="K602" i="2"/>
  <c r="M602" i="2"/>
  <c r="I601" i="2"/>
  <c r="K601" i="2"/>
  <c r="M601" i="2"/>
  <c r="I372" i="2"/>
  <c r="K372" i="2"/>
  <c r="M372" i="2"/>
  <c r="I371" i="2"/>
  <c r="K371" i="2"/>
  <c r="M371" i="2"/>
  <c r="I107" i="2"/>
  <c r="K107" i="2"/>
  <c r="M107" i="2"/>
  <c r="I106" i="2"/>
  <c r="K106" i="2"/>
  <c r="M106" i="2"/>
  <c r="I136" i="2"/>
  <c r="K136" i="2"/>
  <c r="M136" i="2"/>
  <c r="I135" i="2"/>
  <c r="K135" i="2"/>
  <c r="M135" i="2"/>
  <c r="I615" i="2"/>
  <c r="K615" i="2"/>
  <c r="M615" i="2"/>
  <c r="I614" i="2"/>
  <c r="K614" i="2"/>
  <c r="M614" i="2"/>
  <c r="I613" i="2"/>
  <c r="K613" i="2"/>
  <c r="M613" i="2"/>
  <c r="I612" i="2"/>
  <c r="K612" i="2"/>
  <c r="M612" i="2"/>
  <c r="I611" i="2"/>
  <c r="K611" i="2"/>
  <c r="M611" i="2"/>
  <c r="I105" i="2"/>
  <c r="K105" i="2"/>
  <c r="M105" i="2"/>
  <c r="I104" i="2"/>
  <c r="K104" i="2"/>
  <c r="M104" i="2"/>
  <c r="I177" i="2"/>
  <c r="K177" i="2"/>
  <c r="M177" i="2"/>
  <c r="I103" i="2"/>
  <c r="K103" i="2"/>
  <c r="M103" i="2"/>
  <c r="I275" i="2"/>
  <c r="K275" i="2"/>
  <c r="M275" i="2"/>
  <c r="I134" i="2"/>
  <c r="K134" i="2"/>
  <c r="M134" i="2"/>
  <c r="I486" i="2"/>
  <c r="K486" i="2"/>
  <c r="M486" i="2"/>
  <c r="I485" i="2"/>
  <c r="K485" i="2"/>
  <c r="M485" i="2"/>
  <c r="I137" i="2"/>
  <c r="K137" i="2"/>
  <c r="M137" i="2"/>
  <c r="I133" i="2"/>
  <c r="K133" i="2"/>
  <c r="M133" i="2"/>
  <c r="I132" i="2"/>
  <c r="K132" i="2"/>
  <c r="M132" i="2"/>
  <c r="I131" i="2"/>
  <c r="K131" i="2"/>
  <c r="M131" i="2"/>
  <c r="I431" i="2"/>
  <c r="K431" i="2"/>
  <c r="M431" i="2"/>
  <c r="I559" i="2"/>
  <c r="K559" i="2"/>
  <c r="M559" i="2"/>
  <c r="I430" i="2"/>
  <c r="K430" i="2"/>
  <c r="M430" i="2"/>
  <c r="I429" i="2"/>
  <c r="K429" i="2"/>
  <c r="M429" i="2"/>
  <c r="I428" i="2"/>
  <c r="K428" i="2"/>
  <c r="M428" i="2"/>
  <c r="I15" i="2"/>
  <c r="K15" i="2"/>
  <c r="M15" i="2"/>
  <c r="I14" i="2"/>
  <c r="K14" i="2"/>
  <c r="M14" i="2"/>
  <c r="I13" i="2"/>
  <c r="K13" i="2"/>
  <c r="M13" i="2"/>
  <c r="I12" i="2"/>
  <c r="K12" i="2"/>
  <c r="M12" i="2"/>
  <c r="I43" i="2"/>
  <c r="K43" i="2"/>
  <c r="M43" i="2"/>
  <c r="I42" i="2"/>
  <c r="K42" i="2"/>
  <c r="M42" i="2"/>
  <c r="I653" i="2"/>
  <c r="K653" i="2"/>
  <c r="M653" i="2"/>
  <c r="I314" i="2"/>
  <c r="K314" i="2"/>
  <c r="M314" i="2"/>
  <c r="I313" i="2"/>
  <c r="K313" i="2"/>
  <c r="M313" i="2"/>
  <c r="I312" i="2"/>
  <c r="K312" i="2"/>
  <c r="M312" i="2"/>
  <c r="I311" i="2"/>
  <c r="K311" i="2"/>
  <c r="M311" i="2"/>
  <c r="I310" i="2"/>
  <c r="K310" i="2"/>
  <c r="M310" i="2"/>
  <c r="I309" i="2"/>
  <c r="K309" i="2"/>
  <c r="M309" i="2"/>
  <c r="I308" i="2"/>
  <c r="K308" i="2"/>
  <c r="M308" i="2"/>
  <c r="I307" i="2"/>
  <c r="K307" i="2"/>
  <c r="M307" i="2"/>
  <c r="I370" i="2"/>
  <c r="K370" i="2"/>
  <c r="M370" i="2"/>
  <c r="I325" i="2"/>
  <c r="K325" i="2"/>
  <c r="M325" i="2"/>
  <c r="I20" i="2"/>
  <c r="K20" i="2"/>
  <c r="M20" i="2"/>
  <c r="I176" i="2"/>
  <c r="K176" i="2"/>
  <c r="M176" i="2"/>
  <c r="I175" i="2"/>
  <c r="K175" i="2"/>
  <c r="M175" i="2"/>
  <c r="I174" i="2"/>
  <c r="K174" i="2"/>
  <c r="M174" i="2"/>
  <c r="I5" i="2"/>
  <c r="K5" i="2"/>
  <c r="M5" i="2"/>
  <c r="I19" i="2"/>
  <c r="K19" i="2"/>
  <c r="M19" i="2"/>
  <c r="I4" i="2"/>
  <c r="K4" i="2"/>
  <c r="M4" i="2"/>
  <c r="I205" i="2"/>
  <c r="K205" i="2"/>
  <c r="M205" i="2"/>
  <c r="I84" i="2"/>
  <c r="K84" i="2"/>
  <c r="M84" i="2"/>
  <c r="I130" i="2"/>
  <c r="K130" i="2"/>
  <c r="M130" i="2"/>
  <c r="E120" i="6" l="1"/>
  <c r="E90" i="6"/>
  <c r="E62" i="6"/>
  <c r="E16" i="6"/>
  <c r="E17" i="6"/>
  <c r="E71" i="6"/>
  <c r="E37" i="6"/>
  <c r="E10" i="6"/>
  <c r="E30" i="6"/>
  <c r="E82" i="6"/>
  <c r="E31" i="6"/>
  <c r="E29" i="6"/>
  <c r="E104" i="6"/>
  <c r="E19" i="6"/>
  <c r="E103" i="6"/>
  <c r="E98" i="6"/>
  <c r="E102" i="6"/>
  <c r="E99" i="6"/>
  <c r="E105" i="6"/>
  <c r="E6" i="6"/>
  <c r="E26" i="6"/>
  <c r="E47" i="6"/>
  <c r="E64" i="6"/>
  <c r="E81" i="6"/>
  <c r="E101" i="6"/>
  <c r="E7" i="6"/>
  <c r="E27" i="6"/>
  <c r="E48" i="6"/>
  <c r="E65" i="6"/>
  <c r="E83" i="6"/>
  <c r="E106" i="6"/>
  <c r="E4" i="6"/>
  <c r="E28" i="6"/>
  <c r="E53" i="6"/>
  <c r="E79" i="6"/>
  <c r="E111" i="6"/>
  <c r="E14" i="6"/>
  <c r="E61" i="6"/>
  <c r="E119" i="6"/>
  <c r="E80" i="6"/>
  <c r="E50" i="6"/>
  <c r="E42" i="6"/>
  <c r="E38" i="6"/>
  <c r="E112" i="6"/>
  <c r="E11" i="6"/>
  <c r="E33" i="6"/>
  <c r="E51" i="6"/>
  <c r="E68" i="6"/>
  <c r="E86" i="6"/>
  <c r="E109" i="6"/>
  <c r="E12" i="6"/>
  <c r="E35" i="6"/>
  <c r="E52" i="6"/>
  <c r="E69" i="6"/>
  <c r="E87" i="6"/>
  <c r="E110" i="6"/>
  <c r="E8" i="6"/>
  <c r="E36" i="6"/>
  <c r="E57" i="6"/>
  <c r="E84" i="6"/>
  <c r="E115" i="6"/>
  <c r="E21" i="6"/>
  <c r="E75" i="6"/>
  <c r="E25" i="6"/>
  <c r="E100" i="6"/>
  <c r="E67" i="6"/>
  <c r="E76" i="6"/>
  <c r="E54" i="6"/>
  <c r="E43" i="6"/>
  <c r="E95" i="6"/>
  <c r="E23" i="6"/>
  <c r="E60" i="6"/>
  <c r="E96" i="6"/>
  <c r="E24" i="6"/>
  <c r="E70" i="6"/>
  <c r="E9" i="6"/>
  <c r="E63" i="6"/>
  <c r="E108" i="6"/>
  <c r="E89" i="6"/>
  <c r="E15" i="6"/>
  <c r="E39" i="6"/>
  <c r="E55" i="6"/>
  <c r="E73" i="6"/>
  <c r="E91" i="6"/>
  <c r="E113" i="6"/>
  <c r="E18" i="6"/>
  <c r="E40" i="6"/>
  <c r="E56" i="6"/>
  <c r="E74" i="6"/>
  <c r="E92" i="6"/>
  <c r="E114" i="6"/>
  <c r="E13" i="6"/>
  <c r="E41" i="6"/>
  <c r="E66" i="6"/>
  <c r="E93" i="6"/>
  <c r="E5" i="6"/>
  <c r="E20" i="6"/>
  <c r="E88" i="6"/>
  <c r="E46" i="6"/>
  <c r="E58" i="6"/>
  <c r="E85" i="6"/>
  <c r="E94" i="6"/>
  <c r="E72" i="6"/>
  <c r="E22" i="6"/>
  <c r="E59" i="6"/>
  <c r="E77" i="6"/>
  <c r="E117" i="6"/>
  <c r="E44" i="6"/>
  <c r="E78" i="6"/>
  <c r="E118" i="6"/>
  <c r="E49" i="6"/>
  <c r="E97" i="6"/>
  <c r="E45" i="6"/>
  <c r="E107" i="6"/>
  <c r="E32" i="6"/>
  <c r="E116" i="6"/>
  <c r="E34" i="6"/>
  <c r="L1" i="2"/>
</calcChain>
</file>

<file path=xl/comments1.xml><?xml version="1.0" encoding="utf-8"?>
<comments xmlns="http://schemas.openxmlformats.org/spreadsheetml/2006/main">
  <authors>
    <author>Franke, Jan - SIB-L2</author>
  </authors>
  <commentList>
    <comment ref="B2" authorId="0">
      <text>
        <r>
          <rPr>
            <b/>
            <sz val="9"/>
            <color indexed="81"/>
            <rFont val="Tahoma"/>
            <charset val="1"/>
          </rPr>
          <t>ID</t>
        </r>
      </text>
    </comment>
    <comment ref="C2" authorId="0">
      <text>
        <r>
          <rPr>
            <b/>
            <sz val="9"/>
            <color indexed="81"/>
            <rFont val="Tahoma"/>
            <charset val="1"/>
          </rPr>
          <t>DokuName</t>
        </r>
      </text>
    </comment>
    <comment ref="D2" authorId="0">
      <text>
        <r>
          <rPr>
            <b/>
            <sz val="9"/>
            <color indexed="81"/>
            <rFont val="Tahoma"/>
            <family val="2"/>
          </rPr>
          <t>Modul-CodeName</t>
        </r>
      </text>
    </comment>
    <comment ref="Q2" authorId="0">
      <text>
        <r>
          <rPr>
            <b/>
            <sz val="9"/>
            <color indexed="81"/>
            <rFont val="Tahoma"/>
            <charset val="1"/>
          </rPr>
          <t>DokuLink</t>
        </r>
      </text>
    </comment>
    <comment ref="R2" authorId="0">
      <text>
        <r>
          <rPr>
            <b/>
            <sz val="9"/>
            <color indexed="81"/>
            <rFont val="Tahoma"/>
            <charset val="1"/>
          </rPr>
          <t>AddInPath</t>
        </r>
      </text>
    </comment>
  </commentList>
</comments>
</file>

<file path=xl/comments2.xml><?xml version="1.0" encoding="utf-8"?>
<comments xmlns="http://schemas.openxmlformats.org/spreadsheetml/2006/main">
  <authors>
    <author>Franke, Jan - SIB-L2</author>
  </authors>
  <commentList>
    <comment ref="B3" authorId="0">
      <text>
        <r>
          <rPr>
            <b/>
            <sz val="9"/>
            <color indexed="81"/>
            <rFont val="Tahoma"/>
            <charset val="1"/>
          </rPr>
          <t>IfcName</t>
        </r>
      </text>
    </comment>
    <comment ref="D3" authorId="0">
      <text>
        <r>
          <rPr>
            <b/>
            <sz val="9"/>
            <color indexed="81"/>
            <rFont val="Tahoma"/>
            <charset val="1"/>
          </rPr>
          <t>ID-Modul</t>
        </r>
      </text>
    </comment>
    <comment ref="F3" authorId="0">
      <text>
        <r>
          <rPr>
            <b/>
            <sz val="9"/>
            <color indexed="81"/>
            <rFont val="Tahoma"/>
            <charset val="1"/>
          </rPr>
          <t>SubType</t>
        </r>
      </text>
    </comment>
    <comment ref="G3" authorId="0">
      <text>
        <r>
          <rPr>
            <b/>
            <sz val="9"/>
            <color indexed="81"/>
            <rFont val="Tahoma"/>
            <charset val="1"/>
          </rPr>
          <t>SuperType</t>
        </r>
      </text>
    </comment>
    <comment ref="H3" authorId="0">
      <text>
        <r>
          <rPr>
            <b/>
            <sz val="9"/>
            <color indexed="81"/>
            <rFont val="Tahoma"/>
            <charset val="1"/>
          </rPr>
          <t>DecLine</t>
        </r>
      </text>
    </comment>
    <comment ref="J3" authorId="0">
      <text>
        <r>
          <rPr>
            <b/>
            <sz val="9"/>
            <color indexed="81"/>
            <rFont val="Tahoma"/>
            <family val="2"/>
          </rPr>
          <t>ClassName</t>
        </r>
      </text>
    </comment>
    <comment ref="O3" authorId="0">
      <text>
        <r>
          <rPr>
            <b/>
            <sz val="9"/>
            <color indexed="81"/>
            <rFont val="Tahoma"/>
            <charset val="1"/>
          </rPr>
          <t>Link</t>
        </r>
      </text>
    </comment>
  </commentList>
</comments>
</file>

<file path=xl/comments3.xml><?xml version="1.0" encoding="utf-8"?>
<comments xmlns="http://schemas.openxmlformats.org/spreadsheetml/2006/main">
  <authors>
    <author>Franke, Jan - SIB-L2</author>
  </authors>
  <commentList>
    <comment ref="C3" authorId="0">
      <text>
        <r>
          <rPr>
            <b/>
            <sz val="9"/>
            <color indexed="81"/>
            <rFont val="Tahoma"/>
            <charset val="1"/>
          </rPr>
          <t>IfcName</t>
        </r>
      </text>
    </comment>
    <comment ref="D3" authorId="0">
      <text>
        <r>
          <rPr>
            <b/>
            <sz val="9"/>
            <color indexed="81"/>
            <rFont val="Tahoma"/>
            <charset val="1"/>
          </rPr>
          <t>ID-Modul</t>
        </r>
      </text>
    </comment>
    <comment ref="F3" authorId="0">
      <text>
        <r>
          <rPr>
            <b/>
            <sz val="9"/>
            <color indexed="81"/>
            <rFont val="Tahoma"/>
            <charset val="1"/>
          </rPr>
          <t>IfcType</t>
        </r>
      </text>
    </comment>
    <comment ref="G3" authorId="0">
      <text>
        <r>
          <rPr>
            <b/>
            <sz val="9"/>
            <color indexed="81"/>
            <rFont val="Tahoma"/>
            <charset val="1"/>
          </rPr>
          <t>Link</t>
        </r>
      </text>
    </comment>
  </commentList>
</comments>
</file>

<file path=xl/comments4.xml><?xml version="1.0" encoding="utf-8"?>
<comments xmlns="http://schemas.openxmlformats.org/spreadsheetml/2006/main">
  <authors>
    <author>Franke, Jan - SIB-L2</author>
  </authors>
  <commentList>
    <comment ref="C3" authorId="0">
      <text>
        <r>
          <rPr>
            <b/>
            <sz val="9"/>
            <color indexed="81"/>
            <rFont val="Tahoma"/>
            <charset val="1"/>
          </rPr>
          <t>IfcName</t>
        </r>
      </text>
    </comment>
    <comment ref="D3" authorId="0">
      <text>
        <r>
          <rPr>
            <b/>
            <sz val="9"/>
            <color indexed="81"/>
            <rFont val="Tahoma"/>
            <charset val="1"/>
          </rPr>
          <t>ID-Modul</t>
        </r>
      </text>
    </comment>
    <comment ref="F3" authorId="0">
      <text>
        <r>
          <rPr>
            <b/>
            <sz val="9"/>
            <color indexed="81"/>
            <rFont val="Tahoma"/>
            <charset val="1"/>
          </rPr>
          <t>Link</t>
        </r>
      </text>
    </comment>
  </commentList>
</comments>
</file>

<file path=xl/comments5.xml><?xml version="1.0" encoding="utf-8"?>
<comments xmlns="http://schemas.openxmlformats.org/spreadsheetml/2006/main">
  <authors>
    <author>Franke, Jan - SIB-L2</author>
  </authors>
  <commentList>
    <comment ref="C3" authorId="0">
      <text>
        <r>
          <rPr>
            <b/>
            <sz val="9"/>
            <color indexed="81"/>
            <rFont val="Tahoma"/>
            <charset val="1"/>
          </rPr>
          <t>IfcName</t>
        </r>
      </text>
    </comment>
    <comment ref="D3" authorId="0">
      <text>
        <r>
          <rPr>
            <b/>
            <sz val="9"/>
            <color indexed="81"/>
            <rFont val="Tahoma"/>
            <charset val="1"/>
          </rPr>
          <t>ID-Modul</t>
        </r>
      </text>
    </comment>
    <comment ref="F3" authorId="0">
      <text>
        <r>
          <rPr>
            <b/>
            <sz val="9"/>
            <color indexed="81"/>
            <rFont val="Tahoma"/>
            <charset val="1"/>
          </rPr>
          <t>Link</t>
        </r>
      </text>
    </comment>
    <comment ref="G3" authorId="0">
      <text>
        <r>
          <rPr>
            <b/>
            <sz val="9"/>
            <color indexed="81"/>
            <rFont val="Tahoma"/>
            <charset val="1"/>
          </rPr>
          <t>Präfix</t>
        </r>
      </text>
    </comment>
  </commentList>
</comments>
</file>

<file path=xl/comments6.xml><?xml version="1.0" encoding="utf-8"?>
<comments xmlns="http://schemas.openxmlformats.org/spreadsheetml/2006/main">
  <authors>
    <author>Franke, Jan - SIB-L2</author>
  </authors>
  <commentList>
    <comment ref="C3" authorId="0">
      <text>
        <r>
          <rPr>
            <b/>
            <sz val="9"/>
            <color indexed="81"/>
            <rFont val="Tahoma"/>
            <charset val="1"/>
          </rPr>
          <t>IfcName</t>
        </r>
      </text>
    </comment>
    <comment ref="D3" authorId="0">
      <text>
        <r>
          <rPr>
            <b/>
            <sz val="9"/>
            <color indexed="81"/>
            <rFont val="Tahoma"/>
            <charset val="1"/>
          </rPr>
          <t>ID-Modul</t>
        </r>
      </text>
    </comment>
    <comment ref="F3" authorId="0">
      <text>
        <r>
          <rPr>
            <b/>
            <sz val="9"/>
            <color indexed="81"/>
            <rFont val="Tahoma"/>
            <charset val="1"/>
          </rPr>
          <t>Link</t>
        </r>
      </text>
    </comment>
  </commentList>
</comments>
</file>

<file path=xl/sharedStrings.xml><?xml version="1.0" encoding="utf-8"?>
<sst xmlns="http://schemas.openxmlformats.org/spreadsheetml/2006/main" count="7392" uniqueCount="5049">
  <si>
    <t>ID</t>
  </si>
  <si>
    <t>IFC-Name</t>
  </si>
  <si>
    <t>ID-Modul</t>
  </si>
  <si>
    <t>IFC-Name Modul</t>
  </si>
  <si>
    <t>EXPRESS-Datei</t>
  </si>
  <si>
    <t>Ifc2DCompositeCurve</t>
  </si>
  <si>
    <t>IfcActionRequest</t>
  </si>
  <si>
    <t>IfcActor</t>
  </si>
  <si>
    <t>IfcActuatorType</t>
  </si>
  <si>
    <t>IfcAddress</t>
  </si>
  <si>
    <t>IfcAirTerminalBoxType</t>
  </si>
  <si>
    <t>IfcAirTerminalType</t>
  </si>
  <si>
    <t>IfcAirToAirHeatRecoveryType</t>
  </si>
  <si>
    <t>IfcAlarmType</t>
  </si>
  <si>
    <t>IfcAngularDimension</t>
  </si>
  <si>
    <t>IfcAnnotation</t>
  </si>
  <si>
    <t>IfcAnnotationCurveOccurrence</t>
  </si>
  <si>
    <t>IfcAnnotationFillArea</t>
  </si>
  <si>
    <t>IfcAnnotationFillAreaOccurrence</t>
  </si>
  <si>
    <t>IfcAnnotationOccurrence</t>
  </si>
  <si>
    <t>IfcAnnotationSurface</t>
  </si>
  <si>
    <t>IfcAnnotationSurfaceOccurrence</t>
  </si>
  <si>
    <t>IfcAnnotationSymbolOccurrence</t>
  </si>
  <si>
    <t>IfcAnnotationTextOccurrence</t>
  </si>
  <si>
    <t>IfcAppliedValue</t>
  </si>
  <si>
    <t>IfcArbitraryClosedProfileDef</t>
  </si>
  <si>
    <t>IfcArbitraryOpenProfileDef</t>
  </si>
  <si>
    <t>IfcArbitraryProfileDefWithVoids</t>
  </si>
  <si>
    <t>IfcAsset</t>
  </si>
  <si>
    <t>IfcAsymmetricIShapeProfileDef</t>
  </si>
  <si>
    <t>IfcAxis1Placement</t>
  </si>
  <si>
    <t>IfcAxis2Placement2D</t>
  </si>
  <si>
    <t>IfcAxis2Placement3D</t>
  </si>
  <si>
    <t>IfcBSplineCurve</t>
  </si>
  <si>
    <t>IfcBeam</t>
  </si>
  <si>
    <t>IfcBeamType</t>
  </si>
  <si>
    <t>IfcBezierCurve</t>
  </si>
  <si>
    <t>IfcBlobTexture</t>
  </si>
  <si>
    <t>IfcBlock</t>
  </si>
  <si>
    <t>IfcBoilerType</t>
  </si>
  <si>
    <t>IfcBooleanClippingResult</t>
  </si>
  <si>
    <t>IfcBooleanResult</t>
  </si>
  <si>
    <t>IfcBoundaryCondition</t>
  </si>
  <si>
    <t>IfcBoundaryEdgeCondition</t>
  </si>
  <si>
    <t>IfcBoundaryFaceCondition</t>
  </si>
  <si>
    <t>IfcBoundaryNodeCondition</t>
  </si>
  <si>
    <t>IfcBoundaryNodeConditionWarping</t>
  </si>
  <si>
    <t>IfcBoundedCurve</t>
  </si>
  <si>
    <t>IfcBoundedSurface</t>
  </si>
  <si>
    <t>IfcBoundingBox</t>
  </si>
  <si>
    <t>IfcBoxedHalfSpace</t>
  </si>
  <si>
    <t>IfcBuilding</t>
  </si>
  <si>
    <t>IfcBuildingElement</t>
  </si>
  <si>
    <t>IfcBuildingElementComponent</t>
  </si>
  <si>
    <t>IfcBuildingElementPart</t>
  </si>
  <si>
    <t>IfcBuildingElementProxy</t>
  </si>
  <si>
    <t>IfcBuildingElementProxyType</t>
  </si>
  <si>
    <t>IfcBuildingElementType</t>
  </si>
  <si>
    <t>IfcBuildingStorey</t>
  </si>
  <si>
    <t>IfcCShapeProfileDef</t>
  </si>
  <si>
    <t>IfcCableCarrierFittingType</t>
  </si>
  <si>
    <t>IfcCableCarrierSegmentType</t>
  </si>
  <si>
    <t>IfcCableSegmentType</t>
  </si>
  <si>
    <t>IfcCartesianPoint</t>
  </si>
  <si>
    <t>IfcCartesianTransformationOperator</t>
  </si>
  <si>
    <t>IfcCartesianTransformationOperator2D</t>
  </si>
  <si>
    <t>IfcCartesianTransformationOperator2DnonUniform</t>
  </si>
  <si>
    <t>IfcCartesianTransformationOperator3D</t>
  </si>
  <si>
    <t>IfcCartesianTransformationOperator3DnonUniform</t>
  </si>
  <si>
    <t>IfcCenterLineProfileDef</t>
  </si>
  <si>
    <t>IfcChamferEdgeFeature</t>
  </si>
  <si>
    <t>IfcChillerType</t>
  </si>
  <si>
    <t>IfcCircle</t>
  </si>
  <si>
    <t>IfcCircleHollowProfileDef</t>
  </si>
  <si>
    <t>IfcCircleProfileDef</t>
  </si>
  <si>
    <t>IfcClassificationReference</t>
  </si>
  <si>
    <t>IfcClosedShell</t>
  </si>
  <si>
    <t>IfcCoilType</t>
  </si>
  <si>
    <t>IfcColourRgb</t>
  </si>
  <si>
    <t>IfcColourSpecification</t>
  </si>
  <si>
    <t>IfcColumn</t>
  </si>
  <si>
    <t>IfcColumnType</t>
  </si>
  <si>
    <t>IfcComplexProperty</t>
  </si>
  <si>
    <t>IfcCompositeCurve</t>
  </si>
  <si>
    <t>IfcCompositeCurveSegment</t>
  </si>
  <si>
    <t>IfcCompositeProfileDef</t>
  </si>
  <si>
    <t>IfcCompressorType</t>
  </si>
  <si>
    <t>IfcCondenserType</t>
  </si>
  <si>
    <t>IfcCondition</t>
  </si>
  <si>
    <t>IfcConditionCriterion</t>
  </si>
  <si>
    <t>IfcConic</t>
  </si>
  <si>
    <t>IfcConnectedFaceSet</t>
  </si>
  <si>
    <t>IfcConnectionCurveGeometry</t>
  </si>
  <si>
    <t>IfcConnectionGeometry</t>
  </si>
  <si>
    <t>IfcConnectionPointEccentricity</t>
  </si>
  <si>
    <t>IfcConnectionPointGeometry</t>
  </si>
  <si>
    <t>IfcConnectionPortGeometry</t>
  </si>
  <si>
    <t>IfcConnectionSurfaceGeometry</t>
  </si>
  <si>
    <t>IfcConstraint</t>
  </si>
  <si>
    <t>IfcConstructionEquipmentResource</t>
  </si>
  <si>
    <t>IfcConstructionMaterialResource</t>
  </si>
  <si>
    <t>IfcConstructionProductResource</t>
  </si>
  <si>
    <t>IfcConstructionResource</t>
  </si>
  <si>
    <t>IfcContextDependentUnit</t>
  </si>
  <si>
    <t>IfcControl</t>
  </si>
  <si>
    <t>IfcControllerType</t>
  </si>
  <si>
    <t>IfcConversionBasedUnit</t>
  </si>
  <si>
    <t>IfcCooledBeamType</t>
  </si>
  <si>
    <t>IfcCoolingTowerType</t>
  </si>
  <si>
    <t>IfcCostItem</t>
  </si>
  <si>
    <t>IfcCostSchedule</t>
  </si>
  <si>
    <t>IfcCostValue</t>
  </si>
  <si>
    <t>IfcCovering</t>
  </si>
  <si>
    <t>IfcCoveringType</t>
  </si>
  <si>
    <t>IfcCraneRailAShapeProfileDef</t>
  </si>
  <si>
    <t>IfcCraneRailFShapeProfileDef</t>
  </si>
  <si>
    <t>IfcCrewResource</t>
  </si>
  <si>
    <t>IfcCsgPrimitive3D</t>
  </si>
  <si>
    <t>IfcCsgSolid</t>
  </si>
  <si>
    <t>IfcCurtainWall</t>
  </si>
  <si>
    <t>IfcCurtainWallType</t>
  </si>
  <si>
    <t>IfcCurve</t>
  </si>
  <si>
    <t>IfcCurveBoundedPlane</t>
  </si>
  <si>
    <t>IfcCurveStyle</t>
  </si>
  <si>
    <t>IfcDamperType</t>
  </si>
  <si>
    <t>IfcDefinedSymbol</t>
  </si>
  <si>
    <t>IfcDerivedProfileDef</t>
  </si>
  <si>
    <t>IfcDiameterDimension</t>
  </si>
  <si>
    <t>IfcDimensionCalloutRelationship</t>
  </si>
  <si>
    <t>IfcDimensionCurve</t>
  </si>
  <si>
    <t>IfcDimensionCurveDirectedCallout</t>
  </si>
  <si>
    <t>IfcDimensionCurveTerminator</t>
  </si>
  <si>
    <t>IfcDimensionPair</t>
  </si>
  <si>
    <t>IfcDirection</t>
  </si>
  <si>
    <t>IfcDiscreteAccessory</t>
  </si>
  <si>
    <t>IfcDiscreteAccessoryType</t>
  </si>
  <si>
    <t>IfcDistributionChamberElement</t>
  </si>
  <si>
    <t>IfcDistributionChamberElementType</t>
  </si>
  <si>
    <t>IfcDistributionControlElement</t>
  </si>
  <si>
    <t>IfcDistributionControlElementType</t>
  </si>
  <si>
    <t>IfcDistributionElement</t>
  </si>
  <si>
    <t>IfcDistributionElementType</t>
  </si>
  <si>
    <t>IfcDistributionFlowElement</t>
  </si>
  <si>
    <t>IfcDistributionFlowElementType</t>
  </si>
  <si>
    <t>IfcDistributionPort</t>
  </si>
  <si>
    <t>IfcDocumentReference</t>
  </si>
  <si>
    <t>IfcDoor</t>
  </si>
  <si>
    <t>IfcDoorLiningProperties</t>
  </si>
  <si>
    <t>IfcDoorPanelProperties</t>
  </si>
  <si>
    <t>IfcDoorStyle</t>
  </si>
  <si>
    <t>IfcDraughtingCallout</t>
  </si>
  <si>
    <t>IfcDraughtingCalloutRelationship</t>
  </si>
  <si>
    <t>IfcDraughtingPreDefinedColour</t>
  </si>
  <si>
    <t>IfcDraughtingPreDefinedCurveFont</t>
  </si>
  <si>
    <t>IfcDraughtingPreDefinedTextFont</t>
  </si>
  <si>
    <t>IfcDuctFittingType</t>
  </si>
  <si>
    <t>IfcDuctSegmentType</t>
  </si>
  <si>
    <t>IfcDuctSilencerType</t>
  </si>
  <si>
    <t>IfcEdge</t>
  </si>
  <si>
    <t>IfcEdgeCurve</t>
  </si>
  <si>
    <t>IfcEdgeFeature</t>
  </si>
  <si>
    <t>IfcEdgeLoop</t>
  </si>
  <si>
    <t>IfcElectricApplianceType</t>
  </si>
  <si>
    <t>IfcElectricDistributionPoint</t>
  </si>
  <si>
    <t>IfcElectricFlowStorageDeviceType</t>
  </si>
  <si>
    <t>IfcElectricGeneratorType</t>
  </si>
  <si>
    <t>IfcElectricHeaterType</t>
  </si>
  <si>
    <t>IfcElectricMotorType</t>
  </si>
  <si>
    <t>IfcElectricTimeControlType</t>
  </si>
  <si>
    <t>IfcElectricalBaseProperties</t>
  </si>
  <si>
    <t>IfcElectricalCircuit</t>
  </si>
  <si>
    <t>IfcElectricalElement</t>
  </si>
  <si>
    <t>IfcElement</t>
  </si>
  <si>
    <t>IfcElementAssembly</t>
  </si>
  <si>
    <t>IfcElementComponent</t>
  </si>
  <si>
    <t>IfcElementComponentType</t>
  </si>
  <si>
    <t>IfcElementQuantity</t>
  </si>
  <si>
    <t>IfcElementType</t>
  </si>
  <si>
    <t>IfcElementarySurface</t>
  </si>
  <si>
    <t>IfcEllipse</t>
  </si>
  <si>
    <t>IfcEllipseProfileDef</t>
  </si>
  <si>
    <t>IfcEnergyConversionDevice</t>
  </si>
  <si>
    <t>IfcEnergyConversionDeviceType</t>
  </si>
  <si>
    <t>IfcEnergyProperties</t>
  </si>
  <si>
    <t>IfcEnvironmentalImpactValue</t>
  </si>
  <si>
    <t>IfcEquipmentElement</t>
  </si>
  <si>
    <t>IfcEquipmentStandard</t>
  </si>
  <si>
    <t>IfcEvaporativeCoolerType</t>
  </si>
  <si>
    <t>IfcEvaporatorType</t>
  </si>
  <si>
    <t>IfcExtendedMaterialProperties</t>
  </si>
  <si>
    <t>IfcExternalReference</t>
  </si>
  <si>
    <t>IfcExternallyDefinedHatchStyle</t>
  </si>
  <si>
    <t>IfcExternallyDefinedSurfaceStyle</t>
  </si>
  <si>
    <t>IfcExternallyDefinedSymbol</t>
  </si>
  <si>
    <t>IfcExternallyDefinedTextFont</t>
  </si>
  <si>
    <t>IfcExtrudedAreaSolid</t>
  </si>
  <si>
    <t>IfcFace</t>
  </si>
  <si>
    <t>IfcFaceBasedSurfaceModel</t>
  </si>
  <si>
    <t>IfcFaceBound</t>
  </si>
  <si>
    <t>IfcFaceOuterBound</t>
  </si>
  <si>
    <t>IfcFaceSurface</t>
  </si>
  <si>
    <t>IfcFacetedBrep</t>
  </si>
  <si>
    <t>IfcFacetedBrepWithVoids</t>
  </si>
  <si>
    <t>IfcFailureConnectionCondition</t>
  </si>
  <si>
    <t>IfcFanType</t>
  </si>
  <si>
    <t>IfcFastener</t>
  </si>
  <si>
    <t>IfcFastenerType</t>
  </si>
  <si>
    <t>IfcFeatureElement</t>
  </si>
  <si>
    <t>IfcFeatureElementAddition</t>
  </si>
  <si>
    <t>IfcFeatureElementSubtraction</t>
  </si>
  <si>
    <t>IfcFillAreaStyle</t>
  </si>
  <si>
    <t>IfcFillAreaStyleHatching</t>
  </si>
  <si>
    <t>IfcFillAreaStyleTileSymbolWithStyle</t>
  </si>
  <si>
    <t>IfcFillAreaStyleTiles</t>
  </si>
  <si>
    <t>IfcFilterType</t>
  </si>
  <si>
    <t>IfcFireSuppressionTerminalType</t>
  </si>
  <si>
    <t>IfcFlowController</t>
  </si>
  <si>
    <t>IfcFlowControllerType</t>
  </si>
  <si>
    <t>IfcFlowFitting</t>
  </si>
  <si>
    <t>IfcFlowFittingType</t>
  </si>
  <si>
    <t>IfcFlowInstrumentType</t>
  </si>
  <si>
    <t>IfcFlowMeterType</t>
  </si>
  <si>
    <t>IfcFlowMovingDevice</t>
  </si>
  <si>
    <t>IfcFlowMovingDeviceType</t>
  </si>
  <si>
    <t>IfcFlowSegment</t>
  </si>
  <si>
    <t>IfcFlowSegmentType</t>
  </si>
  <si>
    <t>IfcFlowStorageDevice</t>
  </si>
  <si>
    <t>IfcFlowStorageDeviceType</t>
  </si>
  <si>
    <t>IfcFlowTerminal</t>
  </si>
  <si>
    <t>IfcFlowTerminalType</t>
  </si>
  <si>
    <t>IfcFlowTreatmentDevice</t>
  </si>
  <si>
    <t>IfcFlowTreatmentDeviceType</t>
  </si>
  <si>
    <t>IfcFluidFlowProperties</t>
  </si>
  <si>
    <t>IfcFooting</t>
  </si>
  <si>
    <t>IfcFuelProperties</t>
  </si>
  <si>
    <t>IfcFurnishingElement</t>
  </si>
  <si>
    <t>IfcFurnishingElementType</t>
  </si>
  <si>
    <t>IfcFurnitureStandard</t>
  </si>
  <si>
    <t>IfcFurnitureType</t>
  </si>
  <si>
    <t>IfcGasTerminalType</t>
  </si>
  <si>
    <t>IfcGeneralMaterialProperties</t>
  </si>
  <si>
    <t>IfcGeneralProfileProperties</t>
  </si>
  <si>
    <t>IfcGeometricCurveSet</t>
  </si>
  <si>
    <t>IfcGeometricRepresentationContext</t>
  </si>
  <si>
    <t>IfcGeometricRepresentationItem</t>
  </si>
  <si>
    <t>IfcGeometricRepresentationSubContext</t>
  </si>
  <si>
    <t>IfcGeometricSet</t>
  </si>
  <si>
    <t>IfcGrid</t>
  </si>
  <si>
    <t>IfcGridPlacement</t>
  </si>
  <si>
    <t>IfcGroup</t>
  </si>
  <si>
    <t>IfcHalfSpaceSolid</t>
  </si>
  <si>
    <t>IfcHeatExchangerType</t>
  </si>
  <si>
    <t>IfcHumidifierType</t>
  </si>
  <si>
    <t>IfcHygroscopicMaterialProperties</t>
  </si>
  <si>
    <t>IfcIShapeProfileDef</t>
  </si>
  <si>
    <t>IfcImageTexture</t>
  </si>
  <si>
    <t>IfcInventory</t>
  </si>
  <si>
    <t>IfcIrregularTimeSeries</t>
  </si>
  <si>
    <t>IfcJunctionBoxType</t>
  </si>
  <si>
    <t>IfcLShapeProfileDef</t>
  </si>
  <si>
    <t>IfcLaborResource</t>
  </si>
  <si>
    <t>IfcLampType</t>
  </si>
  <si>
    <t>IfcLibraryReference</t>
  </si>
  <si>
    <t>IfcLightFixtureType</t>
  </si>
  <si>
    <t>IfcLightSource</t>
  </si>
  <si>
    <t>IfcLightSourceAmbient</t>
  </si>
  <si>
    <t>IfcLightSourceDirectional</t>
  </si>
  <si>
    <t>IfcLightSourceGoniometric</t>
  </si>
  <si>
    <t>IfcLightSourcePositional</t>
  </si>
  <si>
    <t>IfcLightSourceSpot</t>
  </si>
  <si>
    <t>IfcLine</t>
  </si>
  <si>
    <t>IfcLinearDimension</t>
  </si>
  <si>
    <t>IfcLocalPlacement</t>
  </si>
  <si>
    <t>IfcLoop</t>
  </si>
  <si>
    <t>IfcManifoldSolidBrep</t>
  </si>
  <si>
    <t>IfcMappedItem</t>
  </si>
  <si>
    <t>IfcMaterialDefinitionRepresentation</t>
  </si>
  <si>
    <t>IfcMaterialProperties</t>
  </si>
  <si>
    <t>IfcMechanicalConcreteMaterialProperties</t>
  </si>
  <si>
    <t>IfcMechanicalFastener</t>
  </si>
  <si>
    <t>IfcMechanicalFastenerType</t>
  </si>
  <si>
    <t>IfcMechanicalMaterialProperties</t>
  </si>
  <si>
    <t>IfcMechanicalSteelMaterialProperties</t>
  </si>
  <si>
    <t>IfcMember</t>
  </si>
  <si>
    <t>IfcMemberType</t>
  </si>
  <si>
    <t>IfcMetric</t>
  </si>
  <si>
    <t>IfcMotorConnectionType</t>
  </si>
  <si>
    <t>IfcMove</t>
  </si>
  <si>
    <t>IfcNamedUnit</t>
  </si>
  <si>
    <t>IfcObject</t>
  </si>
  <si>
    <t>IfcObjectDefinition</t>
  </si>
  <si>
    <t>IfcObjectPlacement</t>
  </si>
  <si>
    <t>IfcObjective</t>
  </si>
  <si>
    <t>IfcOccupant</t>
  </si>
  <si>
    <t>IfcOffsetCurve2D</t>
  </si>
  <si>
    <t>IfcOffsetCurve3D</t>
  </si>
  <si>
    <t>IfcOneDirectionRepeatFactor</t>
  </si>
  <si>
    <t>IfcOpenShell</t>
  </si>
  <si>
    <t>IfcOpeningElement</t>
  </si>
  <si>
    <t>IfcOpticalMaterialProperties</t>
  </si>
  <si>
    <t>IfcOrderAction</t>
  </si>
  <si>
    <t>IfcOrientedEdge</t>
  </si>
  <si>
    <t>IfcOutletType</t>
  </si>
  <si>
    <t>IfcParameterizedProfileDef</t>
  </si>
  <si>
    <t>IfcPath</t>
  </si>
  <si>
    <t>IfcPerformanceHistory</t>
  </si>
  <si>
    <t>IfcPermeableCoveringProperties</t>
  </si>
  <si>
    <t>IfcPermit</t>
  </si>
  <si>
    <t>IfcPhysicalComplexQuantity</t>
  </si>
  <si>
    <t>IfcPhysicalQuantity</t>
  </si>
  <si>
    <t>IfcPhysicalSimpleQuantity</t>
  </si>
  <si>
    <t>IfcPile</t>
  </si>
  <si>
    <t>IfcPipeFittingType</t>
  </si>
  <si>
    <t>IfcPipeSegmentType</t>
  </si>
  <si>
    <t>IfcPixelTexture</t>
  </si>
  <si>
    <t>IfcPlacement</t>
  </si>
  <si>
    <t>IfcPlanarBox</t>
  </si>
  <si>
    <t>IfcPlanarExtent</t>
  </si>
  <si>
    <t>IfcPlane</t>
  </si>
  <si>
    <t>IfcPlate</t>
  </si>
  <si>
    <t>IfcPlateType</t>
  </si>
  <si>
    <t>IfcPoint</t>
  </si>
  <si>
    <t>IfcPointOnCurve</t>
  </si>
  <si>
    <t>IfcPointOnSurface</t>
  </si>
  <si>
    <t>IfcPolyLoop</t>
  </si>
  <si>
    <t>IfcPolygonalBoundedHalfSpace</t>
  </si>
  <si>
    <t>IfcPolyline</t>
  </si>
  <si>
    <t>IfcPort</t>
  </si>
  <si>
    <t>IfcPostalAddress</t>
  </si>
  <si>
    <t>IfcPreDefinedColour</t>
  </si>
  <si>
    <t>IfcPreDefinedCurveFont</t>
  </si>
  <si>
    <t>IfcPreDefinedDimensionSymbol</t>
  </si>
  <si>
    <t>IfcPreDefinedItem</t>
  </si>
  <si>
    <t>IfcPreDefinedPointMarkerSymbol</t>
  </si>
  <si>
    <t>IfcPreDefinedSymbol</t>
  </si>
  <si>
    <t>IfcPreDefinedTerminatorSymbol</t>
  </si>
  <si>
    <t>IfcPreDefinedTextFont</t>
  </si>
  <si>
    <t>IfcPresentationLayerAssignment</t>
  </si>
  <si>
    <t>IfcPresentationLayerWithStyle</t>
  </si>
  <si>
    <t>IfcPresentationStyle</t>
  </si>
  <si>
    <t>IfcProcedure</t>
  </si>
  <si>
    <t>IfcProcess</t>
  </si>
  <si>
    <t>IfcProduct</t>
  </si>
  <si>
    <t>IfcProductDefinitionShape</t>
  </si>
  <si>
    <t>IfcProductRepresentation</t>
  </si>
  <si>
    <t>IfcProductsOfCombustionProperties</t>
  </si>
  <si>
    <t>IfcProfileDef</t>
  </si>
  <si>
    <t>IfcProfileProperties</t>
  </si>
  <si>
    <t>IfcProject</t>
  </si>
  <si>
    <t>IfcProjectOrder</t>
  </si>
  <si>
    <t>IfcProjectOrderRecord</t>
  </si>
  <si>
    <t>IfcProjectionCurve</t>
  </si>
  <si>
    <t>IfcProjectionElement</t>
  </si>
  <si>
    <t>IfcProperty</t>
  </si>
  <si>
    <t>IfcPropertyBoundedValue</t>
  </si>
  <si>
    <t>IfcPropertyDefinition</t>
  </si>
  <si>
    <t>IfcPropertyEnumeratedValue</t>
  </si>
  <si>
    <t>IfcPropertyListValue</t>
  </si>
  <si>
    <t>IfcPropertyReferenceValue</t>
  </si>
  <si>
    <t>IfcPropertySet</t>
  </si>
  <si>
    <t>IfcPropertySetDefinition</t>
  </si>
  <si>
    <t>IfcPropertySingleValue</t>
  </si>
  <si>
    <t>IfcPropertyTableValue</t>
  </si>
  <si>
    <t>IfcProtectiveDeviceType</t>
  </si>
  <si>
    <t>IfcProxy</t>
  </si>
  <si>
    <t>IfcPumpType</t>
  </si>
  <si>
    <t>IfcQuantityArea</t>
  </si>
  <si>
    <t>IfcQuantityCount</t>
  </si>
  <si>
    <t>IfcQuantityLength</t>
  </si>
  <si>
    <t>IfcQuantityTime</t>
  </si>
  <si>
    <t>IfcQuantityVolume</t>
  </si>
  <si>
    <t>IfcQuantityWeight</t>
  </si>
  <si>
    <t>IfcRadiusDimension</t>
  </si>
  <si>
    <t>IfcRailing</t>
  </si>
  <si>
    <t>IfcRailingType</t>
  </si>
  <si>
    <t>IfcRamp</t>
  </si>
  <si>
    <t>IfcRampFlight</t>
  </si>
  <si>
    <t>IfcRampFlightType</t>
  </si>
  <si>
    <t>IfcRationalBezierCurve</t>
  </si>
  <si>
    <t>IfcRectangleHollowProfileDef</t>
  </si>
  <si>
    <t>IfcRectangleProfileDef</t>
  </si>
  <si>
    <t>IfcRectangularPyramid</t>
  </si>
  <si>
    <t>IfcRectangularTrimmedSurface</t>
  </si>
  <si>
    <t>IfcRegularTimeSeries</t>
  </si>
  <si>
    <t>IfcReinforcementDefinitionProperties</t>
  </si>
  <si>
    <t>IfcReinforcingBar</t>
  </si>
  <si>
    <t>IfcReinforcingElement</t>
  </si>
  <si>
    <t>IfcReinforcingMesh</t>
  </si>
  <si>
    <t>IfcRelAggregates</t>
  </si>
  <si>
    <t>IfcRelAssigns</t>
  </si>
  <si>
    <t>IfcRelAssignsTasks</t>
  </si>
  <si>
    <t>IfcRelAssignsToActor</t>
  </si>
  <si>
    <t>IfcRelAssignsToControl</t>
  </si>
  <si>
    <t>IfcRelAssignsToGroup</t>
  </si>
  <si>
    <t>IfcRelAssignsToProcess</t>
  </si>
  <si>
    <t>IfcRelAssignsToProduct</t>
  </si>
  <si>
    <t>IfcRelAssignsToProjectOrder</t>
  </si>
  <si>
    <t>IfcRelAssignsToResource</t>
  </si>
  <si>
    <t>IfcRelAssociates</t>
  </si>
  <si>
    <t>IfcRelAssociatesAppliedValue</t>
  </si>
  <si>
    <t>IfcRelAssociatesApproval</t>
  </si>
  <si>
    <t>IfcRelAssociatesClassification</t>
  </si>
  <si>
    <t>IfcRelAssociatesConstraint</t>
  </si>
  <si>
    <t>IfcRelAssociatesDocument</t>
  </si>
  <si>
    <t>IfcRelAssociatesLibrary</t>
  </si>
  <si>
    <t>IfcRelAssociatesMaterial</t>
  </si>
  <si>
    <t>IfcRelAssociatesProfileProperties</t>
  </si>
  <si>
    <t>IfcRelConnects</t>
  </si>
  <si>
    <t>IfcRelConnectsElements</t>
  </si>
  <si>
    <t>IfcRelConnectsPathElements</t>
  </si>
  <si>
    <t>IfcRelConnectsPortToElement</t>
  </si>
  <si>
    <t>IfcRelConnectsPorts</t>
  </si>
  <si>
    <t>IfcRelConnectsStructuralActivity</t>
  </si>
  <si>
    <t>IfcRelConnectsStructuralElement</t>
  </si>
  <si>
    <t>IfcRelConnectsStructuralMember</t>
  </si>
  <si>
    <t>IfcRelConnectsWithEccentricity</t>
  </si>
  <si>
    <t>IfcRelConnectsWithRealizingElements</t>
  </si>
  <si>
    <t>IfcRelContainedInSpatialStructure</t>
  </si>
  <si>
    <t>IfcRelCoversBldgElements</t>
  </si>
  <si>
    <t>IfcRelCoversSpaces</t>
  </si>
  <si>
    <t>IfcRelDecomposes</t>
  </si>
  <si>
    <t>IfcRelDefines</t>
  </si>
  <si>
    <t>IfcRelDefinesByProperties</t>
  </si>
  <si>
    <t>IfcRelDefinesByType</t>
  </si>
  <si>
    <t>IfcRelFillsElement</t>
  </si>
  <si>
    <t>IfcRelFlowControlElements</t>
  </si>
  <si>
    <t>IfcRelInteractionRequirements</t>
  </si>
  <si>
    <t>IfcRelNests</t>
  </si>
  <si>
    <t>IfcRelOccupiesSpaces</t>
  </si>
  <si>
    <t>IfcRelOverridesProperties</t>
  </si>
  <si>
    <t>IfcRelProjectsElement</t>
  </si>
  <si>
    <t>IfcRelReferencedInSpatialStructure</t>
  </si>
  <si>
    <t>IfcRelSchedulesCostItems</t>
  </si>
  <si>
    <t>IfcRelSequence</t>
  </si>
  <si>
    <t>IfcRelServicesBuildings</t>
  </si>
  <si>
    <t>IfcRelSpaceBoundary</t>
  </si>
  <si>
    <t>IfcRelVoidsElement</t>
  </si>
  <si>
    <t>IfcRelationship</t>
  </si>
  <si>
    <t>IfcRepresentation</t>
  </si>
  <si>
    <t>IfcRepresentationContext</t>
  </si>
  <si>
    <t>IfcRepresentationItem</t>
  </si>
  <si>
    <t>IfcResource</t>
  </si>
  <si>
    <t>IfcRevolvedAreaSolid</t>
  </si>
  <si>
    <t>IfcRibPlateProfileProperties</t>
  </si>
  <si>
    <t>IfcRightCircularCone</t>
  </si>
  <si>
    <t>IfcRightCircularCylinder</t>
  </si>
  <si>
    <t>IfcRoof</t>
  </si>
  <si>
    <t>IfcRoot</t>
  </si>
  <si>
    <t>IfcRoundedEdgeFeature</t>
  </si>
  <si>
    <t>IfcRoundedRectangleProfileDef</t>
  </si>
  <si>
    <t>IfcSIUnit</t>
  </si>
  <si>
    <t>IfcSanitaryTerminalType</t>
  </si>
  <si>
    <t>IfcScheduleTimeControl</t>
  </si>
  <si>
    <t>IfcSectionedSpine</t>
  </si>
  <si>
    <t>IfcSensorType</t>
  </si>
  <si>
    <t>IfcServiceLife</t>
  </si>
  <si>
    <t>IfcServiceLifeFactor</t>
  </si>
  <si>
    <t>IfcShapeModel</t>
  </si>
  <si>
    <t>IfcShapeRepresentation</t>
  </si>
  <si>
    <t>IfcShellBasedSurfaceModel</t>
  </si>
  <si>
    <t>IfcSimpleProperty</t>
  </si>
  <si>
    <t>IfcSite</t>
  </si>
  <si>
    <t>IfcSlab</t>
  </si>
  <si>
    <t>IfcSlabType</t>
  </si>
  <si>
    <t>IfcSlippageConnectionCondition</t>
  </si>
  <si>
    <t>IfcSolidModel</t>
  </si>
  <si>
    <t>IfcSoundProperties</t>
  </si>
  <si>
    <t>IfcSoundValue</t>
  </si>
  <si>
    <t>IfcSpace</t>
  </si>
  <si>
    <t>IfcSpaceHeaterType</t>
  </si>
  <si>
    <t>IfcSpaceProgram</t>
  </si>
  <si>
    <t>IfcSpaceThermalLoadProperties</t>
  </si>
  <si>
    <t>IfcSpaceType</t>
  </si>
  <si>
    <t>IfcSpatialStructureElement</t>
  </si>
  <si>
    <t>IfcSpatialStructureElementType</t>
  </si>
  <si>
    <t>IfcSphere</t>
  </si>
  <si>
    <t>IfcStackTerminalType</t>
  </si>
  <si>
    <t>IfcStair</t>
  </si>
  <si>
    <t>IfcStairFlight</t>
  </si>
  <si>
    <t>IfcStairFlightType</t>
  </si>
  <si>
    <t>IfcStructuralAction</t>
  </si>
  <si>
    <t>IfcStructuralActivity</t>
  </si>
  <si>
    <t>IfcStructuralAnalysisModel</t>
  </si>
  <si>
    <t>IfcStructuralConnection</t>
  </si>
  <si>
    <t>IfcStructuralConnectionCondition</t>
  </si>
  <si>
    <t>IfcStructuralCurveConnection</t>
  </si>
  <si>
    <t>IfcStructuralCurveMember</t>
  </si>
  <si>
    <t>IfcStructuralCurveMemberVarying</t>
  </si>
  <si>
    <t>IfcStructuralItem</t>
  </si>
  <si>
    <t>IfcStructuralLinearAction</t>
  </si>
  <si>
    <t>IfcStructuralLinearActionVarying</t>
  </si>
  <si>
    <t>IfcStructuralLoad</t>
  </si>
  <si>
    <t>IfcStructuralLoadGroup</t>
  </si>
  <si>
    <t>IfcStructuralLoadLinearForce</t>
  </si>
  <si>
    <t>IfcStructuralLoadPlanarForce</t>
  </si>
  <si>
    <t>IfcStructuralLoadSingleDisplacement</t>
  </si>
  <si>
    <t>IfcStructuralLoadSingleDisplacementDistortion</t>
  </si>
  <si>
    <t>IfcStructuralLoadSingleForce</t>
  </si>
  <si>
    <t>IfcStructuralLoadSingleForceWarping</t>
  </si>
  <si>
    <t>IfcStructuralLoadStatic</t>
  </si>
  <si>
    <t>IfcStructuralLoadTemperature</t>
  </si>
  <si>
    <t>IfcStructuralMember</t>
  </si>
  <si>
    <t>IfcStructuralPlanarAction</t>
  </si>
  <si>
    <t>IfcStructuralPlanarActionVarying</t>
  </si>
  <si>
    <t>IfcStructuralPointAction</t>
  </si>
  <si>
    <t>IfcStructuralPointConnection</t>
  </si>
  <si>
    <t>IfcStructuralPointReaction</t>
  </si>
  <si>
    <t>IfcStructuralProfileProperties</t>
  </si>
  <si>
    <t>IfcStructuralReaction</t>
  </si>
  <si>
    <t>IfcStructuralResultGroup</t>
  </si>
  <si>
    <t>IfcStructuralSteelProfileProperties</t>
  </si>
  <si>
    <t>IfcStructuralSurfaceConnection</t>
  </si>
  <si>
    <t>IfcStructuralSurfaceMember</t>
  </si>
  <si>
    <t>IfcStructuralSurfaceMemberVarying</t>
  </si>
  <si>
    <t>IfcStructuredDimensionCallout</t>
  </si>
  <si>
    <t>IfcStyleModel</t>
  </si>
  <si>
    <t>IfcStyledItem</t>
  </si>
  <si>
    <t>IfcStyledRepresentation</t>
  </si>
  <si>
    <t>IfcSubContractResource</t>
  </si>
  <si>
    <t>IfcSubedge</t>
  </si>
  <si>
    <t>IfcSurface</t>
  </si>
  <si>
    <t>IfcSurfaceCurveSweptAreaSolid</t>
  </si>
  <si>
    <t>IfcSurfaceOfLinearExtrusion</t>
  </si>
  <si>
    <t>IfcSurfaceOfRevolution</t>
  </si>
  <si>
    <t>IfcSurfaceStyle</t>
  </si>
  <si>
    <t>IfcSurfaceStyleRendering</t>
  </si>
  <si>
    <t>IfcSurfaceStyleShading</t>
  </si>
  <si>
    <t>IfcSurfaceTexture</t>
  </si>
  <si>
    <t>IfcSweptAreaSolid</t>
  </si>
  <si>
    <t>IfcSweptDiskSolid</t>
  </si>
  <si>
    <t>IfcSweptSurface</t>
  </si>
  <si>
    <t>IfcSwitchingDeviceType</t>
  </si>
  <si>
    <t>IfcSymbolStyle</t>
  </si>
  <si>
    <t>IfcSystem</t>
  </si>
  <si>
    <t>IfcSystemFurnitureElementType</t>
  </si>
  <si>
    <t>IfcTShapeProfileDef</t>
  </si>
  <si>
    <t>IfcTankType</t>
  </si>
  <si>
    <t>IfcTask</t>
  </si>
  <si>
    <t>IfcTelecomAddress</t>
  </si>
  <si>
    <t>IfcTendon</t>
  </si>
  <si>
    <t>IfcTendonAnchor</t>
  </si>
  <si>
    <t>IfcTerminatorSymbol</t>
  </si>
  <si>
    <t>IfcTextLiteral</t>
  </si>
  <si>
    <t>IfcTextLiteralWithExtent</t>
  </si>
  <si>
    <t>IfcTextStyle</t>
  </si>
  <si>
    <t>IfcTextStyleFontModel</t>
  </si>
  <si>
    <t>IfcTextureCoordinate</t>
  </si>
  <si>
    <t>IfcTextureCoordinateGenerator</t>
  </si>
  <si>
    <t>IfcTextureMap</t>
  </si>
  <si>
    <t>IfcThermalMaterialProperties</t>
  </si>
  <si>
    <t>IfcTimeSeries</t>
  </si>
  <si>
    <t>IfcTimeSeriesSchedule</t>
  </si>
  <si>
    <t>IfcTopologicalRepresentationItem</t>
  </si>
  <si>
    <t>IfcTopologyRepresentation</t>
  </si>
  <si>
    <t>IfcTransformerType</t>
  </si>
  <si>
    <t>IfcTransportElement</t>
  </si>
  <si>
    <t>IfcTransportElementType</t>
  </si>
  <si>
    <t>IfcTrapeziumProfileDef</t>
  </si>
  <si>
    <t>IfcTrimmedCurve</t>
  </si>
  <si>
    <t>IfcTubeBundleType</t>
  </si>
  <si>
    <t>IfcTwoDirectionRepeatFactor</t>
  </si>
  <si>
    <t>IfcTypeObject</t>
  </si>
  <si>
    <t>IfcTypeProduct</t>
  </si>
  <si>
    <t>IfcUShapeProfileDef</t>
  </si>
  <si>
    <t>IfcUnitaryEquipmentType</t>
  </si>
  <si>
    <t>IfcValveType</t>
  </si>
  <si>
    <t>IfcVector</t>
  </si>
  <si>
    <t>IfcVertex</t>
  </si>
  <si>
    <t>IfcVertexLoop</t>
  </si>
  <si>
    <t>IfcVertexPoint</t>
  </si>
  <si>
    <t>IfcVibrationIsolatorType</t>
  </si>
  <si>
    <t>IfcVirtualElement</t>
  </si>
  <si>
    <t>IfcWall</t>
  </si>
  <si>
    <t>IfcWallStandardCase</t>
  </si>
  <si>
    <t>IfcWallType</t>
  </si>
  <si>
    <t>IfcWasteTerminalType</t>
  </si>
  <si>
    <t>IfcWaterProperties</t>
  </si>
  <si>
    <t>IfcWindow</t>
  </si>
  <si>
    <t>IfcWindowLiningProperties</t>
  </si>
  <si>
    <t>IfcWindowPanelProperties</t>
  </si>
  <si>
    <t>IfcWindowStyle</t>
  </si>
  <si>
    <t>IfcWorkControl</t>
  </si>
  <si>
    <t>IfcWorkPlan</t>
  </si>
  <si>
    <t>IfcWorkSchedule</t>
  </si>
  <si>
    <t>IfcZShapeProfileDef</t>
  </si>
  <si>
    <t>IfcZone</t>
  </si>
  <si>
    <t>Subtype</t>
  </si>
  <si>
    <t>Supertype</t>
  </si>
  <si>
    <t>DeclarationLine</t>
  </si>
  <si>
    <t>IfcActorRole</t>
  </si>
  <si>
    <t>IfcApplication</t>
  </si>
  <si>
    <t>IfcAppliedValueRelationship</t>
  </si>
  <si>
    <t>IfcApproval</t>
  </si>
  <si>
    <t>IfcApprovalActorRelationship</t>
  </si>
  <si>
    <t>IfcApprovalPropertyRelationship</t>
  </si>
  <si>
    <t>IfcApprovalRelationship</t>
  </si>
  <si>
    <t>IfcCalendarDate</t>
  </si>
  <si>
    <t>IfcClassification</t>
  </si>
  <si>
    <t>IfcClassificationItem</t>
  </si>
  <si>
    <t>IfcClassificationItemRelationship</t>
  </si>
  <si>
    <t>IfcClassificationNotation</t>
  </si>
  <si>
    <t>IfcClassificationNotationFacet</t>
  </si>
  <si>
    <t>IfcConstraintAggregationRelationship</t>
  </si>
  <si>
    <t>IfcConstraintClassificationRelationship</t>
  </si>
  <si>
    <t>IfcConstraintRelationship</t>
  </si>
  <si>
    <t>IfcCoordinatedUniversalTimeOffset</t>
  </si>
  <si>
    <t>IfcCurrencyRelationship</t>
  </si>
  <si>
    <t>IfcCurveStyleFont</t>
  </si>
  <si>
    <t>IfcCurveStyleFontAndScaling</t>
  </si>
  <si>
    <t>IfcCurveStyleFontPattern</t>
  </si>
  <si>
    <t>IfcDateAndTime</t>
  </si>
  <si>
    <t>IfcDerivedUnit</t>
  </si>
  <si>
    <t>IfcDerivedUnitElement</t>
  </si>
  <si>
    <t>IfcDimensionalExponents</t>
  </si>
  <si>
    <t>IfcDocumentElectronicFormat</t>
  </si>
  <si>
    <t>IfcDocumentInformation</t>
  </si>
  <si>
    <t>IfcDocumentInformationRelationship</t>
  </si>
  <si>
    <t>IfcGridAxis</t>
  </si>
  <si>
    <t>IfcIrregularTimeSeriesValue</t>
  </si>
  <si>
    <t>IfcLibraryInformation</t>
  </si>
  <si>
    <t>IfcLightDistributionData</t>
  </si>
  <si>
    <t>IfcLightIntensityDistribution</t>
  </si>
  <si>
    <t>IfcLocalTime</t>
  </si>
  <si>
    <t>IfcMaterial</t>
  </si>
  <si>
    <t>IfcMaterialClassificationRelationship</t>
  </si>
  <si>
    <t>IfcMaterialLayer</t>
  </si>
  <si>
    <t>IfcMaterialLayerSet</t>
  </si>
  <si>
    <t>IfcMaterialLayerSetUsage</t>
  </si>
  <si>
    <t>IfcMaterialList</t>
  </si>
  <si>
    <t>IfcMeasureWithUnit</t>
  </si>
  <si>
    <t>IfcMonetaryUnit</t>
  </si>
  <si>
    <t>IfcOrganization</t>
  </si>
  <si>
    <t>IfcOrganizationRelationship</t>
  </si>
  <si>
    <t>IfcOwnerHistory</t>
  </si>
  <si>
    <t>IfcPerson</t>
  </si>
  <si>
    <t>IfcPersonAndOrganization</t>
  </si>
  <si>
    <t>IfcPresentationStyleAssignment</t>
  </si>
  <si>
    <t>IfcPropertyConstraintRelationship</t>
  </si>
  <si>
    <t>IfcPropertyDependencyRelationship</t>
  </si>
  <si>
    <t>IfcPropertyEnumeration</t>
  </si>
  <si>
    <t>IfcReferencesValueDocument</t>
  </si>
  <si>
    <t>IfcReinforcementBarProperties</t>
  </si>
  <si>
    <t>IfcRelaxation</t>
  </si>
  <si>
    <t>IfcRepresentationMap</t>
  </si>
  <si>
    <t>IfcSectionProperties</t>
  </si>
  <si>
    <t>IfcSectionReinforcementProperties</t>
  </si>
  <si>
    <t>IfcShapeAspect</t>
  </si>
  <si>
    <t>IfcSurfaceStyleLighting</t>
  </si>
  <si>
    <t>IfcSurfaceStyleRefraction</t>
  </si>
  <si>
    <t>IfcSurfaceStyleWithTextures</t>
  </si>
  <si>
    <t>IfcTable</t>
  </si>
  <si>
    <t>IfcTableRow</t>
  </si>
  <si>
    <t>IfcTextStyleForDefinedFont</t>
  </si>
  <si>
    <t>IfcTextStyleTextModel</t>
  </si>
  <si>
    <t>IfcTextStyleWithBoxCharacteristics</t>
  </si>
  <si>
    <t>IfcTextureVertex</t>
  </si>
  <si>
    <t>IfcTimeSeriesReferenceRelationship</t>
  </si>
  <si>
    <t>IfcTimeSeriesValue</t>
  </si>
  <si>
    <t>IfcUnitAssignment</t>
  </si>
  <si>
    <t>IfcVertexBasedTextureMap</t>
  </si>
  <si>
    <t>IfcVirtualGridIntersection</t>
  </si>
  <si>
    <t>ENTITY Ifc2DCompositeCurve SUBTYPE OF (IfcCompositeCurve)</t>
  </si>
  <si>
    <t>ENTITY IfcActionRequest SUBTYPE OF (IfcControl)</t>
  </si>
  <si>
    <t>ENTITY IfcActorRole</t>
  </si>
  <si>
    <t>ENTITY IfcActuatorType SUBTYPE OF (IfcDistributionControlElementType)</t>
  </si>
  <si>
    <t>ENTITY IfcAirTerminalBoxType SUBTYPE OF (IfcFlowControllerType)</t>
  </si>
  <si>
    <t>ENTITY IfcAirTerminalType SUBTYPE OF (IfcFlowTerminalType)</t>
  </si>
  <si>
    <t>ENTITY IfcAirToAirHeatRecoveryType SUBTYPE OF (IfcEnergyConversionDeviceType)</t>
  </si>
  <si>
    <t>ENTITY IfcAlarmType SUBTYPE OF (IfcDistributionControlElementType)</t>
  </si>
  <si>
    <t>ENTITY IfcAngularDimension SUBTYPE OF (IfcDimensionCurveDirectedCallout)</t>
  </si>
  <si>
    <t>ENTITY IfcAnnotation SUBTYPE OF (IfcProduct)</t>
  </si>
  <si>
    <t>ENTITY IfcAnnotationFillArea SUBTYPE OF (IfcGeometricRepresentationItem)</t>
  </si>
  <si>
    <t>ENTITY IfcAnnotationFillAreaOccurrence SUBTYPE OF (IfcAnnotationOccurrence)</t>
  </si>
  <si>
    <t>ENTITY IfcAnnotationSurface SUBTYPE OF (IfcGeometricRepresentationItem)</t>
  </si>
  <si>
    <t>ENTITY IfcAnnotationSurfaceOccurrence SUBTYPE OF (IfcAnnotationOccurrence)</t>
  </si>
  <si>
    <t>ENTITY IfcAnnotationTextOccurrence SUBTYPE OF (IfcAnnotationOccurrence)</t>
  </si>
  <si>
    <t>ENTITY IfcApplication</t>
  </si>
  <si>
    <t>ENTITY IfcAppliedValueRelationship</t>
  </si>
  <si>
    <t>ENTITY IfcApproval</t>
  </si>
  <si>
    <t>ENTITY IfcApprovalActorRelationship</t>
  </si>
  <si>
    <t>ENTITY IfcApprovalPropertyRelationship</t>
  </si>
  <si>
    <t>ENTITY IfcApprovalRelationship</t>
  </si>
  <si>
    <t>ENTITY IfcArbitraryProfileDefWithVoids SUBTYPE OF (IfcArbitraryClosedProfileDef)</t>
  </si>
  <si>
    <t>ENTITY IfcAsset SUBTYPE OF (IfcGroup)</t>
  </si>
  <si>
    <t>ENTITY IfcAsymmetricIShapeProfileDef SUBTYPE OF (IfcIShapeProfileDef)</t>
  </si>
  <si>
    <t>ENTITY IfcAxis1Placement SUBTYPE OF (IfcPlacement)</t>
  </si>
  <si>
    <t>ENTITY IfcAxis2Placement2D SUBTYPE OF (IfcPlacement)</t>
  </si>
  <si>
    <t>ENTITY IfcAxis2Placement3D SUBTYPE OF (IfcPlacement)</t>
  </si>
  <si>
    <t>ENTITY IfcBeam SUBTYPE OF (IfcBuildingElement)</t>
  </si>
  <si>
    <t>ENTITY IfcBeamType SUBTYPE OF (IfcBuildingElementType)</t>
  </si>
  <si>
    <t>ENTITY IfcBlobTexture SUBTYPE OF (IfcSurfaceTexture)</t>
  </si>
  <si>
    <t>ENTITY IfcBlock SUBTYPE OF (IfcCsgPrimitive3D)</t>
  </si>
  <si>
    <t>ENTITY IfcBoilerType SUBTYPE OF (IfcEnergyConversionDeviceType)</t>
  </si>
  <si>
    <t>ENTITY IfcBooleanClippingResult SUBTYPE OF (IfcBooleanResult)</t>
  </si>
  <si>
    <t>ENTITY IfcBoundaryEdgeCondition SUBTYPE OF (IfcBoundaryCondition)</t>
  </si>
  <si>
    <t>ENTITY IfcBoundaryFaceCondition SUBTYPE OF (IfcBoundaryCondition)</t>
  </si>
  <si>
    <t>ENTITY IfcBoundaryNodeConditionWarping SUBTYPE OF (IfcBoundaryNodeCondition)</t>
  </si>
  <si>
    <t>ENTITY IfcBoundingBox SUBTYPE OF (IfcGeometricRepresentationItem)</t>
  </si>
  <si>
    <t>ENTITY IfcBoxedHalfSpace SUBTYPE OF (IfcHalfSpaceSolid)</t>
  </si>
  <si>
    <t>ENTITY IfcBuilding SUBTYPE OF (IfcSpatialStructureElement)</t>
  </si>
  <si>
    <t>ENTITY IfcBuildingElementPart SUBTYPE OF (IfcBuildingElementComponent)</t>
  </si>
  <si>
    <t>ENTITY IfcBuildingElementProxy SUBTYPE OF (IfcBuildingElement)</t>
  </si>
  <si>
    <t>ENTITY IfcBuildingElementProxyType SUBTYPE OF (IfcBuildingElementType)</t>
  </si>
  <si>
    <t>ENTITY IfcBuildingStorey SUBTYPE OF (IfcSpatialStructureElement)</t>
  </si>
  <si>
    <t>ENTITY IfcCShapeProfileDef SUBTYPE OF (IfcParameterizedProfileDef)</t>
  </si>
  <si>
    <t>ENTITY IfcCableCarrierFittingType SUBTYPE OF (IfcFlowFittingType)</t>
  </si>
  <si>
    <t>ENTITY IfcCableCarrierSegmentType SUBTYPE OF (IfcFlowSegmentType)</t>
  </si>
  <si>
    <t>ENTITY IfcCableSegmentType SUBTYPE OF (IfcFlowSegmentType)</t>
  </si>
  <si>
    <t>ENTITY IfcCalendarDate</t>
  </si>
  <si>
    <t>ENTITY IfcCartesianPoint SUBTYPE OF (IfcPoint)</t>
  </si>
  <si>
    <t>ENTITY IfcCartesianTransformationOperator2DnonUniform SUBTYPE OF (IfcCartesianTransformationOperator2D)</t>
  </si>
  <si>
    <t>ENTITY IfcCartesianTransformationOperator3DnonUniform SUBTYPE OF (IfcCartesianTransformationOperator3D)</t>
  </si>
  <si>
    <t>ENTITY IfcCenterLineProfileDef SUBTYPE OF (IfcArbitraryOpenProfileDef)</t>
  </si>
  <si>
    <t>ENTITY IfcChamferEdgeFeature SUBTYPE OF (IfcEdgeFeature)</t>
  </si>
  <si>
    <t>ENTITY IfcChillerType SUBTYPE OF (IfcEnergyConversionDeviceType)</t>
  </si>
  <si>
    <t>ENTITY IfcCircle SUBTYPE OF (IfcConic)</t>
  </si>
  <si>
    <t>ENTITY IfcCircleHollowProfileDef SUBTYPE OF (IfcCircleProfileDef)</t>
  </si>
  <si>
    <t>ENTITY IfcClassification</t>
  </si>
  <si>
    <t>ENTITY IfcClassificationItem</t>
  </si>
  <si>
    <t>ENTITY IfcClassificationItemRelationship</t>
  </si>
  <si>
    <t>ENTITY IfcClassificationNotation</t>
  </si>
  <si>
    <t>ENTITY IfcClassificationNotationFacet</t>
  </si>
  <si>
    <t>ENTITY IfcClassificationReference SUBTYPE OF (IfcExternalReference)</t>
  </si>
  <si>
    <t>ENTITY IfcClosedShell SUBTYPE OF (IfcConnectedFaceSet)</t>
  </si>
  <si>
    <t>ENTITY IfcCoilType SUBTYPE OF (IfcEnergyConversionDeviceType)</t>
  </si>
  <si>
    <t>ENTITY IfcColourRgb SUBTYPE OF (IfcColourSpecification)</t>
  </si>
  <si>
    <t>ENTITY IfcColumn SUBTYPE OF (IfcBuildingElement)</t>
  </si>
  <si>
    <t>ENTITY IfcColumnType SUBTYPE OF (IfcBuildingElementType)</t>
  </si>
  <si>
    <t>ENTITY IfcComplexProperty SUBTYPE OF (IfcProperty)</t>
  </si>
  <si>
    <t>ENTITY IfcCompositeCurveSegment SUBTYPE OF (IfcGeometricRepresentationItem)</t>
  </si>
  <si>
    <t>ENTITY IfcCompositeProfileDef SUBTYPE OF (IfcProfileDef)</t>
  </si>
  <si>
    <t>ENTITY IfcCompressorType SUBTYPE OF (IfcFlowMovingDeviceType)</t>
  </si>
  <si>
    <t>ENTITY IfcCondenserType SUBTYPE OF (IfcEnergyConversionDeviceType)</t>
  </si>
  <si>
    <t>ENTITY IfcCondition SUBTYPE OF (IfcGroup)</t>
  </si>
  <si>
    <t>ENTITY IfcConditionCriterion SUBTYPE OF (IfcControl)</t>
  </si>
  <si>
    <t>ENTITY IfcConnectionCurveGeometry SUBTYPE OF (IfcConnectionGeometry)</t>
  </si>
  <si>
    <t>ENTITY IfcConnectionPointEccentricity SUBTYPE OF (IfcConnectionPointGeometry)</t>
  </si>
  <si>
    <t>ENTITY IfcConnectionPortGeometry SUBTYPE OF (IfcConnectionGeometry)</t>
  </si>
  <si>
    <t>ENTITY IfcConnectionSurfaceGeometry SUBTYPE OF (IfcConnectionGeometry)</t>
  </si>
  <si>
    <t>ENTITY IfcConstraintAggregationRelationship</t>
  </si>
  <si>
    <t>ENTITY IfcConstraintClassificationRelationship</t>
  </si>
  <si>
    <t>ENTITY IfcConstraintRelationship</t>
  </si>
  <si>
    <t>ENTITY IfcConstructionEquipmentResource SUBTYPE OF (IfcConstructionResource)</t>
  </si>
  <si>
    <t>ENTITY IfcConstructionMaterialResource SUBTYPE OF (IfcConstructionResource)</t>
  </si>
  <si>
    <t>ENTITY IfcConstructionProductResource SUBTYPE OF (IfcConstructionResource)</t>
  </si>
  <si>
    <t>ENTITY IfcContextDependentUnit SUBTYPE OF (IfcNamedUnit)</t>
  </si>
  <si>
    <t>ENTITY IfcControllerType SUBTYPE OF (IfcDistributionControlElementType)</t>
  </si>
  <si>
    <t>ENTITY IfcConversionBasedUnit SUBTYPE OF (IfcNamedUnit)</t>
  </si>
  <si>
    <t>ENTITY IfcCooledBeamType SUBTYPE OF (IfcEnergyConversionDeviceType)</t>
  </si>
  <si>
    <t>ENTITY IfcCoolingTowerType SUBTYPE OF (IfcEnergyConversionDeviceType)</t>
  </si>
  <si>
    <t>ENTITY IfcCoordinatedUniversalTimeOffset</t>
  </si>
  <si>
    <t>ENTITY IfcCostItem SUBTYPE OF (IfcControl)</t>
  </si>
  <si>
    <t>ENTITY IfcCostSchedule SUBTYPE OF (IfcControl)</t>
  </si>
  <si>
    <t>ENTITY IfcCostValue SUBTYPE OF (IfcAppliedValue)</t>
  </si>
  <si>
    <t>ENTITY IfcCovering SUBTYPE OF (IfcBuildingElement)</t>
  </si>
  <si>
    <t>ENTITY IfcCoveringType SUBTYPE OF (IfcBuildingElementType)</t>
  </si>
  <si>
    <t>ENTITY IfcCraneRailAShapeProfileDef SUBTYPE OF (IfcParameterizedProfileDef)</t>
  </si>
  <si>
    <t>ENTITY IfcCraneRailFShapeProfileDef SUBTYPE OF (IfcParameterizedProfileDef)</t>
  </si>
  <si>
    <t>ENTITY IfcCrewResource SUBTYPE OF (IfcConstructionResource)</t>
  </si>
  <si>
    <t>ENTITY IfcCsgSolid SUBTYPE OF (IfcSolidModel)</t>
  </si>
  <si>
    <t>ENTITY IfcCurrencyRelationship</t>
  </si>
  <si>
    <t>ENTITY IfcCurtainWall SUBTYPE OF (IfcBuildingElement)</t>
  </si>
  <si>
    <t>ENTITY IfcCurtainWallType SUBTYPE OF (IfcBuildingElementType)</t>
  </si>
  <si>
    <t>ENTITY IfcCurveBoundedPlane SUBTYPE OF (IfcBoundedSurface)</t>
  </si>
  <si>
    <t>ENTITY IfcCurveStyle SUBTYPE OF (IfcPresentationStyle)</t>
  </si>
  <si>
    <t>ENTITY IfcCurveStyleFont</t>
  </si>
  <si>
    <t>ENTITY IfcCurveStyleFontAndScaling</t>
  </si>
  <si>
    <t>ENTITY IfcCurveStyleFontPattern</t>
  </si>
  <si>
    <t>ENTITY IfcDamperType SUBTYPE OF (IfcFlowControllerType)</t>
  </si>
  <si>
    <t>ENTITY IfcDateAndTime</t>
  </si>
  <si>
    <t>ENTITY IfcDefinedSymbol SUBTYPE OF (IfcGeometricRepresentationItem)</t>
  </si>
  <si>
    <t>ENTITY IfcDerivedProfileDef SUBTYPE OF (IfcProfileDef)</t>
  </si>
  <si>
    <t>ENTITY IfcDerivedUnit</t>
  </si>
  <si>
    <t>ENTITY IfcDerivedUnitElement</t>
  </si>
  <si>
    <t>ENTITY IfcDiameterDimension SUBTYPE OF (IfcDimensionCurveDirectedCallout)</t>
  </si>
  <si>
    <t>ENTITY IfcDimensionCalloutRelationship SUBTYPE OF (IfcDraughtingCalloutRelationship)</t>
  </si>
  <si>
    <t>ENTITY IfcDimensionCurve SUBTYPE OF (IfcAnnotationCurveOccurrence)</t>
  </si>
  <si>
    <t>ENTITY IfcDimensionCurveTerminator SUBTYPE OF (IfcTerminatorSymbol)</t>
  </si>
  <si>
    <t>ENTITY IfcDimensionPair SUBTYPE OF (IfcDraughtingCalloutRelationship)</t>
  </si>
  <si>
    <t>ENTITY IfcDimensionalExponents</t>
  </si>
  <si>
    <t>ENTITY IfcDirection SUBTYPE OF (IfcGeometricRepresentationItem)</t>
  </si>
  <si>
    <t>ENTITY IfcDiscreteAccessory SUBTYPE OF (IfcElementComponent)</t>
  </si>
  <si>
    <t>ENTITY IfcDistributionChamberElement SUBTYPE OF (IfcDistributionFlowElement)</t>
  </si>
  <si>
    <t>ENTITY IfcDistributionChamberElementType SUBTYPE OF (IfcDistributionFlowElementType)</t>
  </si>
  <si>
    <t>ENTITY IfcDistributionControlElement SUBTYPE OF (IfcDistributionElement)</t>
  </si>
  <si>
    <t>ENTITY IfcDistributionPort SUBTYPE OF (IfcPort)</t>
  </si>
  <si>
    <t>ENTITY IfcDocumentElectronicFormat</t>
  </si>
  <si>
    <t>ENTITY IfcDocumentInformation</t>
  </si>
  <si>
    <t>ENTITY IfcDocumentInformationRelationship</t>
  </si>
  <si>
    <t>ENTITY IfcDocumentReference SUBTYPE OF (IfcExternalReference)</t>
  </si>
  <si>
    <t>ENTITY IfcDoor SUBTYPE OF (IfcBuildingElement)</t>
  </si>
  <si>
    <t>ENTITY IfcDoorLiningProperties SUBTYPE OF (IfcPropertySetDefinition)</t>
  </si>
  <si>
    <t>ENTITY IfcDoorPanelProperties SUBTYPE OF (IfcPropertySetDefinition)</t>
  </si>
  <si>
    <t>ENTITY IfcDoorStyle SUBTYPE OF (IfcTypeProduct)</t>
  </si>
  <si>
    <t>ENTITY IfcDraughtingPreDefinedColour SUBTYPE OF (IfcPreDefinedColour)</t>
  </si>
  <si>
    <t>ENTITY IfcDraughtingPreDefinedCurveFont SUBTYPE OF (IfcPreDefinedCurveFont)</t>
  </si>
  <si>
    <t>ENTITY IfcDraughtingPreDefinedTextFont SUBTYPE OF (IfcPreDefinedTextFont)</t>
  </si>
  <si>
    <t>ENTITY IfcDuctFittingType SUBTYPE OF (IfcFlowFittingType)</t>
  </si>
  <si>
    <t>ENTITY IfcDuctSegmentType SUBTYPE OF (IfcFlowSegmentType)</t>
  </si>
  <si>
    <t>ENTITY IfcDuctSilencerType SUBTYPE OF (IfcFlowTreatmentDeviceType)</t>
  </si>
  <si>
    <t>ENTITY IfcEdgeCurve SUBTYPE OF (IfcEdge)</t>
  </si>
  <si>
    <t>ENTITY IfcEdgeLoop SUBTYPE OF (IfcLoop)</t>
  </si>
  <si>
    <t>ENTITY IfcElectricApplianceType SUBTYPE OF (IfcFlowTerminalType)</t>
  </si>
  <si>
    <t>ENTITY IfcElectricDistributionPoint SUBTYPE OF (IfcFlowController)</t>
  </si>
  <si>
    <t>ENTITY IfcElectricFlowStorageDeviceType SUBTYPE OF (IfcFlowStorageDeviceType)</t>
  </si>
  <si>
    <t>ENTITY IfcElectricGeneratorType SUBTYPE OF (IfcEnergyConversionDeviceType)</t>
  </si>
  <si>
    <t>ENTITY IfcElectricHeaterType SUBTYPE OF (IfcFlowTerminalType)</t>
  </si>
  <si>
    <t>ENTITY IfcElectricMotorType SUBTYPE OF (IfcEnergyConversionDeviceType)</t>
  </si>
  <si>
    <t>ENTITY IfcElectricTimeControlType SUBTYPE OF (IfcFlowControllerType)</t>
  </si>
  <si>
    <t>ENTITY IfcElectricalBaseProperties SUBTYPE OF (IfcEnergyProperties)</t>
  </si>
  <si>
    <t>ENTITY IfcElectricalCircuit SUBTYPE OF (IfcSystem)</t>
  </si>
  <si>
    <t>ENTITY IfcElectricalElement SUBTYPE OF (IfcElement)</t>
  </si>
  <si>
    <t>ENTITY IfcElementAssembly SUBTYPE OF (IfcElement)</t>
  </si>
  <si>
    <t>ENTITY IfcElementQuantity SUBTYPE OF (IfcPropertySetDefinition)</t>
  </si>
  <si>
    <t>ENTITY IfcEllipse SUBTYPE OF (IfcConic)</t>
  </si>
  <si>
    <t>ENTITY IfcEllipseProfileDef SUBTYPE OF (IfcParameterizedProfileDef)</t>
  </si>
  <si>
    <t>ENTITY IfcEnergyConversionDevice SUBTYPE OF (IfcDistributionFlowElement)</t>
  </si>
  <si>
    <t>ENTITY IfcEnvironmentalImpactValue SUBTYPE OF (IfcAppliedValue)</t>
  </si>
  <si>
    <t>ENTITY IfcEquipmentElement SUBTYPE OF (IfcElement)</t>
  </si>
  <si>
    <t>ENTITY IfcEquipmentStandard SUBTYPE OF (IfcControl)</t>
  </si>
  <si>
    <t>ENTITY IfcEvaporativeCoolerType SUBTYPE OF (IfcEnergyConversionDeviceType)</t>
  </si>
  <si>
    <t>ENTITY IfcEvaporatorType SUBTYPE OF (IfcEnergyConversionDeviceType)</t>
  </si>
  <si>
    <t>ENTITY IfcExtendedMaterialProperties SUBTYPE OF (IfcMaterialProperties)</t>
  </si>
  <si>
    <t>ENTITY IfcExternallyDefinedHatchStyle SUBTYPE OF (IfcExternalReference)</t>
  </si>
  <si>
    <t>ENTITY IfcExternallyDefinedSurfaceStyle SUBTYPE OF (IfcExternalReference)</t>
  </si>
  <si>
    <t>ENTITY IfcExternallyDefinedSymbol SUBTYPE OF (IfcExternalReference)</t>
  </si>
  <si>
    <t>ENTITY IfcExternallyDefinedTextFont SUBTYPE OF (IfcExternalReference)</t>
  </si>
  <si>
    <t>ENTITY IfcExtrudedAreaSolid SUBTYPE OF (IfcSweptAreaSolid)</t>
  </si>
  <si>
    <t>ENTITY IfcFaceBasedSurfaceModel SUBTYPE OF (IfcGeometricRepresentationItem)</t>
  </si>
  <si>
    <t>ENTITY IfcFaceOuterBound SUBTYPE OF (IfcFaceBound)</t>
  </si>
  <si>
    <t>ENTITY IfcFaceSurface SUBTYPE OF (IfcFace)</t>
  </si>
  <si>
    <t>ENTITY IfcFacetedBrep SUBTYPE OF (IfcManifoldSolidBrep)</t>
  </si>
  <si>
    <t>ENTITY IfcFacetedBrepWithVoids SUBTYPE OF (IfcManifoldSolidBrep)</t>
  </si>
  <si>
    <t>ENTITY IfcFailureConnectionCondition SUBTYPE OF (IfcStructuralConnectionCondition)</t>
  </si>
  <si>
    <t>ENTITY IfcFanType SUBTYPE OF (IfcFlowMovingDeviceType)</t>
  </si>
  <si>
    <t>ENTITY IfcFillAreaStyle SUBTYPE OF (IfcPresentationStyle)</t>
  </si>
  <si>
    <t>ENTITY IfcFillAreaStyleHatching SUBTYPE OF (IfcGeometricRepresentationItem)</t>
  </si>
  <si>
    <t>ENTITY IfcFillAreaStyleTileSymbolWithStyle SUBTYPE OF (IfcGeometricRepresentationItem)</t>
  </si>
  <si>
    <t>ENTITY IfcFillAreaStyleTiles SUBTYPE OF (IfcGeometricRepresentationItem)</t>
  </si>
  <si>
    <t>ENTITY IfcFilterType SUBTYPE OF (IfcFlowTreatmentDeviceType)</t>
  </si>
  <si>
    <t>ENTITY IfcFireSuppressionTerminalType SUBTYPE OF (IfcFlowTerminalType)</t>
  </si>
  <si>
    <t>ENTITY IfcFlowFitting SUBTYPE OF (IfcDistributionFlowElement)</t>
  </si>
  <si>
    <t>ENTITY IfcFlowInstrumentType SUBTYPE OF (IfcDistributionControlElementType)</t>
  </si>
  <si>
    <t>ENTITY IfcFlowMeterType SUBTYPE OF (IfcFlowControllerType)</t>
  </si>
  <si>
    <t>ENTITY IfcFlowMovingDevice SUBTYPE OF (IfcDistributionFlowElement)</t>
  </si>
  <si>
    <t>ENTITY IfcFlowSegment SUBTYPE OF (IfcDistributionFlowElement)</t>
  </si>
  <si>
    <t>ENTITY IfcFlowStorageDevice SUBTYPE OF (IfcDistributionFlowElement)</t>
  </si>
  <si>
    <t>ENTITY IfcFlowTerminal SUBTYPE OF (IfcDistributionFlowElement)</t>
  </si>
  <si>
    <t>ENTITY IfcFlowTreatmentDevice SUBTYPE OF (IfcDistributionFlowElement)</t>
  </si>
  <si>
    <t>ENTITY IfcFluidFlowProperties SUBTYPE OF (IfcPropertySetDefinition)</t>
  </si>
  <si>
    <t>ENTITY IfcFooting SUBTYPE OF (IfcBuildingElement)</t>
  </si>
  <si>
    <t>ENTITY IfcFuelProperties SUBTYPE OF (IfcMaterialProperties)</t>
  </si>
  <si>
    <t>ENTITY IfcFurnishingElement SUBTYPE OF (IfcElement)</t>
  </si>
  <si>
    <t>ENTITY IfcFurnitureStandard SUBTYPE OF (IfcControl)</t>
  </si>
  <si>
    <t>ENTITY IfcFurnitureType SUBTYPE OF (IfcFurnishingElementType)</t>
  </si>
  <si>
    <t>ENTITY IfcGasTerminalType SUBTYPE OF (IfcFlowTerminalType)</t>
  </si>
  <si>
    <t>ENTITY IfcGeneralMaterialProperties SUBTYPE OF (IfcMaterialProperties)</t>
  </si>
  <si>
    <t>ENTITY IfcGeometricCurveSet SUBTYPE OF (IfcGeometricSet)</t>
  </si>
  <si>
    <t>ENTITY IfcGeometricRepresentationSubContext SUBTYPE OF (IfcGeometricRepresentationContext)</t>
  </si>
  <si>
    <t>ENTITY IfcGrid SUBTYPE OF (IfcProduct)</t>
  </si>
  <si>
    <t>ENTITY IfcGridAxis</t>
  </si>
  <si>
    <t>ENTITY IfcGridPlacement SUBTYPE OF (IfcObjectPlacement)</t>
  </si>
  <si>
    <t>ENTITY IfcHeatExchangerType SUBTYPE OF (IfcEnergyConversionDeviceType)</t>
  </si>
  <si>
    <t>ENTITY IfcHumidifierType SUBTYPE OF (IfcEnergyConversionDeviceType)</t>
  </si>
  <si>
    <t>ENTITY IfcHygroscopicMaterialProperties SUBTYPE OF (IfcMaterialProperties)</t>
  </si>
  <si>
    <t>ENTITY IfcImageTexture SUBTYPE OF (IfcSurfaceTexture)</t>
  </si>
  <si>
    <t>ENTITY IfcInventory SUBTYPE OF (IfcGroup)</t>
  </si>
  <si>
    <t>ENTITY IfcIrregularTimeSeries SUBTYPE OF (IfcTimeSeries)</t>
  </si>
  <si>
    <t>ENTITY IfcIrregularTimeSeriesValue</t>
  </si>
  <si>
    <t>ENTITY IfcJunctionBoxType SUBTYPE OF (IfcFlowFittingType)</t>
  </si>
  <si>
    <t>ENTITY IfcLShapeProfileDef SUBTYPE OF (IfcParameterizedProfileDef)</t>
  </si>
  <si>
    <t>ENTITY IfcLaborResource SUBTYPE OF (IfcConstructionResource)</t>
  </si>
  <si>
    <t>ENTITY IfcLampType SUBTYPE OF (IfcFlowTerminalType)</t>
  </si>
  <si>
    <t>ENTITY IfcLibraryInformation</t>
  </si>
  <si>
    <t>ENTITY IfcLibraryReference SUBTYPE OF (IfcExternalReference)</t>
  </si>
  <si>
    <t>ENTITY IfcLightDistributionData</t>
  </si>
  <si>
    <t>ENTITY IfcLightFixtureType SUBTYPE OF (IfcFlowTerminalType)</t>
  </si>
  <si>
    <t>ENTITY IfcLightIntensityDistribution</t>
  </si>
  <si>
    <t>ENTITY IfcLightSourceAmbient SUBTYPE OF (IfcLightSource)</t>
  </si>
  <si>
    <t>ENTITY IfcLightSourceDirectional SUBTYPE OF (IfcLightSource)</t>
  </si>
  <si>
    <t>ENTITY IfcLightSourceGoniometric SUBTYPE OF (IfcLightSource)</t>
  </si>
  <si>
    <t>ENTITY IfcLightSourceSpot SUBTYPE OF (IfcLightSourcePositional)</t>
  </si>
  <si>
    <t>ENTITY IfcLine SUBTYPE OF (IfcCurve)</t>
  </si>
  <si>
    <t>ENTITY IfcLinearDimension SUBTYPE OF (IfcDimensionCurveDirectedCallout)</t>
  </si>
  <si>
    <t>ENTITY IfcLocalPlacement SUBTYPE OF (IfcObjectPlacement)</t>
  </si>
  <si>
    <t>ENTITY IfcLocalTime</t>
  </si>
  <si>
    <t>ENTITY IfcMappedItem SUBTYPE OF (IfcRepresentationItem)</t>
  </si>
  <si>
    <t>ENTITY IfcMaterial</t>
  </si>
  <si>
    <t>ENTITY IfcMaterialClassificationRelationship</t>
  </si>
  <si>
    <t>ENTITY IfcMaterialDefinitionRepresentation SUBTYPE OF (IfcProductRepresentation)</t>
  </si>
  <si>
    <t>ENTITY IfcMaterialLayer</t>
  </si>
  <si>
    <t>ENTITY IfcMaterialLayerSet</t>
  </si>
  <si>
    <t>ENTITY IfcMaterialLayerSetUsage</t>
  </si>
  <si>
    <t>ENTITY IfcMaterialList</t>
  </si>
  <si>
    <t>ENTITY IfcMeasureWithUnit</t>
  </si>
  <si>
    <t>ENTITY IfcMechanicalConcreteMaterialProperties SUBTYPE OF (IfcMechanicalMaterialProperties)</t>
  </si>
  <si>
    <t>ENTITY IfcMechanicalFastener SUBTYPE OF (IfcFastener)</t>
  </si>
  <si>
    <t>ENTITY IfcMechanicalFastenerType SUBTYPE OF (IfcFastenerType)</t>
  </si>
  <si>
    <t>ENTITY IfcMechanicalSteelMaterialProperties SUBTYPE OF (IfcMechanicalMaterialProperties)</t>
  </si>
  <si>
    <t>ENTITY IfcMember SUBTYPE OF (IfcBuildingElement)</t>
  </si>
  <si>
    <t>ENTITY IfcMemberType SUBTYPE OF (IfcBuildingElementType)</t>
  </si>
  <si>
    <t>ENTITY IfcMetric SUBTYPE OF (IfcConstraint)</t>
  </si>
  <si>
    <t>ENTITY IfcMonetaryUnit</t>
  </si>
  <si>
    <t>ENTITY IfcMotorConnectionType SUBTYPE OF (IfcEnergyConversionDeviceType)</t>
  </si>
  <si>
    <t>ENTITY IfcMove SUBTYPE OF (IfcTask)</t>
  </si>
  <si>
    <t>ENTITY IfcObjective SUBTYPE OF (IfcConstraint)</t>
  </si>
  <si>
    <t>ENTITY IfcOccupant SUBTYPE OF (IfcActor)</t>
  </si>
  <si>
    <t>ENTITY IfcOffsetCurve2D SUBTYPE OF (IfcCurve)</t>
  </si>
  <si>
    <t>ENTITY IfcOffsetCurve3D SUBTYPE OF (IfcCurve)</t>
  </si>
  <si>
    <t>ENTITY IfcOpenShell SUBTYPE OF (IfcConnectedFaceSet)</t>
  </si>
  <si>
    <t>ENTITY IfcOpeningElement SUBTYPE OF (IfcFeatureElementSubtraction)</t>
  </si>
  <si>
    <t>ENTITY IfcOpticalMaterialProperties SUBTYPE OF (IfcMaterialProperties)</t>
  </si>
  <si>
    <t>ENTITY IfcOrderAction SUBTYPE OF (IfcTask)</t>
  </si>
  <si>
    <t>ENTITY IfcOrganization</t>
  </si>
  <si>
    <t>ENTITY IfcOrganizationRelationship</t>
  </si>
  <si>
    <t>ENTITY IfcOrientedEdge SUBTYPE OF (IfcEdge)</t>
  </si>
  <si>
    <t>ENTITY IfcOutletType SUBTYPE OF (IfcFlowTerminalType)</t>
  </si>
  <si>
    <t>ENTITY IfcOwnerHistory</t>
  </si>
  <si>
    <t>ENTITY IfcPath SUBTYPE OF (IfcTopologicalRepresentationItem)</t>
  </si>
  <si>
    <t>ENTITY IfcPerformanceHistory SUBTYPE OF (IfcControl)</t>
  </si>
  <si>
    <t>ENTITY IfcPermeableCoveringProperties SUBTYPE OF (IfcPropertySetDefinition)</t>
  </si>
  <si>
    <t>ENTITY IfcPermit SUBTYPE OF (IfcControl)</t>
  </si>
  <si>
    <t>ENTITY IfcPerson</t>
  </si>
  <si>
    <t>ENTITY IfcPersonAndOrganization</t>
  </si>
  <si>
    <t>ENTITY IfcPhysicalComplexQuantity SUBTYPE OF (IfcPhysicalQuantity)</t>
  </si>
  <si>
    <t>ENTITY IfcPile SUBTYPE OF (IfcBuildingElement)</t>
  </si>
  <si>
    <t>ENTITY IfcPipeFittingType SUBTYPE OF (IfcFlowFittingType)</t>
  </si>
  <si>
    <t>ENTITY IfcPipeSegmentType SUBTYPE OF (IfcFlowSegmentType)</t>
  </si>
  <si>
    <t>ENTITY IfcPixelTexture SUBTYPE OF (IfcSurfaceTexture)</t>
  </si>
  <si>
    <t>ENTITY IfcPlanarBox SUBTYPE OF (IfcPlanarExtent)</t>
  </si>
  <si>
    <t>ENTITY IfcPlane SUBTYPE OF (IfcElementarySurface)</t>
  </si>
  <si>
    <t>ENTITY IfcPlate SUBTYPE OF (IfcBuildingElement)</t>
  </si>
  <si>
    <t>ENTITY IfcPlateType SUBTYPE OF (IfcBuildingElementType)</t>
  </si>
  <si>
    <t>ENTITY IfcPointOnCurve SUBTYPE OF (IfcPoint)</t>
  </si>
  <si>
    <t>ENTITY IfcPointOnSurface SUBTYPE OF (IfcPoint)</t>
  </si>
  <si>
    <t>ENTITY IfcPolyLoop SUBTYPE OF (IfcLoop)</t>
  </si>
  <si>
    <t>ENTITY IfcPolygonalBoundedHalfSpace SUBTYPE OF (IfcHalfSpaceSolid)</t>
  </si>
  <si>
    <t>ENTITY IfcPolyline SUBTYPE OF (IfcBoundedCurve)</t>
  </si>
  <si>
    <t>ENTITY IfcPostalAddress SUBTYPE OF (IfcAddress)</t>
  </si>
  <si>
    <t>ENTITY IfcPreDefinedDimensionSymbol SUBTYPE OF (IfcPreDefinedSymbol)</t>
  </si>
  <si>
    <t>ENTITY IfcPreDefinedPointMarkerSymbol SUBTYPE OF (IfcPreDefinedSymbol)</t>
  </si>
  <si>
    <t>ENTITY IfcPreDefinedTerminatorSymbol SUBTYPE OF (IfcPreDefinedSymbol)</t>
  </si>
  <si>
    <t>ENTITY IfcPresentationLayerWithStyle SUBTYPE OF (IfcPresentationLayerAssignment)</t>
  </si>
  <si>
    <t>ENTITY IfcPresentationStyleAssignment</t>
  </si>
  <si>
    <t>ENTITY IfcProcedure SUBTYPE OF (IfcProcess)</t>
  </si>
  <si>
    <t>ENTITY IfcProductDefinitionShape SUBTYPE OF (IfcProductRepresentation)</t>
  </si>
  <si>
    <t>ENTITY IfcProductsOfCombustionProperties SUBTYPE OF (IfcMaterialProperties)</t>
  </si>
  <si>
    <t>ENTITY IfcProject SUBTYPE OF (IfcObject)</t>
  </si>
  <si>
    <t>ENTITY IfcProjectOrder SUBTYPE OF (IfcControl)</t>
  </si>
  <si>
    <t>ENTITY IfcProjectOrderRecord SUBTYPE OF (IfcControl)</t>
  </si>
  <si>
    <t>ENTITY IfcProjectionCurve SUBTYPE OF (IfcAnnotationCurveOccurrence)</t>
  </si>
  <si>
    <t>ENTITY IfcProjectionElement SUBTYPE OF (IfcFeatureElementAddition)</t>
  </si>
  <si>
    <t>ENTITY IfcPropertyBoundedValue SUBTYPE OF (IfcSimpleProperty)</t>
  </si>
  <si>
    <t>ENTITY IfcPropertyConstraintRelationship</t>
  </si>
  <si>
    <t>ENTITY IfcPropertyDependencyRelationship</t>
  </si>
  <si>
    <t>ENTITY IfcPropertyEnumeratedValue SUBTYPE OF (IfcSimpleProperty)</t>
  </si>
  <si>
    <t>ENTITY IfcPropertyEnumeration</t>
  </si>
  <si>
    <t>ENTITY IfcPropertyListValue SUBTYPE OF (IfcSimpleProperty)</t>
  </si>
  <si>
    <t>ENTITY IfcPropertyReferenceValue SUBTYPE OF (IfcSimpleProperty)</t>
  </si>
  <si>
    <t>ENTITY IfcPropertySet SUBTYPE OF (IfcPropertySetDefinition)</t>
  </si>
  <si>
    <t>ENTITY IfcPropertySingleValue SUBTYPE OF (IfcSimpleProperty)</t>
  </si>
  <si>
    <t>ENTITY IfcPropertyTableValue SUBTYPE OF (IfcSimpleProperty)</t>
  </si>
  <si>
    <t>ENTITY IfcProtectiveDeviceType SUBTYPE OF (IfcFlowControllerType)</t>
  </si>
  <si>
    <t>ENTITY IfcProxy SUBTYPE OF (IfcProduct)</t>
  </si>
  <si>
    <t>ENTITY IfcPumpType SUBTYPE OF (IfcFlowMovingDeviceType)</t>
  </si>
  <si>
    <t>ENTITY IfcQuantityArea SUBTYPE OF (IfcPhysicalSimpleQuantity)</t>
  </si>
  <si>
    <t>ENTITY IfcQuantityCount SUBTYPE OF (IfcPhysicalSimpleQuantity)</t>
  </si>
  <si>
    <t>ENTITY IfcQuantityLength SUBTYPE OF (IfcPhysicalSimpleQuantity)</t>
  </si>
  <si>
    <t>ENTITY IfcQuantityTime SUBTYPE OF (IfcPhysicalSimpleQuantity)</t>
  </si>
  <si>
    <t>ENTITY IfcQuantityVolume SUBTYPE OF (IfcPhysicalSimpleQuantity)</t>
  </si>
  <si>
    <t>ENTITY IfcQuantityWeight SUBTYPE OF (IfcPhysicalSimpleQuantity)</t>
  </si>
  <si>
    <t>ENTITY IfcRadiusDimension SUBTYPE OF (IfcDimensionCurveDirectedCallout)</t>
  </si>
  <si>
    <t>ENTITY IfcRailing SUBTYPE OF (IfcBuildingElement)</t>
  </si>
  <si>
    <t>ENTITY IfcRailingType SUBTYPE OF (IfcBuildingElementType)</t>
  </si>
  <si>
    <t>ENTITY IfcRamp SUBTYPE OF (IfcBuildingElement)</t>
  </si>
  <si>
    <t>ENTITY IfcRampFlight SUBTYPE OF (IfcBuildingElement)</t>
  </si>
  <si>
    <t>ENTITY IfcRampFlightType SUBTYPE OF (IfcBuildingElementType)</t>
  </si>
  <si>
    <t>ENTITY IfcRationalBezierCurve SUBTYPE OF (IfcBezierCurve)</t>
  </si>
  <si>
    <t>ENTITY IfcRectangleHollowProfileDef SUBTYPE OF (IfcRectangleProfileDef)</t>
  </si>
  <si>
    <t>ENTITY IfcRectangularPyramid SUBTYPE OF (IfcCsgPrimitive3D)</t>
  </si>
  <si>
    <t>ENTITY IfcRectangularTrimmedSurface SUBTYPE OF (IfcBoundedSurface)</t>
  </si>
  <si>
    <t>ENTITY IfcReferencesValueDocument</t>
  </si>
  <si>
    <t>ENTITY IfcRegularTimeSeries SUBTYPE OF (IfcTimeSeries)</t>
  </si>
  <si>
    <t>ENTITY IfcReinforcementBarProperties</t>
  </si>
  <si>
    <t>ENTITY IfcReinforcementDefinitionProperties SUBTYPE OF (IfcPropertySetDefinition)</t>
  </si>
  <si>
    <t>ENTITY IfcReinforcingBar SUBTYPE OF (IfcReinforcingElement)</t>
  </si>
  <si>
    <t>ENTITY IfcReinforcingMesh SUBTYPE OF (IfcReinforcingElement)</t>
  </si>
  <si>
    <t>ENTITY IfcRelAggregates SUBTYPE OF (IfcRelDecomposes)</t>
  </si>
  <si>
    <t>ENTITY IfcRelAssignsTasks SUBTYPE OF (IfcRelAssignsToControl)</t>
  </si>
  <si>
    <t>ENTITY IfcRelAssignsToGroup SUBTYPE OF (IfcRelAssigns)</t>
  </si>
  <si>
    <t>ENTITY IfcRelAssignsToProcess SUBTYPE OF (IfcRelAssigns)</t>
  </si>
  <si>
    <t>ENTITY IfcRelAssignsToProduct SUBTYPE OF (IfcRelAssigns)</t>
  </si>
  <si>
    <t>ENTITY IfcRelAssignsToProjectOrder SUBTYPE OF (IfcRelAssignsToControl)</t>
  </si>
  <si>
    <t>ENTITY IfcRelAssignsToResource SUBTYPE OF (IfcRelAssigns)</t>
  </si>
  <si>
    <t>ENTITY IfcRelAssociatesAppliedValue SUBTYPE OF (IfcRelAssociates)</t>
  </si>
  <si>
    <t>ENTITY IfcRelAssociatesApproval SUBTYPE OF (IfcRelAssociates)</t>
  </si>
  <si>
    <t>ENTITY IfcRelAssociatesClassification SUBTYPE OF (IfcRelAssociates)</t>
  </si>
  <si>
    <t>ENTITY IfcRelAssociatesConstraint SUBTYPE OF (IfcRelAssociates)</t>
  </si>
  <si>
    <t>ENTITY IfcRelAssociatesDocument SUBTYPE OF (IfcRelAssociates)</t>
  </si>
  <si>
    <t>ENTITY IfcRelAssociatesLibrary SUBTYPE OF (IfcRelAssociates)</t>
  </si>
  <si>
    <t>ENTITY IfcRelAssociatesMaterial SUBTYPE OF (IfcRelAssociates)</t>
  </si>
  <si>
    <t>ENTITY IfcRelAssociatesProfileProperties SUBTYPE OF (IfcRelAssociates)</t>
  </si>
  <si>
    <t>ENTITY IfcRelConnectsPathElements SUBTYPE OF (IfcRelConnectsElements)</t>
  </si>
  <si>
    <t>ENTITY IfcRelConnectsPortToElement SUBTYPE OF (IfcRelConnects)</t>
  </si>
  <si>
    <t>ENTITY IfcRelConnectsPorts SUBTYPE OF (IfcRelConnects)</t>
  </si>
  <si>
    <t>ENTITY IfcRelConnectsStructuralActivity SUBTYPE OF (IfcRelConnects)</t>
  </si>
  <si>
    <t>ENTITY IfcRelConnectsStructuralElement SUBTYPE OF (IfcRelConnects)</t>
  </si>
  <si>
    <t>ENTITY IfcRelConnectsWithEccentricity SUBTYPE OF (IfcRelConnectsStructuralMember)</t>
  </si>
  <si>
    <t>ENTITY IfcRelConnectsWithRealizingElements SUBTYPE OF (IfcRelConnectsElements)</t>
  </si>
  <si>
    <t>ENTITY IfcRelContainedInSpatialStructure SUBTYPE OF (IfcRelConnects)</t>
  </si>
  <si>
    <t>ENTITY IfcRelCoversBldgElements SUBTYPE OF (IfcRelConnects)</t>
  </si>
  <si>
    <t>ENTITY IfcRelCoversSpaces SUBTYPE OF (IfcRelConnects)</t>
  </si>
  <si>
    <t>ENTITY IfcRelDefinesByType SUBTYPE OF (IfcRelDefines)</t>
  </si>
  <si>
    <t>ENTITY IfcRelFillsElement SUBTYPE OF (IfcRelConnects)</t>
  </si>
  <si>
    <t>ENTITY IfcRelFlowControlElements SUBTYPE OF (IfcRelConnects)</t>
  </si>
  <si>
    <t>ENTITY IfcRelInteractionRequirements SUBTYPE OF (IfcRelConnects)</t>
  </si>
  <si>
    <t>ENTITY IfcRelNests SUBTYPE OF (IfcRelDecomposes)</t>
  </si>
  <si>
    <t>ENTITY IfcRelOccupiesSpaces SUBTYPE OF (IfcRelAssignsToActor)</t>
  </si>
  <si>
    <t>ENTITY IfcRelOverridesProperties SUBTYPE OF (IfcRelDefinesByProperties)</t>
  </si>
  <si>
    <t>ENTITY IfcRelProjectsElement SUBTYPE OF (IfcRelConnects)</t>
  </si>
  <si>
    <t>ENTITY IfcRelReferencedInSpatialStructure SUBTYPE OF (IfcRelConnects)</t>
  </si>
  <si>
    <t>ENTITY IfcRelSchedulesCostItems SUBTYPE OF (IfcRelAssignsToControl)</t>
  </si>
  <si>
    <t>ENTITY IfcRelSequence SUBTYPE OF (IfcRelConnects)</t>
  </si>
  <si>
    <t>ENTITY IfcRelServicesBuildings SUBTYPE OF (IfcRelConnects)</t>
  </si>
  <si>
    <t>ENTITY IfcRelSpaceBoundary SUBTYPE OF (IfcRelConnects)</t>
  </si>
  <si>
    <t>ENTITY IfcRelVoidsElement SUBTYPE OF (IfcRelConnects)</t>
  </si>
  <si>
    <t>ENTITY IfcRelaxation</t>
  </si>
  <si>
    <t>ENTITY IfcRepresentationMap</t>
  </si>
  <si>
    <t>ENTITY IfcRevolvedAreaSolid SUBTYPE OF (IfcSweptAreaSolid)</t>
  </si>
  <si>
    <t>ENTITY IfcRibPlateProfileProperties SUBTYPE OF (IfcProfileProperties)</t>
  </si>
  <si>
    <t>ENTITY IfcRightCircularCone SUBTYPE OF (IfcCsgPrimitive3D)</t>
  </si>
  <si>
    <t>ENTITY IfcRightCircularCylinder SUBTYPE OF (IfcCsgPrimitive3D)</t>
  </si>
  <si>
    <t>ENTITY IfcRoof SUBTYPE OF (IfcBuildingElement)</t>
  </si>
  <si>
    <t>ENTITY IfcRoundedEdgeFeature SUBTYPE OF (IfcEdgeFeature)</t>
  </si>
  <si>
    <t>ENTITY IfcRoundedRectangleProfileDef SUBTYPE OF (IfcRectangleProfileDef)</t>
  </si>
  <si>
    <t>ENTITY IfcSIUnit SUBTYPE OF (IfcNamedUnit)</t>
  </si>
  <si>
    <t>ENTITY IfcSanitaryTerminalType SUBTYPE OF (IfcFlowTerminalType)</t>
  </si>
  <si>
    <t>ENTITY IfcScheduleTimeControl SUBTYPE OF (IfcControl)</t>
  </si>
  <si>
    <t>ENTITY IfcSectionProperties</t>
  </si>
  <si>
    <t>ENTITY IfcSectionReinforcementProperties</t>
  </si>
  <si>
    <t>ENTITY IfcSectionedSpine SUBTYPE OF (IfcGeometricRepresentationItem)</t>
  </si>
  <si>
    <t>ENTITY IfcSensorType SUBTYPE OF (IfcDistributionControlElementType)</t>
  </si>
  <si>
    <t>ENTITY IfcServiceLife SUBTYPE OF (IfcControl)</t>
  </si>
  <si>
    <t>ENTITY IfcServiceLifeFactor SUBTYPE OF (IfcPropertySetDefinition)</t>
  </si>
  <si>
    <t>ENTITY IfcShapeAspect</t>
  </si>
  <si>
    <t>ENTITY IfcShapeRepresentation SUBTYPE OF (IfcShapeModel)</t>
  </si>
  <si>
    <t>ENTITY IfcShellBasedSurfaceModel SUBTYPE OF (IfcGeometricRepresentationItem)</t>
  </si>
  <si>
    <t>ENTITY IfcSite SUBTYPE OF (IfcSpatialStructureElement)</t>
  </si>
  <si>
    <t>ENTITY IfcSlab SUBTYPE OF (IfcBuildingElement)</t>
  </si>
  <si>
    <t>ENTITY IfcSlabType SUBTYPE OF (IfcBuildingElementType)</t>
  </si>
  <si>
    <t>ENTITY IfcSlippageConnectionCondition SUBTYPE OF (IfcStructuralConnectionCondition)</t>
  </si>
  <si>
    <t>ENTITY IfcSoundProperties SUBTYPE OF (IfcPropertySetDefinition)</t>
  </si>
  <si>
    <t>ENTITY IfcSoundValue SUBTYPE OF (IfcPropertySetDefinition)</t>
  </si>
  <si>
    <t>ENTITY IfcSpace SUBTYPE OF (IfcSpatialStructureElement)</t>
  </si>
  <si>
    <t>ENTITY IfcSpaceHeaterType SUBTYPE OF (IfcEnergyConversionDeviceType)</t>
  </si>
  <si>
    <t>ENTITY IfcSpaceProgram SUBTYPE OF (IfcControl)</t>
  </si>
  <si>
    <t>ENTITY IfcSpaceThermalLoadProperties SUBTYPE OF (IfcPropertySetDefinition)</t>
  </si>
  <si>
    <t>ENTITY IfcSpaceType SUBTYPE OF (IfcSpatialStructureElementType)</t>
  </si>
  <si>
    <t>ENTITY IfcSphere SUBTYPE OF (IfcCsgPrimitive3D)</t>
  </si>
  <si>
    <t>ENTITY IfcStackTerminalType SUBTYPE OF (IfcFlowTerminalType)</t>
  </si>
  <si>
    <t>ENTITY IfcStair SUBTYPE OF (IfcBuildingElement)</t>
  </si>
  <si>
    <t>ENTITY IfcStairFlight SUBTYPE OF (IfcBuildingElement)</t>
  </si>
  <si>
    <t>ENTITY IfcStairFlightType SUBTYPE OF (IfcBuildingElementType)</t>
  </si>
  <si>
    <t>ENTITY IfcStructuralAnalysisModel SUBTYPE OF (IfcSystem)</t>
  </si>
  <si>
    <t>ENTITY IfcStructuralCurveConnection SUBTYPE OF (IfcStructuralConnection)</t>
  </si>
  <si>
    <t>ENTITY IfcStructuralCurveMemberVarying SUBTYPE OF (IfcStructuralCurveMember)</t>
  </si>
  <si>
    <t>ENTITY IfcStructuralLinearActionVarying SUBTYPE OF (IfcStructuralLinearAction)</t>
  </si>
  <si>
    <t>ENTITY IfcStructuralLoadGroup SUBTYPE OF (IfcGroup)</t>
  </si>
  <si>
    <t>ENTITY IfcStructuralLoadLinearForce SUBTYPE OF (IfcStructuralLoadStatic)</t>
  </si>
  <si>
    <t>ENTITY IfcStructuralLoadPlanarForce SUBTYPE OF (IfcStructuralLoadStatic)</t>
  </si>
  <si>
    <t>ENTITY IfcStructuralLoadSingleDisplacementDistortion SUBTYPE OF (IfcStructuralLoadSingleDisplacement)</t>
  </si>
  <si>
    <t>ENTITY IfcStructuralLoadSingleForceWarping SUBTYPE OF (IfcStructuralLoadSingleForce)</t>
  </si>
  <si>
    <t>ENTITY IfcStructuralLoadTemperature SUBTYPE OF (IfcStructuralLoadStatic)</t>
  </si>
  <si>
    <t>ENTITY IfcStructuralPlanarActionVarying SUBTYPE OF (IfcStructuralPlanarAction)</t>
  </si>
  <si>
    <t>ENTITY IfcStructuralPointAction SUBTYPE OF (IfcStructuralAction)</t>
  </si>
  <si>
    <t>ENTITY IfcStructuralPointConnection SUBTYPE OF (IfcStructuralConnection)</t>
  </si>
  <si>
    <t>ENTITY IfcStructuralPointReaction SUBTYPE OF (IfcStructuralReaction)</t>
  </si>
  <si>
    <t>ENTITY IfcStructuralResultGroup SUBTYPE OF (IfcGroup)</t>
  </si>
  <si>
    <t>ENTITY IfcStructuralSteelProfileProperties SUBTYPE OF (IfcStructuralProfileProperties)</t>
  </si>
  <si>
    <t>ENTITY IfcStructuralSurfaceConnection SUBTYPE OF (IfcStructuralConnection)</t>
  </si>
  <si>
    <t>ENTITY IfcStructuralSurfaceMemberVarying SUBTYPE OF (IfcStructuralSurfaceMember)</t>
  </si>
  <si>
    <t>ENTITY IfcStructuredDimensionCallout SUBTYPE OF (IfcDraughtingCallout)</t>
  </si>
  <si>
    <t>ENTITY IfcStyledRepresentation SUBTYPE OF (IfcStyleModel)</t>
  </si>
  <si>
    <t>ENTITY IfcSubContractResource SUBTYPE OF (IfcConstructionResource)</t>
  </si>
  <si>
    <t>ENTITY IfcSubedge SUBTYPE OF (IfcEdge)</t>
  </si>
  <si>
    <t>ENTITY IfcSurfaceCurveSweptAreaSolid SUBTYPE OF (IfcSweptAreaSolid)</t>
  </si>
  <si>
    <t>ENTITY IfcSurfaceOfLinearExtrusion SUBTYPE OF (IfcSweptSurface)</t>
  </si>
  <si>
    <t>ENTITY IfcSurfaceOfRevolution SUBTYPE OF (IfcSweptSurface)</t>
  </si>
  <si>
    <t>ENTITY IfcSurfaceStyle SUBTYPE OF (IfcPresentationStyle)</t>
  </si>
  <si>
    <t>ENTITY IfcSurfaceStyleLighting</t>
  </si>
  <si>
    <t>ENTITY IfcSurfaceStyleRefraction</t>
  </si>
  <si>
    <t>ENTITY IfcSurfaceStyleRendering SUBTYPE OF (IfcSurfaceStyleShading)</t>
  </si>
  <si>
    <t>ENTITY IfcSurfaceStyleWithTextures</t>
  </si>
  <si>
    <t>ENTITY IfcSweptDiskSolid SUBTYPE OF (IfcSolidModel)</t>
  </si>
  <si>
    <t>ENTITY IfcSwitchingDeviceType SUBTYPE OF (IfcFlowControllerType)</t>
  </si>
  <si>
    <t>ENTITY IfcSymbolStyle SUBTYPE OF (IfcPresentationStyle)</t>
  </si>
  <si>
    <t>ENTITY IfcSystemFurnitureElementType SUBTYPE OF (IfcFurnishingElementType)</t>
  </si>
  <si>
    <t>ENTITY IfcTShapeProfileDef SUBTYPE OF (IfcParameterizedProfileDef)</t>
  </si>
  <si>
    <t>ENTITY IfcTable</t>
  </si>
  <si>
    <t>ENTITY IfcTableRow</t>
  </si>
  <si>
    <t>ENTITY IfcTankType SUBTYPE OF (IfcFlowStorageDeviceType)</t>
  </si>
  <si>
    <t>ENTITY IfcTelecomAddress SUBTYPE OF (IfcAddress)</t>
  </si>
  <si>
    <t>ENTITY IfcTendon SUBTYPE OF (IfcReinforcingElement)</t>
  </si>
  <si>
    <t>ENTITY IfcTendonAnchor SUBTYPE OF (IfcReinforcingElement)</t>
  </si>
  <si>
    <t>ENTITY IfcTextLiteralWithExtent SUBTYPE OF (IfcTextLiteral)</t>
  </si>
  <si>
    <t>ENTITY IfcTextStyle SUBTYPE OF (IfcPresentationStyle)</t>
  </si>
  <si>
    <t>ENTITY IfcTextStyleFontModel SUBTYPE OF (IfcPreDefinedTextFont)</t>
  </si>
  <si>
    <t>ENTITY IfcTextStyleForDefinedFont</t>
  </si>
  <si>
    <t>ENTITY IfcTextStyleTextModel</t>
  </si>
  <si>
    <t>ENTITY IfcTextStyleWithBoxCharacteristics</t>
  </si>
  <si>
    <t>ENTITY IfcTextureCoordinateGenerator SUBTYPE OF (IfcTextureCoordinate)</t>
  </si>
  <si>
    <t>ENTITY IfcTextureMap SUBTYPE OF (IfcTextureCoordinate)</t>
  </si>
  <si>
    <t>ENTITY IfcTextureVertex</t>
  </si>
  <si>
    <t>ENTITY IfcThermalMaterialProperties SUBTYPE OF (IfcMaterialProperties)</t>
  </si>
  <si>
    <t>ENTITY IfcTimeSeriesReferenceRelationship</t>
  </si>
  <si>
    <t>ENTITY IfcTimeSeriesSchedule SUBTYPE OF (IfcControl)</t>
  </si>
  <si>
    <t>ENTITY IfcTimeSeriesValue</t>
  </si>
  <si>
    <t>ENTITY IfcTopologyRepresentation SUBTYPE OF (IfcShapeModel)</t>
  </si>
  <si>
    <t>ENTITY IfcTransformerType SUBTYPE OF (IfcEnergyConversionDeviceType)</t>
  </si>
  <si>
    <t>ENTITY IfcTransportElement SUBTYPE OF (IfcElement)</t>
  </si>
  <si>
    <t>ENTITY IfcTransportElementType SUBTYPE OF (IfcElementType)</t>
  </si>
  <si>
    <t>ENTITY IfcTrapeziumProfileDef SUBTYPE OF (IfcParameterizedProfileDef)</t>
  </si>
  <si>
    <t>ENTITY IfcTrimmedCurve SUBTYPE OF (IfcBoundedCurve)</t>
  </si>
  <si>
    <t>ENTITY IfcTubeBundleType SUBTYPE OF (IfcEnergyConversionDeviceType)</t>
  </si>
  <si>
    <t>ENTITY IfcTwoDirectionRepeatFactor SUBTYPE OF (IfcOneDirectionRepeatFactor)</t>
  </si>
  <si>
    <t>ENTITY IfcUShapeProfileDef SUBTYPE OF (IfcParameterizedProfileDef)</t>
  </si>
  <si>
    <t>ENTITY IfcUnitAssignment</t>
  </si>
  <si>
    <t>ENTITY IfcUnitaryEquipmentType SUBTYPE OF (IfcEnergyConversionDeviceType)</t>
  </si>
  <si>
    <t>ENTITY IfcValveType SUBTYPE OF (IfcFlowControllerType)</t>
  </si>
  <si>
    <t>ENTITY IfcVector SUBTYPE OF (IfcGeometricRepresentationItem)</t>
  </si>
  <si>
    <t>ENTITY IfcVertexBasedTextureMap</t>
  </si>
  <si>
    <t>ENTITY IfcVertexLoop SUBTYPE OF (IfcLoop)</t>
  </si>
  <si>
    <t>ENTITY IfcVertexPoint SUBTYPE OF (IfcVertex)</t>
  </si>
  <si>
    <t>ENTITY IfcVibrationIsolatorType SUBTYPE OF (IfcDiscreteAccessoryType)</t>
  </si>
  <si>
    <t>ENTITY IfcVirtualElement SUBTYPE OF (IfcElement)</t>
  </si>
  <si>
    <t>ENTITY IfcVirtualGridIntersection</t>
  </si>
  <si>
    <t>ENTITY IfcWallStandardCase SUBTYPE OF (IfcWall)</t>
  </si>
  <si>
    <t>ENTITY IfcWallType SUBTYPE OF (IfcBuildingElementType)</t>
  </si>
  <si>
    <t>ENTITY IfcWasteTerminalType SUBTYPE OF (IfcFlowTerminalType)</t>
  </si>
  <si>
    <t>ENTITY IfcWaterProperties SUBTYPE OF (IfcMaterialProperties)</t>
  </si>
  <si>
    <t>ENTITY IfcWindow SUBTYPE OF (IfcBuildingElement)</t>
  </si>
  <si>
    <t>ENTITY IfcWindowLiningProperties SUBTYPE OF (IfcPropertySetDefinition)</t>
  </si>
  <si>
    <t>ENTITY IfcWindowPanelProperties SUBTYPE OF (IfcPropertySetDefinition)</t>
  </si>
  <si>
    <t>ENTITY IfcWindowStyle SUBTYPE OF (IfcTypeProduct)</t>
  </si>
  <si>
    <t>ENTITY IfcWorkPlan SUBTYPE OF (IfcWorkControl)</t>
  </si>
  <si>
    <t>ENTITY IfcWorkSchedule SUBTYPE OF (IfcWorkControl)</t>
  </si>
  <si>
    <t>ENTITY IfcZShapeProfileDef SUBTYPE OF (IfcParameterizedProfileDef)</t>
  </si>
  <si>
    <t>ENTITY IfcZone SUBTYPE OF (IfcGroup)</t>
  </si>
  <si>
    <t>Länge IFCName</t>
  </si>
  <si>
    <t>Klassen-Name</t>
  </si>
  <si>
    <t>Länge KlassenName</t>
  </si>
  <si>
    <t>seen in IFC</t>
  </si>
  <si>
    <t>Klasse?</t>
  </si>
  <si>
    <t>IfcIdentifier</t>
  </si>
  <si>
    <t>IfcLabel</t>
  </si>
  <si>
    <t>IfcText</t>
  </si>
  <si>
    <t>IFC-Type</t>
  </si>
  <si>
    <t>IfcAbsorbedDoseMeasure</t>
  </si>
  <si>
    <t>REAL</t>
  </si>
  <si>
    <t>IfcAccelerationMeasure</t>
  </si>
  <si>
    <t>IfcAmountOfSubstanceMeasure</t>
  </si>
  <si>
    <t>IfcAngularVelocityMeasure</t>
  </si>
  <si>
    <t>IfcAreaMeasure</t>
  </si>
  <si>
    <t>IfcBoolean</t>
  </si>
  <si>
    <t>BOOLEAN</t>
  </si>
  <si>
    <t>IfcBoxAlignment</t>
  </si>
  <si>
    <t>IfcComplexNumber</t>
  </si>
  <si>
    <t>ARRAY [1:2] OF REAL</t>
  </si>
  <si>
    <t>IfcCompoundPlaneAngleMeasure</t>
  </si>
  <si>
    <t>LIST [3:4] OF INTEGER</t>
  </si>
  <si>
    <t>IfcContextDependentMeasure</t>
  </si>
  <si>
    <t>IfcCountMeasure</t>
  </si>
  <si>
    <t>NUMBER</t>
  </si>
  <si>
    <t>IfcCurvatureMeasure</t>
  </si>
  <si>
    <t>IfcDayInMonthNumber</t>
  </si>
  <si>
    <t>INTEGER</t>
  </si>
  <si>
    <t>IfcDaylightSavingHour</t>
  </si>
  <si>
    <t>IfcDescriptiveMeasure</t>
  </si>
  <si>
    <t>STRING</t>
  </si>
  <si>
    <t>IfcDimensionCount</t>
  </si>
  <si>
    <t>IfcDoseEquivalentMeasure</t>
  </si>
  <si>
    <t>IfcDynamicViscosityMeasure</t>
  </si>
  <si>
    <t>IfcElectricCapacitanceMeasure</t>
  </si>
  <si>
    <t>IfcElectricChargeMeasure</t>
  </si>
  <si>
    <t>IfcElectricConductanceMeasure</t>
  </si>
  <si>
    <t>IfcElectricCurrentMeasure</t>
  </si>
  <si>
    <t>IfcElectricResistanceMeasure</t>
  </si>
  <si>
    <t>IfcElectricVoltageMeasure</t>
  </si>
  <si>
    <t>IfcEnergyMeasure</t>
  </si>
  <si>
    <t>IfcFontStyle</t>
  </si>
  <si>
    <t>IfcFontVariant</t>
  </si>
  <si>
    <t>IfcFontWeight</t>
  </si>
  <si>
    <t>IfcForceMeasure</t>
  </si>
  <si>
    <t>IfcFrequencyMeasure</t>
  </si>
  <si>
    <t>IfcGloballyUniqueId</t>
  </si>
  <si>
    <t>STRING(22) FIXED</t>
  </si>
  <si>
    <t>IfcHeatFluxDensityMeasure</t>
  </si>
  <si>
    <t>IfcHeatingValueMeasure</t>
  </si>
  <si>
    <t>IfcHourInDay</t>
  </si>
  <si>
    <t>IfcIlluminanceMeasure</t>
  </si>
  <si>
    <t>IfcInductanceMeasure</t>
  </si>
  <si>
    <t>IfcInteger</t>
  </si>
  <si>
    <t>IfcIntegerCountRateMeasure</t>
  </si>
  <si>
    <t>IfcIonConcentrationMeasure</t>
  </si>
  <si>
    <t>IfcIsothermalMoistureCapacityMeasure</t>
  </si>
  <si>
    <t>IfcKinematicViscosityMeasure</t>
  </si>
  <si>
    <t>IfcLengthMeasure</t>
  </si>
  <si>
    <t>IfcLinearForceMeasure</t>
  </si>
  <si>
    <t>IfcLinearMomentMeasure</t>
  </si>
  <si>
    <t>IfcLinearStiffnessMeasure</t>
  </si>
  <si>
    <t>IfcLinearVelocityMeasure</t>
  </si>
  <si>
    <t>IfcLogical</t>
  </si>
  <si>
    <t>LOGICAL</t>
  </si>
  <si>
    <t>IfcLuminousFluxMeasure</t>
  </si>
  <si>
    <t>IfcLuminousIntensityDistributionMeasure</t>
  </si>
  <si>
    <t>IfcLuminousIntensityMeasure</t>
  </si>
  <si>
    <t>IfcMagneticFluxDensityMeasure</t>
  </si>
  <si>
    <t>IfcMagneticFluxMeasure</t>
  </si>
  <si>
    <t>IfcMassDensityMeasure</t>
  </si>
  <si>
    <t>IfcMassFlowRateMeasure</t>
  </si>
  <si>
    <t>IfcMassMeasure</t>
  </si>
  <si>
    <t>IfcMassPerLengthMeasure</t>
  </si>
  <si>
    <t>IfcMinuteInHour</t>
  </si>
  <si>
    <t>IfcModulusOfElasticityMeasure</t>
  </si>
  <si>
    <t>IfcModulusOfLinearSubgradeReactionMeasure</t>
  </si>
  <si>
    <t>IfcModulusOfRotationalSubgradeReactionMeasure</t>
  </si>
  <si>
    <t>IfcModulusOfSubgradeReactionMeasure</t>
  </si>
  <si>
    <t>IfcMoistureDiffusivityMeasure</t>
  </si>
  <si>
    <t>IfcMolecularWeightMeasure</t>
  </si>
  <si>
    <t>IfcMomentOfInertiaMeasure</t>
  </si>
  <si>
    <t>IfcMonetaryMeasure</t>
  </si>
  <si>
    <t>IfcMonthInYearNumber</t>
  </si>
  <si>
    <t>IfcNormalisedRatioMeasure</t>
  </si>
  <si>
    <t>IfcRatioMeasure</t>
  </si>
  <si>
    <t>IfcNumericMeasure</t>
  </si>
  <si>
    <t>IfcPHMeasure</t>
  </si>
  <si>
    <t>IfcParameterValue</t>
  </si>
  <si>
    <t>IfcPlanarForceMeasure</t>
  </si>
  <si>
    <t>IfcPlaneAngleMeasure</t>
  </si>
  <si>
    <t>IfcPositiveLengthMeasure</t>
  </si>
  <si>
    <t>IfcPositivePlaneAngleMeasure</t>
  </si>
  <si>
    <t>IfcPositiveRatioMeasure</t>
  </si>
  <si>
    <t>IfcPowerMeasure</t>
  </si>
  <si>
    <t>IfcPresentableText</t>
  </si>
  <si>
    <t>IfcPressureMeasure</t>
  </si>
  <si>
    <t>IfcRadioActivityMeasure</t>
  </si>
  <si>
    <t>IfcReal</t>
  </si>
  <si>
    <t>IfcRotationalFrequencyMeasure</t>
  </si>
  <si>
    <t>IfcRotationalMassMeasure</t>
  </si>
  <si>
    <t>IfcRotationalStiffnessMeasure</t>
  </si>
  <si>
    <t>IfcSecondInMinute</t>
  </si>
  <si>
    <t>IfcSectionModulusMeasure</t>
  </si>
  <si>
    <t>IfcSectionalAreaIntegralMeasure</t>
  </si>
  <si>
    <t>IfcShearModulusMeasure</t>
  </si>
  <si>
    <t>IfcSolidAngleMeasure</t>
  </si>
  <si>
    <t>IfcSoundPowerMeasure</t>
  </si>
  <si>
    <t>IfcSoundPressureMeasure</t>
  </si>
  <si>
    <t>IfcSpecificHeatCapacityMeasure</t>
  </si>
  <si>
    <t>IfcSpecularExponent</t>
  </si>
  <si>
    <t>IfcSpecularRoughness</t>
  </si>
  <si>
    <t>IfcTemperatureGradientMeasure</t>
  </si>
  <si>
    <t>IfcTextAlignment</t>
  </si>
  <si>
    <t>IfcTextDecoration</t>
  </si>
  <si>
    <t>IfcTextFontName</t>
  </si>
  <si>
    <t>IfcTextTransformation</t>
  </si>
  <si>
    <t>IfcThermalAdmittanceMeasure</t>
  </si>
  <si>
    <t>IfcThermalConductivityMeasure</t>
  </si>
  <si>
    <t>IfcThermalExpansionCoefficientMeasure</t>
  </si>
  <si>
    <t>IfcThermalResistanceMeasure</t>
  </si>
  <si>
    <t>IfcThermalTransmittanceMeasure</t>
  </si>
  <si>
    <t>IfcThermodynamicTemperatureMeasure</t>
  </si>
  <si>
    <t>IfcTimeMeasure</t>
  </si>
  <si>
    <t>IfcTimeStamp</t>
  </si>
  <si>
    <t>IfcTorqueMeasure</t>
  </si>
  <si>
    <t>IfcVaporPermeabilityMeasure</t>
  </si>
  <si>
    <t>IfcVolumeMeasure</t>
  </si>
  <si>
    <t>IfcVolumetricFlowRateMeasure</t>
  </si>
  <si>
    <t>IfcWarpingConstantMeasure</t>
  </si>
  <si>
    <t>IfcWarpingMomentMeasure</t>
  </si>
  <si>
    <t>IfcYearNumber</t>
  </si>
  <si>
    <t>Link</t>
  </si>
  <si>
    <t>Soll 
Select Types</t>
  </si>
  <si>
    <t>Soll 
Defined Types</t>
  </si>
  <si>
    <t>Soll 
Entities</t>
  </si>
  <si>
    <t>Soll 
Enums</t>
  </si>
  <si>
    <t>Soll 
Functions</t>
  </si>
  <si>
    <t>Ist 
Entities</t>
  </si>
  <si>
    <t>Ist 
Defined Types</t>
  </si>
  <si>
    <t>Ist 
Select Types</t>
  </si>
  <si>
    <t>Ist 
Enums</t>
  </si>
  <si>
    <t>Ist 
Functions</t>
  </si>
  <si>
    <t>ENTITY IfcActor SUPERTYPE OF (ONEOF (IfcOccupant)) SUBTYPE OF (IfcObject)</t>
  </si>
  <si>
    <t>ENTITY IfcAddress ABSTRACT SUPERTYPE OF (ONEOF (IfcPostalAddress ,IfcTelecomAddress))</t>
  </si>
  <si>
    <t>ENTITY IfcAnnotationCurveOccurrence SUPERTYPE OF (ONEOF (IfcDimensionCurve ,IfcProjectionCurve)) SUBTYPE OF (IfcAnnotationOccurrence)</t>
  </si>
  <si>
    <t>ENTITY IfcAnnotationOccurrence ABSTRACT SUPERTYPE OF (ONEOF (IfcAnnotationCurveOccurrence ,IfcAnnotationFillAreaOccurrence ,IfcAnnotationSurfaceOccurrence ,IfcAnnotationSymbolOccurrence ,IfcAnnotationTextOccurrence)) SUBTYPE OF (IfcStyledItem)</t>
  </si>
  <si>
    <t>ENTITY IfcAnnotationSymbolOccurrence SUPERTYPE OF (ONEOF (IfcTerminatorSymbol)) SUBTYPE OF (IfcAnnotationOccurrence)</t>
  </si>
  <si>
    <t>ENTITY IfcAppliedValue ABSTRACT SUPERTYPE OF (ONEOF (IfcCostValue ,IfcEnvironmentalImpactValue))</t>
  </si>
  <si>
    <t>ENTITY IfcArbitraryClosedProfileDef SUPERTYPE OF (ONEOF (IfcArbitraryProfileDefWithVoids)) SUBTYPE OF (IfcProfileDef)</t>
  </si>
  <si>
    <t>ENTITY IfcArbitraryOpenProfileDef SUPERTYPE OF (ONEOF (IfcCenterLineProfileDef)) SUBTYPE OF (IfcProfileDef)</t>
  </si>
  <si>
    <t>ENTITY IfcBSplineCurve ABSTRACT SUPERTYPE OF (ONEOF (IfcBezierCurve)) SUBTYPE OF (IfcBoundedCurve)</t>
  </si>
  <si>
    <t>ENTITY IfcBezierCurve SUPERTYPE OF (ONEOF (IfcRationalBezierCurve)) SUBTYPE OF (IfcBSplineCurve)</t>
  </si>
  <si>
    <t>ENTITY IfcBooleanResult SUPERTYPE OF (ONEOF (IfcBooleanClippingResult)) SUBTYPE OF (IfcGeometricRepresentationItem)</t>
  </si>
  <si>
    <t>ENTITY IfcBoundaryCondition ABSTRACT SUPERTYPE OF (ONEOF (IfcBoundaryEdgeCondition ,IfcBoundaryFaceCondition ,IfcBoundaryNodeCondition))</t>
  </si>
  <si>
    <t>ENTITY IfcBoundaryNodeCondition SUPERTYPE OF (ONEOF (IfcBoundaryNodeConditionWarping)) SUBTYPE OF (IfcBoundaryCondition)</t>
  </si>
  <si>
    <t>ENTITY IfcBoundedCurve ABSTRACT SUPERTYPE OF (ONEOF (IfcBSplineCurve ,IfcCompositeCurve ,IfcPolyline ,IfcTrimmedCurve)) SUBTYPE OF (IfcCurve)</t>
  </si>
  <si>
    <t>ENTITY IfcBoundedSurface SUPERTYPE OF (ONEOF (IfcCurveBoundedPlane ,IfcRectangularTrimmedSurface)) SUBTYPE OF (IfcSurface)</t>
  </si>
  <si>
    <t>ENTITY IfcBuildingElement ABSTRACT SUPERTYPE OF (ONEOF (IfcBeam ,IfcBuildingElementComponent ,IfcBuildingElementProxy ,IfcColumn ,IfcCovering ,IfcCurtainWall ,IfcDoor ,IfcFooting ,IfcMember ,IfcPile ,IfcPlate ,IfcRailing ,IfcRamp ,IfcRampFlight ,IfcRoof ,IfcSlab ,IfcStair ,IfcStairFlight ,IfcWall ,IfcWindow)) SUBTYPE OF (IfcElement)</t>
  </si>
  <si>
    <t>ENTITY IfcBuildingElementComponent ABSTRACT SUPERTYPE OF (ONEOF (IfcBuildingElementPart ,IfcReinforcingElement)) SUBTYPE OF (IfcBuildingElement)</t>
  </si>
  <si>
    <t>ENTITY IfcBuildingElementType ABSTRACT SUPERTYPE OF (ONEOF (IfcBeamType ,IfcBuildingElementProxyType ,IfcColumnType ,IfcCoveringType ,IfcCurtainWallType ,IfcMemberType ,IfcPlateType ,IfcRailingType ,IfcRampFlightType ,IfcSlabType ,IfcStairFlightType ,IfcWallType)) SUBTYPE OF (IfcElementType)</t>
  </si>
  <si>
    <t>ENTITY IfcCartesianTransformationOperator ABSTRACT SUPERTYPE OF (ONEOF (IfcCartesianTransformationOperator2D ,IfcCartesianTransformationOperator3D)) SUBTYPE OF (IfcGeometricRepresentationItem)</t>
  </si>
  <si>
    <t>ENTITY IfcCartesianTransformationOperator2D SUPERTYPE OF (ONEOF (IfcCartesianTransformationOperator2DnonUniform)) SUBTYPE OF (IfcCartesianTransformationOperator)</t>
  </si>
  <si>
    <t>ENTITY IfcCartesianTransformationOperator3D SUPERTYPE OF (ONEOF (IfcCartesianTransformationOperator3DnonUniform)) SUBTYPE OF (IfcCartesianTransformationOperator)</t>
  </si>
  <si>
    <t>ENTITY IfcCircleProfileDef SUPERTYPE OF (ONEOF (IfcCircleHollowProfileDef)) SUBTYPE OF (IfcParameterizedProfileDef)</t>
  </si>
  <si>
    <t>ENTITY IfcColourSpecification ABSTRACT SUPERTYPE OF (ONEOF (IfcColourRgb))</t>
  </si>
  <si>
    <t>ENTITY IfcCompositeCurve SUPERTYPE OF (ONEOF (Ifc2DCompositeCurve)) SUBTYPE OF (IfcBoundedCurve)</t>
  </si>
  <si>
    <t>ENTITY IfcConic ABSTRACT SUPERTYPE OF (ONEOF (IfcCircle ,IfcEllipse)) SUBTYPE OF (IfcCurve)</t>
  </si>
  <si>
    <t>ENTITY IfcConnectedFaceSet SUPERTYPE OF (ONEOF (IfcClosedShell ,IfcOpenShell)) SUBTYPE OF (IfcTopologicalRepresentationItem)</t>
  </si>
  <si>
    <t>ENTITY IfcConnectionGeometry ABSTRACT SUPERTYPE OF (ONEOF (IfcConnectionCurveGeometry ,IfcConnectionPointGeometry ,IfcConnectionPortGeometry ,IfcConnectionSurfaceGeometry))</t>
  </si>
  <si>
    <t>ENTITY IfcConnectionPointGeometry SUPERTYPE OF (ONEOF (IfcConnectionPointEccentricity)) SUBTYPE OF (IfcConnectionGeometry)</t>
  </si>
  <si>
    <t>ENTITY IfcConstraint ABSTRACT SUPERTYPE OF (ONEOF (IfcMetric ,IfcObjective))</t>
  </si>
  <si>
    <t>ENTITY IfcConstructionResource ABSTRACT SUPERTYPE OF (ONEOF (IfcConstructionEquipmentResource ,IfcConstructionMaterialResource ,IfcConstructionProductResource ,IfcCrewResource ,IfcLaborResource ,IfcSubContractResource)) SUBTYPE OF (IfcResource)</t>
  </si>
  <si>
    <t>ENTITY IfcControl ABSTRACT SUPERTYPE OF (ONEOF (IfcActionRequest ,IfcConditionCriterion ,IfcCostItem ,IfcCostSchedule ,IfcEquipmentStandard ,IfcFurnitureStandard ,IfcPerformanceHistory ,IfcPermit ,IfcProjectOrder ,IfcProjectOrderRecord ,IfcScheduleTimeControl ,IfcServiceLife ,IfcSpaceProgram ,IfcTimeSeriesSchedule ,IfcWorkControl)) SUBTYPE OF (IfcObject)</t>
  </si>
  <si>
    <t>ENTITY IfcCsgPrimitive3D ABSTRACT SUPERTYPE OF (ONEOF (IfcBlock ,IfcRectangularPyramid ,IfcRightCircularCone ,IfcRightCircularCylinder ,IfcSphere)) SUBTYPE OF (IfcGeometricRepresentationItem)</t>
  </si>
  <si>
    <t>ENTITY IfcCurve ABSTRACT SUPERTYPE OF (ONEOF (IfcBoundedCurve ,IfcConic ,IfcLine ,IfcOffsetCurve2D ,IfcOffsetCurve3D)) SUBTYPE OF (IfcGeometricRepresentationItem)</t>
  </si>
  <si>
    <t>ENTITY IfcDimensionCurveDirectedCallout SUPERTYPE OF (ONEOF (IfcAngularDimension ,IfcDiameterDimension ,IfcLinearDimension ,IfcRadiusDimension)) SUBTYPE OF (IfcDraughtingCallout)</t>
  </si>
  <si>
    <t>ENTITY IfcDiscreteAccessoryType SUPERTYPE OF (ONEOF (IfcVibrationIsolatorType)) SUBTYPE OF (IfcElementComponentType)</t>
  </si>
  <si>
    <t>ENTITY IfcDistributionControlElementType ABSTRACT SUPERTYPE OF (ONEOF (IfcActuatorType ,IfcAlarmType ,IfcControllerType ,IfcFlowInstrumentType ,IfcSensorType)) SUBTYPE OF (IfcDistributionElementType)</t>
  </si>
  <si>
    <t>ENTITY IfcDistributionElement SUPERTYPE OF (ONEOF (IfcDistributionControlElement ,IfcDistributionFlowElement)) SUBTYPE OF (IfcElement)</t>
  </si>
  <si>
    <t>ENTITY IfcDistributionElementType SUPERTYPE OF (ONEOF (IfcDistributionControlElementType ,IfcDistributionFlowElementType)) SUBTYPE OF (IfcElementType)</t>
  </si>
  <si>
    <t>ENTITY IfcDistributionFlowElement SUPERTYPE OF (ONEOF (IfcDistributionChamberElement ,IfcEnergyConversionDevice ,IfcFlowController ,IfcFlowFitting ,IfcFlowMovingDevice ,IfcFlowSegment ,IfcFlowStorageDevice ,IfcFlowTerminal ,IfcFlowTreatmentDevice)) SUBTYPE OF (IfcDistributionElement)</t>
  </si>
  <si>
    <t>ENTITY IfcDistributionFlowElementType ABSTRACT SUPERTYPE OF (ONEOF (IfcDistributionChamberElementType ,IfcEnergyConversionDeviceType ,IfcFlowControllerType ,IfcFlowFittingType ,IfcFlowMovingDeviceType ,IfcFlowSegmentType ,IfcFlowStorageDeviceType ,IfcFlowTerminalType ,IfcFlowTreatmentDeviceType)) SUBTYPE OF (IfcDistributionElementType)</t>
  </si>
  <si>
    <t>ENTITY IfcDraughtingCallout SUPERTYPE OF (ONEOF (IfcDimensionCurveDirectedCallout ,IfcStructuredDimensionCallout)) SUBTYPE OF (IfcGeometricRepresentationItem)</t>
  </si>
  <si>
    <t>ENTITY IfcDraughtingCalloutRelationship SUPERTYPE OF (ONEOF (IfcDimensionCalloutRelationship ,IfcDimensionPair))</t>
  </si>
  <si>
    <t>ENTITY IfcEdge SUPERTYPE OF (ONEOF (IfcEdgeCurve ,IfcOrientedEdge ,IfcSubedge)) SUBTYPE OF (IfcTopologicalRepresentationItem)</t>
  </si>
  <si>
    <t>ENTITY IfcEdgeFeature ABSTRACT SUPERTYPE OF (ONEOF (IfcChamferEdgeFeature ,IfcRoundedEdgeFeature)) SUBTYPE OF (IfcFeatureElementSubtraction)</t>
  </si>
  <si>
    <t>ENTITY IfcElement ABSTRACT SUPERTYPE OF (ONEOF (IfcBuildingElement ,IfcDistributionElement ,IfcElectricalElement ,IfcElementAssembly ,IfcElementComponent ,IfcEquipmentElement ,IfcFeatureElement ,IfcFurnishingElement ,IfcTransportElement ,IfcVirtualElement)) SUBTYPE OF (IfcProduct)</t>
  </si>
  <si>
    <t>ENTITY IfcElementComponent ABSTRACT SUPERTYPE OF (ONEOF (IfcDiscreteAccessory ,IfcFastener)) SUBTYPE OF (IfcElement)</t>
  </si>
  <si>
    <t>ENTITY IfcElementComponentType ABSTRACT SUPERTYPE OF (ONEOF (IfcDiscreteAccessoryType ,IfcFastenerType)) SUBTYPE OF (IfcElementType)</t>
  </si>
  <si>
    <t>ENTITY IfcElementType ABSTRACT SUPERTYPE OF (ONEOF (IfcBuildingElementType ,IfcDistributionElementType ,IfcElementComponentType ,IfcFurnishingElementType ,IfcSpatialStructureElementType ,IfcTransportElementType)) SUBTYPE OF (IfcTypeProduct)</t>
  </si>
  <si>
    <t>ENTITY IfcElementarySurface ABSTRACT SUPERTYPE OF (ONEOF (IfcPlane)) SUBTYPE OF (IfcSurface)</t>
  </si>
  <si>
    <t>ENTITY IfcEnergyConversionDeviceType ABSTRACT SUPERTYPE OF (ONEOF (IfcAirToAirHeatRecoveryType ,IfcBoilerType ,IfcChillerType ,IfcCoilType ,IfcCondenserType ,IfcCooledBeamType ,IfcCoolingTowerType ,IfcElectricGeneratorType ,IfcElectricMotorType ,IfcEvaporativeCoolerType ,IfcEvaporatorType ,IfcHeatExchangerType ,IfcHumidifierType ,IfcMotorConnectionType ,IfcSpaceHeaterType ,IfcTransformerType ,IfcTubeBundleType ,IfcUnitaryEquipmentType)) SUBTYPE OF (IfcDistributionFlowElementType)</t>
  </si>
  <si>
    <t>ENTITY IfcEnergyProperties SUPERTYPE OF (ONEOF (IfcElectricalBaseProperties)) SUBTYPE OF (IfcPropertySetDefinition)</t>
  </si>
  <si>
    <t>ENTITY IfcExternalReference ABSTRACT SUPERTYPE OF (ONEOF (IfcClassificationReference ,IfcDocumentReference ,IfcExternallyDefinedHatchStyle ,IfcExternallyDefinedSurfaceStyle ,IfcExternallyDefinedSymbol ,IfcExternallyDefinedTextFont ,IfcLibraryReference))</t>
  </si>
  <si>
    <t>ENTITY IfcFace SUPERTYPE OF (ONEOF (IfcFaceSurface)) SUBTYPE OF (IfcTopologicalRepresentationItem)</t>
  </si>
  <si>
    <t>ENTITY IfcFaceBound SUPERTYPE OF (ONEOF (IfcFaceOuterBound)) SUBTYPE OF (IfcTopologicalRepresentationItem)</t>
  </si>
  <si>
    <t>ENTITY IfcFastener SUPERTYPE OF (ONEOF (IfcMechanicalFastener)) SUBTYPE OF (IfcElementComponent)</t>
  </si>
  <si>
    <t>ENTITY IfcFastenerType SUPERTYPE OF (ONEOF (IfcMechanicalFastenerType)) SUBTYPE OF (IfcElementComponentType)</t>
  </si>
  <si>
    <t>ENTITY IfcFeatureElement ABSTRACT SUPERTYPE OF (ONEOF (IfcFeatureElementAddition ,IfcFeatureElementSubtraction)) SUBTYPE OF (IfcElement)</t>
  </si>
  <si>
    <t>ENTITY IfcFeatureElementAddition ABSTRACT SUPERTYPE OF (ONEOF (IfcProjectionElement)) SUBTYPE OF (IfcFeatureElement)</t>
  </si>
  <si>
    <t>ENTITY IfcFeatureElementSubtraction ABSTRACT SUPERTYPE OF (ONEOF (IfcEdgeFeature ,IfcOpeningElement)) SUBTYPE OF (IfcFeatureElement)</t>
  </si>
  <si>
    <t>ENTITY IfcFlowController SUPERTYPE OF (ONEOF (IfcElectricDistributionPoint)) SUBTYPE OF (IfcDistributionFlowElement)</t>
  </si>
  <si>
    <t>ENTITY IfcFlowControllerType ABSTRACT SUPERTYPE OF (ONEOF (IfcAirTerminalBoxType ,IfcDamperType ,IfcElectricTimeControlType ,IfcFlowMeterType ,IfcProtectiveDeviceType ,IfcSwitchingDeviceType ,IfcValveType)) SUBTYPE OF (IfcDistributionFlowElementType)</t>
  </si>
  <si>
    <t>ENTITY IfcFlowFittingType ABSTRACT SUPERTYPE OF (ONEOF (IfcCableCarrierFittingType ,IfcDuctFittingType ,IfcJunctionBoxType ,IfcPipeFittingType)) SUBTYPE OF (IfcDistributionFlowElementType)</t>
  </si>
  <si>
    <t>ENTITY IfcFlowMovingDeviceType ABSTRACT SUPERTYPE OF (ONEOF (IfcCompressorType ,IfcFanType ,IfcPumpType)) SUBTYPE OF (IfcDistributionFlowElementType)</t>
  </si>
  <si>
    <t>ENTITY IfcFlowSegmentType ABSTRACT SUPERTYPE OF (ONEOF (IfcCableCarrierSegmentType ,IfcCableSegmentType ,IfcDuctSegmentType ,IfcPipeSegmentType)) SUBTYPE OF (IfcDistributionFlowElementType)</t>
  </si>
  <si>
    <t>ENTITY IfcFlowStorageDeviceType ABSTRACT SUPERTYPE OF (ONEOF (IfcElectricFlowStorageDeviceType ,IfcTankType)) SUBTYPE OF (IfcDistributionFlowElementType)</t>
  </si>
  <si>
    <t>ENTITY IfcFlowTerminalType ABSTRACT SUPERTYPE OF (ONEOF (IfcAirTerminalType ,IfcElectricApplianceType ,IfcElectricHeaterType ,IfcFireSuppressionTerminalType ,IfcGasTerminalType ,IfcLampType ,IfcLightFixtureType ,IfcOutletType ,IfcSanitaryTerminalType ,IfcStackTerminalType ,IfcWasteTerminalType)) SUBTYPE OF (IfcDistributionFlowElementType)</t>
  </si>
  <si>
    <t>ENTITY IfcFlowTreatmentDeviceType ABSTRACT SUPERTYPE OF (ONEOF (IfcDuctSilencerType ,IfcFilterType)) SUBTYPE OF (IfcDistributionFlowElementType)</t>
  </si>
  <si>
    <t>ENTITY IfcFurnishingElementType SUPERTYPE OF (ONEOF (IfcFurnitureType ,IfcSystemFurnitureElementType)) SUBTYPE OF (IfcElementType)</t>
  </si>
  <si>
    <t>ENTITY IfcGeneralProfileProperties SUPERTYPE OF (ONEOF (IfcStructuralProfileProperties)) SUBTYPE OF (IfcProfileProperties)</t>
  </si>
  <si>
    <t>ENTITY IfcGeometricRepresentationContext SUPERTYPE OF (ONEOF (IfcGeometricRepresentationSubContext)) SUBTYPE OF (IfcRepresentationContext)</t>
  </si>
  <si>
    <t>ENTITY IfcGeometricRepresentationItem ABSTRACT SUPERTYPE OF (ONEOF (IfcAnnotationFillArea ,IfcAnnotationSurface ,IfcBooleanResult ,IfcBoundingBox ,IfcCartesianTransformationOperator ,IfcCompositeCurveSegment ,IfcCsgPrimitive3D ,IfcCurve ,IfcDefinedSymbol ,IfcDirection ,IfcDraughtingCallout ,IfcFaceBasedSurfaceModel ,IfcFillAreaStyleHatching ,IfcFillAreaStyleTileSymbolWithStyle ,IfcFillAreaStyleTiles ,IfcGeometricSet ,IfcHalfSpaceSolid ,IfcLightSource ,IfcOneDirectionRepeatFactor ,IfcPlacement ,IfcPlanarExtent ,IfcPoint ,IfcSectionedSpine ,IfcShellBasedSurfaceModel ,IfcSolidModel ,IfcSurface ,IfcTextLiteral ,IfcVector)) SUBTYPE OF (IfcRepresentationItem)</t>
  </si>
  <si>
    <t>ENTITY IfcGeometricSet SUPERTYPE OF (ONEOF (IfcGeometricCurveSet)) SUBTYPE OF (IfcGeometricRepresentationItem)</t>
  </si>
  <si>
    <t>ENTITY IfcGroup SUPERTYPE OF (ONEOF (IfcAsset ,IfcCondition ,IfcInventory ,IfcStructuralLoadGroup ,IfcStructuralResultGroup ,IfcSystem ,IfcZone)) SUBTYPE OF (IfcObject)</t>
  </si>
  <si>
    <t>ENTITY IfcHalfSpaceSolid SUPERTYPE OF (ONEOF (IfcBoxedHalfSpace ,IfcPolygonalBoundedHalfSpace)) SUBTYPE OF (IfcGeometricRepresentationItem)</t>
  </si>
  <si>
    <t>ENTITY IfcIShapeProfileDef SUPERTYPE OF (ONEOF (IfcAsymmetricIShapeProfileDef)) SUBTYPE OF (IfcParameterizedProfileDef)</t>
  </si>
  <si>
    <t>ENTITY IfcLightSource ABSTRACT SUPERTYPE OF (ONEOF (IfcLightSourceAmbient ,IfcLightSourceDirectional ,IfcLightSourceGoniometric ,IfcLightSourcePositional)) SUBTYPE OF (IfcGeometricRepresentationItem)</t>
  </si>
  <si>
    <t>ENTITY IfcLightSourcePositional SUPERTYPE OF (ONEOF (IfcLightSourceSpot)) SUBTYPE OF (IfcLightSource)</t>
  </si>
  <si>
    <t>ENTITY IfcLoop SUPERTYPE OF (ONEOF (IfcEdgeLoop ,IfcPolyLoop ,IfcVertexLoop)) SUBTYPE OF (IfcTopologicalRepresentationItem)</t>
  </si>
  <si>
    <t>ENTITY IfcManifoldSolidBrep ABSTRACT SUPERTYPE OF (ONEOF (IfcFacetedBrep ,IfcFacetedBrepWithVoids)) SUBTYPE OF (IfcSolidModel)</t>
  </si>
  <si>
    <t>ENTITY IfcMaterialProperties ABSTRACT SUPERTYPE OF (ONEOF (IfcExtendedMaterialProperties ,IfcFuelProperties ,IfcGeneralMaterialProperties ,IfcHygroscopicMaterialProperties ,IfcMechanicalMaterialProperties ,IfcOpticalMaterialProperties ,IfcProductsOfCombustionProperties ,IfcThermalMaterialProperties ,IfcWaterProperties))</t>
  </si>
  <si>
    <t>ENTITY IfcMechanicalMaterialProperties SUPERTYPE OF (ONEOF (IfcMechanicalConcreteMaterialProperties ,IfcMechanicalSteelMaterialProperties)) SUBTYPE OF (IfcMaterialProperties)</t>
  </si>
  <si>
    <t>ENTITY IfcNamedUnit ABSTRACT SUPERTYPE OF (ONEOF (IfcContextDependentUnit ,IfcConversionBasedUnit ,IfcSIUnit))</t>
  </si>
  <si>
    <t>ENTITY IfcObject ABSTRACT SUPERTYPE OF (ONEOF (IfcActor ,IfcControl ,IfcGroup ,IfcProcess ,IfcProduct ,IfcProject ,IfcResource)) SUBTYPE OF (IfcObjectDefinition)</t>
  </si>
  <si>
    <t>ENTITY IfcObjectDefinition ABSTRACT SUPERTYPE OF (ONEOF (IfcObject ,IfcTypeObject)) SUBTYPE OF (IfcRoot)</t>
  </si>
  <si>
    <t>ENTITY IfcObjectPlacement ABSTRACT SUPERTYPE OF (ONEOF (IfcGridPlacement ,IfcLocalPlacement))</t>
  </si>
  <si>
    <t>ENTITY IfcOneDirectionRepeatFactor SUPERTYPE OF (ONEOF (IfcTwoDirectionRepeatFactor)) SUBTYPE OF (IfcGeometricRepresentationItem)</t>
  </si>
  <si>
    <t>ENTITY IfcParameterizedProfileDef ABSTRACT SUPERTYPE OF (ONEOF (IfcCShapeProfileDef ,IfcCircleProfileDef ,IfcCraneRailAShapeProfileDef ,IfcCraneRailFShapeProfileDef ,IfcEllipseProfileDef ,IfcIShapeProfileDef ,IfcLShapeProfileDef ,IfcRectangleProfileDef ,IfcTShapeProfileDef ,IfcTrapeziumProfileDef ,IfcUShapeProfileDef ,IfcZShapeProfileDef)) SUBTYPE OF (IfcProfileDef)</t>
  </si>
  <si>
    <t>ENTITY IfcPhysicalQuantity ABSTRACT SUPERTYPE OF (ONEOF (IfcPhysicalComplexQuantity ,IfcPhysicalSimpleQuantity))</t>
  </si>
  <si>
    <t>ENTITY IfcPhysicalSimpleQuantity ABSTRACT SUPERTYPE OF (ONEOF (IfcQuantityArea ,IfcQuantityCount ,IfcQuantityLength ,IfcQuantityTime ,IfcQuantityVolume ,IfcQuantityWeight)) SUBTYPE OF (IfcPhysicalQuantity)</t>
  </si>
  <si>
    <t>ENTITY IfcPlacement ABSTRACT SUPERTYPE OF (ONEOF (IfcAxis1Placement ,IfcAxis2Placement2D ,IfcAxis2Placement3D)) SUBTYPE OF (IfcGeometricRepresentationItem)</t>
  </si>
  <si>
    <t>ENTITY IfcPlanarExtent SUPERTYPE OF (ONEOF (IfcPlanarBox)) SUBTYPE OF (IfcGeometricRepresentationItem)</t>
  </si>
  <si>
    <t>ENTITY IfcPoint ABSTRACT SUPERTYPE OF (ONEOF (IfcCartesianPoint ,IfcPointOnCurve ,IfcPointOnSurface)) SUBTYPE OF (IfcGeometricRepresentationItem)</t>
  </si>
  <si>
    <t>ENTITY IfcPort ABSTRACT SUPERTYPE OF (ONEOF (IfcDistributionPort)) SUBTYPE OF (IfcProduct)</t>
  </si>
  <si>
    <t>ENTITY IfcPreDefinedColour ABSTRACT SUPERTYPE OF (ONEOF (IfcDraughtingPreDefinedColour)) SUBTYPE OF (IfcPreDefinedItem)</t>
  </si>
  <si>
    <t>ENTITY IfcPreDefinedCurveFont ABSTRACT SUPERTYPE OF (ONEOF (IfcDraughtingPreDefinedCurveFont)) SUBTYPE OF (IfcPreDefinedItem)</t>
  </si>
  <si>
    <t>ENTITY IfcPreDefinedItem ABSTRACT SUPERTYPE OF (ONEOF (IfcPreDefinedColour ,IfcPreDefinedCurveFont ,IfcPreDefinedSymbol ,IfcPreDefinedTextFont))</t>
  </si>
  <si>
    <t>ENTITY IfcPreDefinedSymbol ABSTRACT SUPERTYPE OF (ONEOF (IfcPreDefinedDimensionSymbol ,IfcPreDefinedPointMarkerSymbol ,IfcPreDefinedTerminatorSymbol)) SUBTYPE OF (IfcPreDefinedItem)</t>
  </si>
  <si>
    <t>ENTITY IfcPreDefinedTextFont ABSTRACT SUPERTYPE OF (ONEOF (IfcDraughtingPreDefinedTextFont ,IfcTextStyleFontModel)) SUBTYPE OF (IfcPreDefinedItem)</t>
  </si>
  <si>
    <t>ENTITY IfcPresentationLayerAssignment SUPERTYPE OF (ONEOF (IfcPresentationLayerWithStyle))</t>
  </si>
  <si>
    <t>ENTITY IfcPresentationStyle ABSTRACT SUPERTYPE OF (ONEOF (IfcCurveStyle ,IfcFillAreaStyle ,IfcSurfaceStyle ,IfcSymbolStyle ,IfcTextStyle))</t>
  </si>
  <si>
    <t>ENTITY IfcProcess ABSTRACT SUPERTYPE OF (ONEOF (IfcProcedure ,IfcTask)) SUBTYPE OF (IfcObject)</t>
  </si>
  <si>
    <t>ENTITY IfcProduct ABSTRACT SUPERTYPE OF (ONEOF (IfcAnnotation ,IfcElement ,IfcGrid ,IfcPort ,IfcProxy ,IfcSpatialStructureElement ,IfcStructuralActivity ,IfcStructuralItem)) SUBTYPE OF (IfcObject)</t>
  </si>
  <si>
    <t>ENTITY IfcProductRepresentation SUPERTYPE OF (ONEOF (IfcMaterialDefinitionRepresentation ,IfcProductDefinitionShape))</t>
  </si>
  <si>
    <t>ENTITY IfcProfileDef ABSTRACT SUPERTYPE OF (ONEOF (IfcArbitraryClosedProfileDef ,IfcArbitraryOpenProfileDef ,IfcCompositeProfileDef ,IfcDerivedProfileDef ,IfcParameterizedProfileDef))</t>
  </si>
  <si>
    <t>ENTITY IfcProfileProperties ABSTRACT SUPERTYPE OF (ONEOF (IfcGeneralProfileProperties ,IfcRibPlateProfileProperties))</t>
  </si>
  <si>
    <t>ENTITY IfcProperty ABSTRACT SUPERTYPE OF (ONEOF (IfcComplexProperty ,IfcSimpleProperty))</t>
  </si>
  <si>
    <t>ENTITY IfcPropertyDefinition ABSTRACT SUPERTYPE OF (ONEOF (IfcPropertySetDefinition)) SUBTYPE OF (IfcRoot)</t>
  </si>
  <si>
    <t>ENTITY IfcPropertySetDefinition ABSTRACT SUPERTYPE OF (ONEOF (IfcDoorLiningProperties ,IfcDoorPanelProperties ,IfcElementQuantity ,IfcEnergyProperties ,IfcFluidFlowProperties ,IfcPermeableCoveringProperties ,IfcPropertySet ,IfcReinforcementDefinitionProperties ,IfcServiceLifeFactor ,IfcSoundProperties ,IfcSoundValue ,IfcSpaceThermalLoadProperties ,IfcWindowLiningProperties ,IfcWindowPanelProperties)) SUBTYPE OF (IfcPropertyDefinition)</t>
  </si>
  <si>
    <t>ENTITY IfcRectangleProfileDef SUPERTYPE OF (ONEOF (IfcRectangleHollowProfileDef ,IfcRoundedRectangleProfileDef)) SUBTYPE OF (IfcParameterizedProfileDef)</t>
  </si>
  <si>
    <t>ENTITY IfcReinforcingElement ABSTRACT SUPERTYPE OF (ONEOF (IfcReinforcingBar ,IfcReinforcingMesh ,IfcTendon ,IfcTendonAnchor)) SUBTYPE OF (IfcBuildingElementComponent)</t>
  </si>
  <si>
    <t>ENTITY IfcRelAssigns ABSTRACT SUPERTYPE OF (ONEOF (IfcRelAssignsToActor ,IfcRelAssignsToControl ,IfcRelAssignsToGroup ,IfcRelAssignsToProcess ,IfcRelAssignsToProduct ,IfcRelAssignsToResource)) SUBTYPE OF (IfcRelationship)</t>
  </si>
  <si>
    <t>ENTITY IfcRelAssignsToActor SUPERTYPE OF (ONEOF (IfcRelOccupiesSpaces)) SUBTYPE OF (IfcRelAssigns)</t>
  </si>
  <si>
    <t>ENTITY IfcRelAssignsToControl SUPERTYPE OF (ONEOF (IfcRelAssignsTasks ,IfcRelAssignsToProjectOrder ,IfcRelSchedulesCostItems)) SUBTYPE OF (IfcRelAssigns)</t>
  </si>
  <si>
    <t>ENTITY IfcRelAssociates SUPERTYPE OF (ONEOF (IfcRelAssociatesAppliedValue ,IfcRelAssociatesApproval ,IfcRelAssociatesClassification ,IfcRelAssociatesConstraint ,IfcRelAssociatesDocument ,IfcRelAssociatesLibrary ,IfcRelAssociatesMaterial ,IfcRelAssociatesProfileProperties)) SUBTYPE OF (IfcRelationship)</t>
  </si>
  <si>
    <t>ENTITY IfcRelConnects ABSTRACT SUPERTYPE OF (ONEOF (IfcRelConnectsElements ,IfcRelConnectsPortToElement ,IfcRelConnectsPorts ,IfcRelConnectsStructuralActivity ,IfcRelConnectsStructuralElement ,IfcRelConnectsStructuralMember ,IfcRelContainedInSpatialStructure ,IfcRelCoversBldgElements ,IfcRelCoversSpaces ,IfcRelFillsElement ,IfcRelFlowControlElements ,IfcRelInteractionRequirements ,IfcRelProjectsElement ,IfcRelReferencedInSpatialStructure ,IfcRelSequence ,IfcRelServicesBuildings ,IfcRelSpaceBoundary ,IfcRelVoidsElement)) SUBTYPE OF (IfcRelationship)</t>
  </si>
  <si>
    <t>ENTITY IfcRelConnectsElements SUPERTYPE OF (ONEOF (IfcRelConnectsPathElements ,IfcRelConnectsWithRealizingElements)) SUBTYPE OF (IfcRelConnects)</t>
  </si>
  <si>
    <t>ENTITY IfcRelConnectsStructuralMember SUPERTYPE OF (ONEOF (IfcRelConnectsWithEccentricity)) SUBTYPE OF (IfcRelConnects)</t>
  </si>
  <si>
    <t>ENTITY IfcRelDecomposes ABSTRACT SUPERTYPE OF (ONEOF (IfcRelAggregates ,IfcRelNests)) SUBTYPE OF (IfcRelationship)</t>
  </si>
  <si>
    <t>ENTITY IfcRelDefines ABSTRACT SUPERTYPE OF (ONEOF (IfcRelDefinesByProperties ,IfcRelDefinesByType)) SUBTYPE OF (IfcRelationship)</t>
  </si>
  <si>
    <t>ENTITY IfcRelDefinesByProperties SUPERTYPE OF (ONEOF (IfcRelOverridesProperties)) SUBTYPE OF (IfcRelDefines)</t>
  </si>
  <si>
    <t>ENTITY IfcRelationship ABSTRACT SUPERTYPE OF (ONEOF (IfcRelAssigns ,IfcRelAssociates ,IfcRelConnects ,IfcRelDecomposes ,IfcRelDefines)) SUBTYPE OF (IfcRoot)</t>
  </si>
  <si>
    <t>ENTITY IfcRepresentation SUPERTYPE OF (ONEOF (IfcShapeModel ,IfcStyleModel))</t>
  </si>
  <si>
    <t>ENTITY IfcRepresentationContext SUPERTYPE OF (ONEOF (IfcGeometricRepresentationContext))</t>
  </si>
  <si>
    <t>ENTITY IfcRepresentationItem ABSTRACT SUPERTYPE OF (ONEOF (IfcGeometricRepresentationItem ,IfcMappedItem ,IfcStyledItem ,IfcTopologicalRepresentationItem))</t>
  </si>
  <si>
    <t>ENTITY IfcResource ABSTRACT SUPERTYPE OF (ONEOF (IfcConstructionResource)) SUBTYPE OF (IfcObject)</t>
  </si>
  <si>
    <t>ENTITY IfcRoot ABSTRACT SUPERTYPE OF (ONEOF (IfcObjectDefinition ,IfcPropertyDefinition ,IfcRelationship))</t>
  </si>
  <si>
    <t>ENTITY IfcShapeModel ABSTRACT SUPERTYPE OF (ONEOF (IfcShapeRepresentation ,IfcTopologyRepresentation)) SUBTYPE OF (IfcRepresentation)</t>
  </si>
  <si>
    <t>ENTITY IfcSimpleProperty ABSTRACT SUPERTYPE OF (ONEOF (IfcPropertyBoundedValue ,IfcPropertyEnumeratedValue ,IfcPropertyListValue ,IfcPropertyReferenceValue ,IfcPropertySingleValue ,IfcPropertyTableValue)) SUBTYPE OF (IfcProperty)</t>
  </si>
  <si>
    <t>ENTITY IfcSolidModel ABSTRACT SUPERTYPE OF (ONEOF (IfcCsgSolid ,IfcManifoldSolidBrep ,IfcSweptAreaSolid ,IfcSweptDiskSolid)) SUBTYPE OF (IfcGeometricRepresentationItem)</t>
  </si>
  <si>
    <t>ENTITY IfcSpatialStructureElement ABSTRACT SUPERTYPE OF (ONEOF (IfcBuilding ,IfcBuildingStorey ,IfcSite ,IfcSpace)) SUBTYPE OF (IfcProduct)</t>
  </si>
  <si>
    <t>ENTITY IfcSpatialStructureElementType ABSTRACT SUPERTYPE OF (ONEOF (IfcSpaceType)) SUBTYPE OF (IfcElementType)</t>
  </si>
  <si>
    <t>ENTITY IfcStructuralAction ABSTRACT SUPERTYPE OF (ONEOF (IfcStructuralLinearAction ,IfcStructuralPlanarAction ,IfcStructuralPointAction)) SUBTYPE OF (IfcStructuralActivity)</t>
  </si>
  <si>
    <t>ENTITY IfcStructuralActivity ABSTRACT SUPERTYPE OF (ONEOF (IfcStructuralAction ,IfcStructuralReaction)) SUBTYPE OF (IfcProduct)</t>
  </si>
  <si>
    <t>ENTITY IfcStructuralConnection ABSTRACT SUPERTYPE OF (ONEOF (IfcStructuralCurveConnection ,IfcStructuralPointConnection ,IfcStructuralSurfaceConnection)) SUBTYPE OF (IfcStructuralItem)</t>
  </si>
  <si>
    <t>ENTITY IfcStructuralConnectionCondition ABSTRACT SUPERTYPE OF (ONEOF (IfcFailureConnectionCondition ,IfcSlippageConnectionCondition))</t>
  </si>
  <si>
    <t>ENTITY IfcStructuralCurveMember SUPERTYPE OF (ONEOF (IfcStructuralCurveMemberVarying)) SUBTYPE OF (IfcStructuralMember)</t>
  </si>
  <si>
    <t>ENTITY IfcStructuralItem ABSTRACT SUPERTYPE OF (ONEOF (IfcStructuralConnection ,IfcStructuralMember)) SUBTYPE OF (IfcProduct)</t>
  </si>
  <si>
    <t>ENTITY IfcStructuralLinearAction SUPERTYPE OF (ONEOF (IfcStructuralLinearActionVarying)) SUBTYPE OF (IfcStructuralAction)</t>
  </si>
  <si>
    <t>ENTITY IfcStructuralLoad ABSTRACT SUPERTYPE OF (ONEOF (IfcStructuralLoadStatic))</t>
  </si>
  <si>
    <t>ENTITY IfcStructuralLoadSingleDisplacement SUPERTYPE OF (ONEOF (IfcStructuralLoadSingleDisplacementDistortion)) SUBTYPE OF (IfcStructuralLoadStatic)</t>
  </si>
  <si>
    <t>ENTITY IfcStructuralLoadSingleForce SUPERTYPE OF (ONEOF (IfcStructuralLoadSingleForceWarping)) SUBTYPE OF (IfcStructuralLoadStatic)</t>
  </si>
  <si>
    <t>ENTITY IfcStructuralLoadStatic ABSTRACT SUPERTYPE OF (ONEOF (IfcStructuralLoadLinearForce ,IfcStructuralLoadPlanarForce ,IfcStructuralLoadSingleDisplacement ,IfcStructuralLoadSingleForce ,IfcStructuralLoadTemperature)) SUBTYPE OF (IfcStructuralLoad)</t>
  </si>
  <si>
    <t>ENTITY IfcStructuralMember ABSTRACT SUPERTYPE OF (ONEOF (IfcStructuralCurveMember ,IfcStructuralSurfaceMember)) SUBTYPE OF (IfcStructuralItem)</t>
  </si>
  <si>
    <t>ENTITY IfcStructuralPlanarAction SUPERTYPE OF (ONEOF (IfcStructuralPlanarActionVarying)) SUBTYPE OF (IfcStructuralAction)</t>
  </si>
  <si>
    <t>ENTITY IfcStructuralProfileProperties SUPERTYPE OF (ONEOF (IfcStructuralSteelProfileProperties)) SUBTYPE OF (IfcGeneralProfileProperties)</t>
  </si>
  <si>
    <t>ENTITY IfcStructuralReaction ABSTRACT SUPERTYPE OF (ONEOF (IfcStructuralPointReaction)) SUBTYPE OF (IfcStructuralActivity)</t>
  </si>
  <si>
    <t>ENTITY IfcStructuralSurfaceMember SUPERTYPE OF (ONEOF (IfcStructuralSurfaceMemberVarying)) SUBTYPE OF (IfcStructuralMember)</t>
  </si>
  <si>
    <t>ENTITY IfcStyleModel ABSTRACT SUPERTYPE OF (ONEOF (IfcStyledRepresentation)) SUBTYPE OF (IfcRepresentation)</t>
  </si>
  <si>
    <t>ENTITY IfcStyledItem SUPERTYPE OF (ONEOF (IfcAnnotationOccurrence)) SUBTYPE OF (IfcRepresentationItem)</t>
  </si>
  <si>
    <t>ENTITY IfcSurface ABSTRACT SUPERTYPE OF (ONEOF (IfcBoundedSurface ,IfcElementarySurface ,IfcSweptSurface)) SUBTYPE OF (IfcGeometricRepresentationItem)</t>
  </si>
  <si>
    <t>ENTITY IfcSurfaceStyleShading SUPERTYPE OF (ONEOF (IfcSurfaceStyleRendering))</t>
  </si>
  <si>
    <t>ENTITY IfcSurfaceTexture ABSTRACT SUPERTYPE OF (ONEOF (IfcBlobTexture ,IfcImageTexture ,IfcPixelTexture))</t>
  </si>
  <si>
    <t>ENTITY IfcSweptAreaSolid ABSTRACT SUPERTYPE OF (ONEOF (IfcExtrudedAreaSolid ,IfcRevolvedAreaSolid ,IfcSurfaceCurveSweptAreaSolid)) SUBTYPE OF (IfcSolidModel)</t>
  </si>
  <si>
    <t>ENTITY IfcSweptSurface ABSTRACT SUPERTYPE OF (ONEOF (IfcSurfaceOfLinearExtrusion ,IfcSurfaceOfRevolution)) SUBTYPE OF (IfcSurface)</t>
  </si>
  <si>
    <t>ENTITY IfcSystem SUPERTYPE OF (ONEOF (IfcElectricalCircuit ,IfcStructuralAnalysisModel)) SUBTYPE OF (IfcGroup)</t>
  </si>
  <si>
    <t>ENTITY IfcTask SUPERTYPE OF (ONEOF (IfcMove ,IfcOrderAction)) SUBTYPE OF (IfcProcess)</t>
  </si>
  <si>
    <t>ENTITY IfcTerminatorSymbol SUPERTYPE OF (ONEOF (IfcDimensionCurveTerminator)) SUBTYPE OF (IfcAnnotationSymbolOccurrence)</t>
  </si>
  <si>
    <t>ENTITY IfcTextLiteral SUPERTYPE OF (ONEOF (IfcTextLiteralWithExtent)) SUBTYPE OF (IfcGeometricRepresentationItem)</t>
  </si>
  <si>
    <t>ENTITY IfcTextureCoordinate ABSTRACT SUPERTYPE OF (ONEOF (IfcTextureCoordinateGenerator ,IfcTextureMap))</t>
  </si>
  <si>
    <t>ENTITY IfcTimeSeries ABSTRACT SUPERTYPE OF (ONEOF (IfcIrregularTimeSeries ,IfcRegularTimeSeries))</t>
  </si>
  <si>
    <t>ENTITY IfcTopologicalRepresentationItem ABSTRACT SUPERTYPE OF (ONEOF (IfcConnectedFaceSet ,IfcEdge ,IfcFace ,IfcFaceBound ,IfcLoop ,IfcPath ,IfcVertex)) SUBTYPE OF (IfcRepresentationItem)</t>
  </si>
  <si>
    <t>ENTITY IfcTypeObject SUPERTYPE OF (ONEOF (IfcTypeProduct)) SUBTYPE OF (IfcObjectDefinition)</t>
  </si>
  <si>
    <t>ENTITY IfcTypeProduct SUPERTYPE OF (ONEOF (IfcDoorStyle ,IfcElementType ,IfcWindowStyle)) SUBTYPE OF (IfcTypeObject)</t>
  </si>
  <si>
    <t>ENTITY IfcVertex SUPERTYPE OF (ONEOF (IfcVertexPoint)) SUBTYPE OF (IfcTopologicalRepresentationItem)</t>
  </si>
  <si>
    <t>ENTITY IfcWall SUPERTYPE OF (ONEOF (IfcWallStandardCase)) SUBTYPE OF (IfcBuildingElement)</t>
  </si>
  <si>
    <t>ENTITY IfcWorkControl ABSTRACT SUPERTYPE OF (ONEOF (IfcWorkPlan ,IfcWorkSchedule)) SUBTYPE OF (IfcControl)</t>
  </si>
  <si>
    <t>IfcActorSelect</t>
  </si>
  <si>
    <t>IfcAppliedValueSelect</t>
  </si>
  <si>
    <t>IfcAxis2Placement</t>
  </si>
  <si>
    <t>IfcBooleanOperand</t>
  </si>
  <si>
    <t>IfcCharacterStyleSelect</t>
  </si>
  <si>
    <t>IfcClassificationNotationSelect</t>
  </si>
  <si>
    <t>IfcColour</t>
  </si>
  <si>
    <t>IfcColourOrFactor</t>
  </si>
  <si>
    <t>IfcConditionCriterionSelect</t>
  </si>
  <si>
    <t>IfcCsgSelect</t>
  </si>
  <si>
    <t>IfcCurveFontOrScaledCurveFontSelect</t>
  </si>
  <si>
    <t>IfcCurveOrEdgeCurve</t>
  </si>
  <si>
    <t>IfcCurveStyleFontSelect</t>
  </si>
  <si>
    <t>IfcDateTimeSelect</t>
  </si>
  <si>
    <t>IfcDefinedSymbolSelect</t>
  </si>
  <si>
    <t>IfcDerivedMeasureValue</t>
  </si>
  <si>
    <t>IfcDocumentSelect</t>
  </si>
  <si>
    <t>IfcDraughtingCalloutElement</t>
  </si>
  <si>
    <t>IfcFillAreaStyleTileShapeSelect</t>
  </si>
  <si>
    <t>IfcFillStyleSelect</t>
  </si>
  <si>
    <t>IfcGeometricSetSelect</t>
  </si>
  <si>
    <t>IfcHatchLineDistanceSelect</t>
  </si>
  <si>
    <t>IfcLayeredItem</t>
  </si>
  <si>
    <t>IfcLibrarySelect</t>
  </si>
  <si>
    <t>IfcLightDistributionDataSourceSelect</t>
  </si>
  <si>
    <t>IfcMaterialSelect</t>
  </si>
  <si>
    <t>IfcMeasureValue</t>
  </si>
  <si>
    <t>IfcMetricValueSelect</t>
  </si>
  <si>
    <t>IfcObjectReferenceSelect</t>
  </si>
  <si>
    <t>IfcOrientationSelect</t>
  </si>
  <si>
    <t>IfcPointOrVertexPoint</t>
  </si>
  <si>
    <t>IfcPresentationStyleSelect</t>
  </si>
  <si>
    <t>IfcShell</t>
  </si>
  <si>
    <t>IfcSimpleValue</t>
  </si>
  <si>
    <t>IfcSizeSelect</t>
  </si>
  <si>
    <t>IfcSpecularHighlightSelect</t>
  </si>
  <si>
    <t>IfcStructuralActivityAssignmentSelect</t>
  </si>
  <si>
    <t>IfcSurfaceOrFaceSurface</t>
  </si>
  <si>
    <t>IfcSurfaceStyleElementSelect</t>
  </si>
  <si>
    <t>IfcSymbolStyleSelect</t>
  </si>
  <si>
    <t>IfcTextFontSelect</t>
  </si>
  <si>
    <t>IfcTextStyleSelect</t>
  </si>
  <si>
    <t>IfcTrimmingSelect</t>
  </si>
  <si>
    <t>IfcUnit</t>
  </si>
  <si>
    <t>IfcValue</t>
  </si>
  <si>
    <t>IfcVectorOrDirection</t>
  </si>
  <si>
    <t>IfcActionSourceTypeEnum</t>
  </si>
  <si>
    <t>IfcActionTypeEnum</t>
  </si>
  <si>
    <t>IfcActuatorTypeEnum</t>
  </si>
  <si>
    <t>IfcAddressTypeEnum</t>
  </si>
  <si>
    <t>IfcAheadOrBehind</t>
  </si>
  <si>
    <t>IfcAirTerminalBoxTypeEnum</t>
  </si>
  <si>
    <t>IfcAirTerminalTypeEnum</t>
  </si>
  <si>
    <t>IfcAirToAirHeatRecoveryTypeEnum</t>
  </si>
  <si>
    <t>IfcAlarmTypeEnum</t>
  </si>
  <si>
    <t>IfcAnalysisModelTypeEnum</t>
  </si>
  <si>
    <t>IfcAnalysisTheoryTypeEnum</t>
  </si>
  <si>
    <t>IfcArithmeticOperatorEnum</t>
  </si>
  <si>
    <t>IfcAssemblyPlaceEnum</t>
  </si>
  <si>
    <t>IfcBSplineCurveForm</t>
  </si>
  <si>
    <t>IfcBeamTypeEnum</t>
  </si>
  <si>
    <t>IfcBenchmarkEnum</t>
  </si>
  <si>
    <t>IfcBoilerTypeEnum</t>
  </si>
  <si>
    <t>IfcBooleanOperator</t>
  </si>
  <si>
    <t>IfcBuildingElementProxyTypeEnum</t>
  </si>
  <si>
    <t>IfcCableCarrierFittingTypeEnum</t>
  </si>
  <si>
    <t>IfcCableCarrierSegmentTypeEnum</t>
  </si>
  <si>
    <t>IfcCableSegmentTypeEnum</t>
  </si>
  <si>
    <t>IfcChangeActionEnum</t>
  </si>
  <si>
    <t>IfcChillerTypeEnum</t>
  </si>
  <si>
    <t>IfcCoilTypeEnum</t>
  </si>
  <si>
    <t>IfcColumnTypeEnum</t>
  </si>
  <si>
    <t>IfcCompressorTypeEnum</t>
  </si>
  <si>
    <t>IfcCondenserTypeEnum</t>
  </si>
  <si>
    <t>IfcConnectionTypeEnum</t>
  </si>
  <si>
    <t>IfcConstraintEnum</t>
  </si>
  <si>
    <t>IfcControllerTypeEnum</t>
  </si>
  <si>
    <t>IfcCooledBeamTypeEnum</t>
  </si>
  <si>
    <t>IfcCoolingTowerTypeEnum</t>
  </si>
  <si>
    <t>IfcCostScheduleTypeEnum</t>
  </si>
  <si>
    <t>IfcCoveringTypeEnum</t>
  </si>
  <si>
    <t>IfcCurrencyEnum</t>
  </si>
  <si>
    <t>IfcCurtainWallTypeEnum</t>
  </si>
  <si>
    <t>IfcDamperTypeEnum</t>
  </si>
  <si>
    <t>IfcDataOriginEnum</t>
  </si>
  <si>
    <t>IfcDerivedUnitEnum</t>
  </si>
  <si>
    <t>IfcDimensionExtentUsage</t>
  </si>
  <si>
    <t>IfcDirectionSenseEnum</t>
  </si>
  <si>
    <t>IfcDistributionChamberElementTypeEnum</t>
  </si>
  <si>
    <t>IfcDocumentConfidentialityEnum</t>
  </si>
  <si>
    <t>IfcDocumentStatusEnum</t>
  </si>
  <si>
    <t>IfcDoorPanelOperationEnum</t>
  </si>
  <si>
    <t>IfcDoorPanelPositionEnum</t>
  </si>
  <si>
    <t>IfcDoorStyleConstructionEnum</t>
  </si>
  <si>
    <t>IfcDoorStyleOperationEnum</t>
  </si>
  <si>
    <t>IfcDuctFittingTypeEnum</t>
  </si>
  <si>
    <t>IfcDuctSegmentTypeEnum</t>
  </si>
  <si>
    <t>IfcDuctSilencerTypeEnum</t>
  </si>
  <si>
    <t>IfcElectricApplianceTypeEnum</t>
  </si>
  <si>
    <t>IfcElectricCurrentEnum</t>
  </si>
  <si>
    <t>IfcElectricDistributionPointFunctionEnum</t>
  </si>
  <si>
    <t>IfcElectricFlowStorageDeviceTypeEnum</t>
  </si>
  <si>
    <t>IfcElectricGeneratorTypeEnum</t>
  </si>
  <si>
    <t>IfcElectricHeaterTypeEnum</t>
  </si>
  <si>
    <t>IfcElectricMotorTypeEnum</t>
  </si>
  <si>
    <t>IfcElectricTimeControlTypeEnum</t>
  </si>
  <si>
    <t>IfcElementAssemblyTypeEnum</t>
  </si>
  <si>
    <t>IfcElementCompositionEnum</t>
  </si>
  <si>
    <t>IfcEnergySequenceEnum</t>
  </si>
  <si>
    <t>IfcEnvironmentalImpactCategoryEnum</t>
  </si>
  <si>
    <t>IfcEvaporativeCoolerTypeEnum</t>
  </si>
  <si>
    <t>IfcEvaporatorTypeEnum</t>
  </si>
  <si>
    <t>IfcFanTypeEnum</t>
  </si>
  <si>
    <t>IfcFilterTypeEnum</t>
  </si>
  <si>
    <t>IfcFireSuppressionTerminalTypeEnum</t>
  </si>
  <si>
    <t>IfcFlowDirectionEnum</t>
  </si>
  <si>
    <t>IfcFlowInstrumentTypeEnum</t>
  </si>
  <si>
    <t>IfcFlowMeterTypeEnum</t>
  </si>
  <si>
    <t>IfcFootingTypeEnum</t>
  </si>
  <si>
    <t>IfcGasTerminalTypeEnum</t>
  </si>
  <si>
    <t>IfcGeometricProjectionEnum</t>
  </si>
  <si>
    <t>IfcGlobalOrLocalEnum</t>
  </si>
  <si>
    <t>IfcHeatExchangerTypeEnum</t>
  </si>
  <si>
    <t>IfcHumidifierTypeEnum</t>
  </si>
  <si>
    <t>IfcInternalOrExternalEnum</t>
  </si>
  <si>
    <t>IfcInventoryTypeEnum</t>
  </si>
  <si>
    <t>IfcJunctionBoxTypeEnum</t>
  </si>
  <si>
    <t>IfcLampTypeEnum</t>
  </si>
  <si>
    <t>IfcLayerSetDirectionEnum</t>
  </si>
  <si>
    <t>IfcLightDistributionCurveEnum</t>
  </si>
  <si>
    <t>IfcLightEmissionSourceEnum</t>
  </si>
  <si>
    <t>IfcLightFixtureTypeEnum</t>
  </si>
  <si>
    <t>IfcLoadGroupTypeEnum</t>
  </si>
  <si>
    <t>IfcLogicalOperatorEnum</t>
  </si>
  <si>
    <t>IfcMemberTypeEnum</t>
  </si>
  <si>
    <t>IfcMotorConnectionTypeEnum</t>
  </si>
  <si>
    <t>IfcNullStyle</t>
  </si>
  <si>
    <t>IfcObjectTypeEnum</t>
  </si>
  <si>
    <t>IfcObjectiveEnum</t>
  </si>
  <si>
    <t>IfcOccupantTypeEnum</t>
  </si>
  <si>
    <t>IfcOutletTypeEnum</t>
  </si>
  <si>
    <t>IfcPermeableCoveringOperationEnum</t>
  </si>
  <si>
    <t>IfcPhysicalOrVirtualEnum</t>
  </si>
  <si>
    <t>IfcPileConstructionEnum</t>
  </si>
  <si>
    <t>IfcPileTypeEnum</t>
  </si>
  <si>
    <t>IfcPipeFittingTypeEnum</t>
  </si>
  <si>
    <t>IfcPipeSegmentTypeEnum</t>
  </si>
  <si>
    <t>IfcPlateTypeEnum</t>
  </si>
  <si>
    <t>IfcProcedureTypeEnum</t>
  </si>
  <si>
    <t>IfcProfileTypeEnum</t>
  </si>
  <si>
    <t>IfcProjectOrderRecordTypeEnum</t>
  </si>
  <si>
    <t>IfcProjectOrderTypeEnum</t>
  </si>
  <si>
    <t>IfcProjectedOrTrueLengthEnum</t>
  </si>
  <si>
    <t>IfcPropertySourceEnum</t>
  </si>
  <si>
    <t>IfcProtectiveDeviceTypeEnum</t>
  </si>
  <si>
    <t>IfcPumpTypeEnum</t>
  </si>
  <si>
    <t>IfcRailingTypeEnum</t>
  </si>
  <si>
    <t>IfcRampFlightTypeEnum</t>
  </si>
  <si>
    <t>IfcRampTypeEnum</t>
  </si>
  <si>
    <t>IfcReflectanceMethodEnum</t>
  </si>
  <si>
    <t>IfcReinforcingBarRoleEnum</t>
  </si>
  <si>
    <t>IfcReinforcingBarSurfaceEnum</t>
  </si>
  <si>
    <t>IfcResourceConsumptionEnum</t>
  </si>
  <si>
    <t>IfcRibPlateDirectionEnum</t>
  </si>
  <si>
    <t>IfcRoleEnum</t>
  </si>
  <si>
    <t>IfcRoofTypeEnum</t>
  </si>
  <si>
    <t>IfcSIPrefix</t>
  </si>
  <si>
    <t>IfcSIUnitName</t>
  </si>
  <si>
    <t>IfcSanitaryTerminalTypeEnum</t>
  </si>
  <si>
    <t>IfcSectionTypeEnum</t>
  </si>
  <si>
    <t>IfcSensorTypeEnum</t>
  </si>
  <si>
    <t>IfcSequenceEnum</t>
  </si>
  <si>
    <t>IfcServiceLifeFactorTypeEnum</t>
  </si>
  <si>
    <t>IfcServiceLifeTypeEnum</t>
  </si>
  <si>
    <t>IfcSlabTypeEnum</t>
  </si>
  <si>
    <t>IfcSoundScaleEnum</t>
  </si>
  <si>
    <t>IfcSpaceHeaterTypeEnum</t>
  </si>
  <si>
    <t>IfcSpaceTypeEnum</t>
  </si>
  <si>
    <t>IfcStackTerminalTypeEnum</t>
  </si>
  <si>
    <t>IfcStairFlightTypeEnum</t>
  </si>
  <si>
    <t>IfcStairTypeEnum</t>
  </si>
  <si>
    <t>IfcStateEnum</t>
  </si>
  <si>
    <t>IfcStructuralCurveTypeEnum</t>
  </si>
  <si>
    <t>IfcStructuralSurfaceTypeEnum</t>
  </si>
  <si>
    <t>IfcSurfaceSide</t>
  </si>
  <si>
    <t>IfcSurfaceTextureEnum</t>
  </si>
  <si>
    <t>IfcSwitchingDeviceTypeEnum</t>
  </si>
  <si>
    <t>IfcTankTypeEnum</t>
  </si>
  <si>
    <t>IfcTendonTypeEnum</t>
  </si>
  <si>
    <t>IfcTextPath</t>
  </si>
  <si>
    <t>IfcThermalLoadSourceEnum</t>
  </si>
  <si>
    <t>IfcThermalLoadTypeEnum</t>
  </si>
  <si>
    <t>IfcTimeSeriesDataTypeEnum</t>
  </si>
  <si>
    <t>IfcTimeSeriesScheduleTypeEnum</t>
  </si>
  <si>
    <t>IfcTransformerTypeEnum</t>
  </si>
  <si>
    <t>IfcTransitionCode</t>
  </si>
  <si>
    <t>IfcTransportElementTypeEnum</t>
  </si>
  <si>
    <t>IfcTrimmingPreference</t>
  </si>
  <si>
    <t>IfcTubeBundleTypeEnum</t>
  </si>
  <si>
    <t>IfcUnitEnum</t>
  </si>
  <si>
    <t>IfcUnitaryEquipmentTypeEnum</t>
  </si>
  <si>
    <t>IfcValveTypeEnum</t>
  </si>
  <si>
    <t>IfcVibrationIsolatorTypeEnum</t>
  </si>
  <si>
    <t>IfcWallTypeEnum</t>
  </si>
  <si>
    <t>IfcWasteTerminalTypeEnum</t>
  </si>
  <si>
    <t>IfcWindowPanelOperationEnum</t>
  </si>
  <si>
    <t>IfcWindowPanelPositionEnum</t>
  </si>
  <si>
    <t>IfcWindowStyleConstructionEnum</t>
  </si>
  <si>
    <t>IfcWindowStyleOperationEnum</t>
  </si>
  <si>
    <t>IfcWorkControlTypeEnum</t>
  </si>
  <si>
    <t>IfcAddToBeginOfList</t>
  </si>
  <si>
    <t>IfcBaseAxis</t>
  </si>
  <si>
    <t>IfcBooleanChoose</t>
  </si>
  <si>
    <t>IfcBuild2Axes</t>
  </si>
  <si>
    <t>IfcBuildAxes</t>
  </si>
  <si>
    <t>IfcCorrectDimensions</t>
  </si>
  <si>
    <t>IfcCorrectFillAreaStyle</t>
  </si>
  <si>
    <t>IfcCorrectLocalPlacement</t>
  </si>
  <si>
    <t>IfcCorrectObjectAssignment</t>
  </si>
  <si>
    <t>IfcCorrectUnitAssignment</t>
  </si>
  <si>
    <t>IfcCrossProduct</t>
  </si>
  <si>
    <t>IfcCurveDim</t>
  </si>
  <si>
    <t>IfcCurveWeightsPositive</t>
  </si>
  <si>
    <t>IfcDeriveDimensionalExponents</t>
  </si>
  <si>
    <t>IfcDimensionsForSiUnit</t>
  </si>
  <si>
    <t>IfcDotProduct</t>
  </si>
  <si>
    <t>IfcFirstProjAxis</t>
  </si>
  <si>
    <t>IfcLeapYear</t>
  </si>
  <si>
    <t>IfcListToArray</t>
  </si>
  <si>
    <t>IfcLoopHeadToTail</t>
  </si>
  <si>
    <t>IfcMlsTotalThickness</t>
  </si>
  <si>
    <t>IfcNormalise</t>
  </si>
  <si>
    <t>IfcOrthogonalComplement</t>
  </si>
  <si>
    <t>IfcPathHeadToTail</t>
  </si>
  <si>
    <t>IfcSameAxis2Placement</t>
  </si>
  <si>
    <t>IfcSameCartesianPoint</t>
  </si>
  <si>
    <t>IfcSameDirection</t>
  </si>
  <si>
    <t>IfcSameValidPrecision</t>
  </si>
  <si>
    <t>IfcSameValue</t>
  </si>
  <si>
    <t>IfcScalarTimesVector</t>
  </si>
  <si>
    <t>IfcSecondProjAxis</t>
  </si>
  <si>
    <t>IfcShapeRepresentationTypes</t>
  </si>
  <si>
    <t>IfcTopologyRepresentationTypes</t>
  </si>
  <si>
    <t>IfcUniquePropertyName</t>
  </si>
  <si>
    <t>IfcValidCalendarDate</t>
  </si>
  <si>
    <t>IfcValidTime</t>
  </si>
  <si>
    <t>IfcVectorDifference</t>
  </si>
  <si>
    <t>IfcVectorSum</t>
  </si>
  <si>
    <t>IfcActorResource</t>
  </si>
  <si>
    <t>IfcApprovalResource</t>
  </si>
  <si>
    <t>IfcArchitectureDomain</t>
  </si>
  <si>
    <t>IfcBuildingControlsDomain</t>
  </si>
  <si>
    <t>IfcConstraintResource</t>
  </si>
  <si>
    <t>IfcConstructionMgmtDomain</t>
  </si>
  <si>
    <t>IfcControlExtension</t>
  </si>
  <si>
    <t>IfcCostResource</t>
  </si>
  <si>
    <t>IfcElectricalDomain</t>
  </si>
  <si>
    <t>IfcExternalReferenceResource</t>
  </si>
  <si>
    <t>IfcFacilitiesMgmtDomain</t>
  </si>
  <si>
    <t>IfcGeometricConstraintResource</t>
  </si>
  <si>
    <t>IfcGeometricModelResource</t>
  </si>
  <si>
    <t>IfcHvacDomain</t>
  </si>
  <si>
    <t>IfcKernel</t>
  </si>
  <si>
    <t>IfcMaterialPropertyResource</t>
  </si>
  <si>
    <t>IfcMaterialResource</t>
  </si>
  <si>
    <t>IfcPlumbingFireProtectionDomain</t>
  </si>
  <si>
    <t>IfcPresentationDimensioningResource</t>
  </si>
  <si>
    <t>IfcPresentationOrganizationResource</t>
  </si>
  <si>
    <t>IfcProcessExtension</t>
  </si>
  <si>
    <t>IfcProductExtension</t>
  </si>
  <si>
    <t>IfcProfilePropertyResource</t>
  </si>
  <si>
    <t>IfcProfileResource</t>
  </si>
  <si>
    <t>IfcPropertyResource</t>
  </si>
  <si>
    <t>IfcRepresentationResource</t>
  </si>
  <si>
    <t>IfcQuantityResource</t>
  </si>
  <si>
    <t>IfcSharedBldgElements</t>
  </si>
  <si>
    <t>IfcSharedBldgServiceElements</t>
  </si>
  <si>
    <t>IfcSharedComponentElements</t>
  </si>
  <si>
    <t>IfcSharedFacilitiesElements</t>
  </si>
  <si>
    <t>IfcSharedMgmtElements</t>
  </si>
  <si>
    <t>IfcStructuralAnalysisDomain</t>
  </si>
  <si>
    <t>IfcStructuralElementsDomain</t>
  </si>
  <si>
    <t>IfcStructuralLoadResource</t>
  </si>
  <si>
    <t>IfcTimeSeriesResource</t>
  </si>
  <si>
    <t>IfcTopologyResource</t>
  </si>
  <si>
    <t>IfcGeometryResource</t>
  </si>
  <si>
    <t>IfcPresentationDefinitionResource</t>
  </si>
  <si>
    <t>IfcUtilityResource</t>
  </si>
  <si>
    <t>IfcPresentationAppearanceResource</t>
  </si>
  <si>
    <t>IfcPresentationResource</t>
  </si>
  <si>
    <t>IfcDateTimeResource</t>
  </si>
  <si>
    <t>IfcMeasureResource</t>
  </si>
  <si>
    <t>Kontrolle
Modul-Name</t>
  </si>
  <si>
    <t>Doku</t>
  </si>
  <si>
    <t>Modul-CodeName</t>
  </si>
  <si>
    <t>ifcactorresource</t>
  </si>
  <si>
    <t>ifcapprovalresource</t>
  </si>
  <si>
    <t>ifcarchitecturedomain</t>
  </si>
  <si>
    <t>ifcbuildingcontrolsdomain</t>
  </si>
  <si>
    <t>ifcconstraintresource</t>
  </si>
  <si>
    <t>ifcconstructionmgmtdomain</t>
  </si>
  <si>
    <t>ifccontrolextension</t>
  </si>
  <si>
    <t>ifccostresource</t>
  </si>
  <si>
    <t>ifcdatetimeresource</t>
  </si>
  <si>
    <t>ifcelectricaldomain</t>
  </si>
  <si>
    <t>ifcexternalreferenceresource</t>
  </si>
  <si>
    <t>ifcfacilitiesmgmtdomain</t>
  </si>
  <si>
    <t>ifcgeometricconstraintresource</t>
  </si>
  <si>
    <t>ifcgeometricmodelresource</t>
  </si>
  <si>
    <t>ifcgeometryresource</t>
  </si>
  <si>
    <t>ifchvacdomain</t>
  </si>
  <si>
    <t>ifckernel</t>
  </si>
  <si>
    <t>ifcmaterialpropertyresource</t>
  </si>
  <si>
    <t>ifcmaterialresource</t>
  </si>
  <si>
    <t>ifcmeasureresource</t>
  </si>
  <si>
    <t>ifcplumbingfireprotectiondomain</t>
  </si>
  <si>
    <t>ifcpresentationappearanceresource</t>
  </si>
  <si>
    <t>ifcpresentationdefinitionresource</t>
  </si>
  <si>
    <t>ifcpresentationdimensioningresource</t>
  </si>
  <si>
    <t>ifcpresentationorganizationresource</t>
  </si>
  <si>
    <t>ifcpresentationresource</t>
  </si>
  <si>
    <t>ifcprocessextension</t>
  </si>
  <si>
    <t>ifcproductextension</t>
  </si>
  <si>
    <t>ifcprofilepropertyresource</t>
  </si>
  <si>
    <t>ifcprofileresource</t>
  </si>
  <si>
    <t>ifcpropertyresource</t>
  </si>
  <si>
    <t>ifcquantityresource</t>
  </si>
  <si>
    <t>ifcrepresentationresource</t>
  </si>
  <si>
    <t>ifcsharedbldgelements</t>
  </si>
  <si>
    <t>ifcsharedbldgserviceelements</t>
  </si>
  <si>
    <t>ifcsharedcomponentelements</t>
  </si>
  <si>
    <t>ifcsharedfacilitieselements</t>
  </si>
  <si>
    <t>ifcsharedmgmtelements</t>
  </si>
  <si>
    <t>ifcstructuralanalysisdomain</t>
  </si>
  <si>
    <t>ifcstructuralelementsdomain</t>
  </si>
  <si>
    <t>ifcstructuralloadresource</t>
  </si>
  <si>
    <t>ifctimeseriesresource</t>
  </si>
  <si>
    <t>ifctopologyresource</t>
  </si>
  <si>
    <t>ifcutilityresource</t>
  </si>
  <si>
    <t>\ifcgeometryresource\lexical\ifc2dcompositecurve.htm</t>
  </si>
  <si>
    <t>\ifcfacilitiesmgmtdomain\lexical\ifcactionrequest.htm</t>
  </si>
  <si>
    <t>\ifckernel\lexical\ifcactor.htm</t>
  </si>
  <si>
    <t>\ifcactorresource\lexical\ifcactorrole.htm</t>
  </si>
  <si>
    <t>\ifcbuildingcontrolsdomain\lexical\ifcactuatortype.htm</t>
  </si>
  <si>
    <t>\ifcactorresource\lexical\ifcaddress.htm</t>
  </si>
  <si>
    <t>\ifchvacdomain\lexical\ifcairterminalboxtype.htm</t>
  </si>
  <si>
    <t>\ifchvacdomain\lexical\ifcairterminaltype.htm</t>
  </si>
  <si>
    <t>\ifchvacdomain\lexical\ifcairtoairheatrecoverytype.htm</t>
  </si>
  <si>
    <t>\ifcbuildingcontrolsdomain\lexical\ifcalarmtype.htm</t>
  </si>
  <si>
    <t>\ifcpresentationdimensioningresource\lexical\ifcangulardimension.htm</t>
  </si>
  <si>
    <t>\ifcproductextension\lexical\ifcannotation.htm</t>
  </si>
  <si>
    <t>\ifcpresentationdefinitionresource\lexical\ifcannotationcurveoccurrence.htm</t>
  </si>
  <si>
    <t>\ifcpresentationdefinitionresource\lexical\ifcannotationfillarea.htm</t>
  </si>
  <si>
    <t>\ifcpresentationdefinitionresource\lexical\ifcannotationfillareaoccurrence.htm</t>
  </si>
  <si>
    <t>\ifcpresentationdefinitionresource\lexical\ifcannotationoccurrence.htm</t>
  </si>
  <si>
    <t>\ifcpresentationdefinitionresource\lexical\ifcannotationsurface.htm</t>
  </si>
  <si>
    <t>\ifcpresentationdefinitionresource\lexical\ifcannotationsurfaceoccurrence.htm</t>
  </si>
  <si>
    <t>\ifcpresentationdefinitionresource\lexical\ifcannotationsymboloccurrence.htm</t>
  </si>
  <si>
    <t>\ifcpresentationdefinitionresource\lexical\ifcannotationtextoccurrence.htm</t>
  </si>
  <si>
    <t>\ifcutilityresource\lexical\ifcapplication.htm</t>
  </si>
  <si>
    <t>\ifccostresource\lexical\ifcappliedvalue.htm</t>
  </si>
  <si>
    <t>\ifccostresource\lexical\ifcappliedvaluerelationship.htm</t>
  </si>
  <si>
    <t>\ifcapprovalresource\lexical\ifcapproval.htm</t>
  </si>
  <si>
    <t>\ifcapprovalresource\lexical\ifcapprovalactorrelationship.htm</t>
  </si>
  <si>
    <t>\ifcapprovalresource\lexical\ifcapprovalpropertyrelationship.htm</t>
  </si>
  <si>
    <t>\ifcapprovalresource\lexical\ifcapprovalrelationship.htm</t>
  </si>
  <si>
    <t>\ifcprofileresource\lexical\ifcarbitraryclosedprofiledef.htm</t>
  </si>
  <si>
    <t>\ifcprofileresource\lexical\ifcarbitraryopenprofiledef.htm</t>
  </si>
  <si>
    <t>\ifcprofileresource\lexical\ifcarbitraryprofiledefwithvoids.htm</t>
  </si>
  <si>
    <t>\ifcsharedfacilitieselements\lexical\ifcasset.htm</t>
  </si>
  <si>
    <t>\ifcprofileresource\lexical\ifcasymmetricishapeprofiledef.htm</t>
  </si>
  <si>
    <t>\ifcgeometryresource\lexical\ifcaxis1placement.htm</t>
  </si>
  <si>
    <t>\ifcgeometryresource\lexical\ifcaxis2placement2d.htm</t>
  </si>
  <si>
    <t>\ifcgeometryresource\lexical\ifcaxis2placement3d.htm</t>
  </si>
  <si>
    <t>\ifcgeometryresource\lexical\ifcbsplinecurve.htm</t>
  </si>
  <si>
    <t>\ifcsharedbldgelements\lexical\ifcbeam.htm</t>
  </si>
  <si>
    <t>\ifcsharedbldgelements\lexical\ifcbeamtype.htm</t>
  </si>
  <si>
    <t>\ifcgeometryresource\lexical\ifcbeziercurve.htm</t>
  </si>
  <si>
    <t>\ifcpresentationappearanceresource\lexical\ifcblobtexture.htm</t>
  </si>
  <si>
    <t>\ifcgeometricmodelresource\lexical\ifcblock.htm</t>
  </si>
  <si>
    <t>\ifchvacdomain\lexical\ifcboilertype.htm</t>
  </si>
  <si>
    <t>\ifcgeometricmodelresource\lexical\ifcbooleanclippingresult.htm</t>
  </si>
  <si>
    <t>\ifcgeometricmodelresource\lexical\ifcbooleanresult.htm</t>
  </si>
  <si>
    <t>\ifcstructuralloadresource\lexical\ifcboundarycondition.htm</t>
  </si>
  <si>
    <t>\ifcstructuralloadresource\lexical\ifcboundaryedgecondition.htm</t>
  </si>
  <si>
    <t>\ifcstructuralloadresource\lexical\ifcboundaryfacecondition.htm</t>
  </si>
  <si>
    <t>\ifcstructuralloadresource\lexical\ifcboundarynodecondition.htm</t>
  </si>
  <si>
    <t>\ifcstructuralloadresource\lexical\ifcboundarynodeconditionwarping.htm</t>
  </si>
  <si>
    <t>\ifcgeometryresource\lexical\ifcboundedcurve.htm</t>
  </si>
  <si>
    <t>\ifcgeometryresource\lexical\ifcboundedsurface.htm</t>
  </si>
  <si>
    <t>\ifcgeometricmodelresource\lexical\ifcboundingbox.htm</t>
  </si>
  <si>
    <t>\ifcgeometricmodelresource\lexical\ifcboxedhalfspace.htm</t>
  </si>
  <si>
    <t>\ifcproductextension\lexical\ifcbuilding.htm</t>
  </si>
  <si>
    <t>\ifcproductextension\lexical\ifcbuildingelement.htm</t>
  </si>
  <si>
    <t>\ifcstructuralelementsdomain\lexical\ifcbuildingelementcomponent.htm</t>
  </si>
  <si>
    <t>\ifcstructuralelementsdomain\lexical\ifcbuildingelementpart.htm</t>
  </si>
  <si>
    <t>\ifcproductextension\lexical\ifcbuildingelementproxy.htm</t>
  </si>
  <si>
    <t>\ifcproductextension\lexical\ifcbuildingelementproxytype.htm</t>
  </si>
  <si>
    <t>\ifcproductextension\lexical\ifcbuildingelementtype.htm</t>
  </si>
  <si>
    <t>\ifcproductextension\lexical\ifcbuildingstorey.htm</t>
  </si>
  <si>
    <t>\ifcprofileresource\lexical\ifccshapeprofiledef.htm</t>
  </si>
  <si>
    <t>\ifcelectricaldomain\lexical\ifccablecarrierfittingtype.htm</t>
  </si>
  <si>
    <t>\ifcelectricaldomain\lexical\ifccablecarriersegmenttype.htm</t>
  </si>
  <si>
    <t>\ifcelectricaldomain\lexical\ifccablesegmenttype.htm</t>
  </si>
  <si>
    <t>\ifcdatetimeresource\lexical\ifccalendardate.htm</t>
  </si>
  <si>
    <t>\ifcgeometryresource\lexical\ifccartesianpoint.htm</t>
  </si>
  <si>
    <t>\ifcgeometryresource\lexical\ifccartesiantransformationoperator.htm</t>
  </si>
  <si>
    <t>\ifcgeometryresource\lexical\ifccartesiantransformationoperator2d.htm</t>
  </si>
  <si>
    <t>\ifcgeometryresource\lexical\ifccartesiantransformationoperator2dnonuniform.htm</t>
  </si>
  <si>
    <t>\ifcgeometryresource\lexical\ifccartesiantransformationoperator3d.htm</t>
  </si>
  <si>
    <t>\ifcgeometryresource\lexical\ifccartesiantransformationoperator3dnonuniform.htm</t>
  </si>
  <si>
    <t>\ifcprofileresource\lexical\ifccenterlineprofiledef.htm</t>
  </si>
  <si>
    <t>\ifcsharedcomponentelements\lexical\ifcchamferedgefeature.htm</t>
  </si>
  <si>
    <t>\ifchvacdomain\lexical\ifcchillertype.htm</t>
  </si>
  <si>
    <t>\ifcgeometryresource\lexical\ifccircle.htm</t>
  </si>
  <si>
    <t>\ifcprofileresource\lexical\ifccirclehollowprofiledef.htm</t>
  </si>
  <si>
    <t>\ifcprofileresource\lexical\ifccircleprofiledef.htm</t>
  </si>
  <si>
    <t>\ifcexternalreferenceresource\lexical\ifcclassification.htm</t>
  </si>
  <si>
    <t>\ifcexternalreferenceresource\lexical\ifcclassificationitem.htm</t>
  </si>
  <si>
    <t>\ifcexternalreferenceresource\lexical\ifcclassificationitemrelationship.htm</t>
  </si>
  <si>
    <t>\ifcexternalreferenceresource\lexical\ifcclassificationnotation.htm</t>
  </si>
  <si>
    <t>\ifcexternalreferenceresource\lexical\ifcclassificationnotationfacet.htm</t>
  </si>
  <si>
    <t>\ifcexternalreferenceresource\lexical\ifcclassificationreference.htm</t>
  </si>
  <si>
    <t>\ifctopologyresource\lexical\ifcclosedshell.htm</t>
  </si>
  <si>
    <t>\ifchvacdomain\lexical\ifccoiltype.htm</t>
  </si>
  <si>
    <t>\ifcpresentationresource\lexical\ifccolourrgb.htm</t>
  </si>
  <si>
    <t>\ifcpresentationresource\lexical\ifccolourspecification.htm</t>
  </si>
  <si>
    <t>\ifcsharedbldgelements\lexical\ifccolumn.htm</t>
  </si>
  <si>
    <t>\ifcsharedbldgelements\lexical\ifccolumntype.htm</t>
  </si>
  <si>
    <t>\ifcpropertyresource\lexical\ifccomplexproperty.htm</t>
  </si>
  <si>
    <t>\ifcgeometryresource\lexical\ifccompositecurve.htm</t>
  </si>
  <si>
    <t>\ifcgeometryresource\lexical\ifccompositecurvesegment.htm</t>
  </si>
  <si>
    <t>\ifcprofileresource\lexical\ifccompositeprofiledef.htm</t>
  </si>
  <si>
    <t>\ifchvacdomain\lexical\ifccompressortype.htm</t>
  </si>
  <si>
    <t>\ifchvacdomain\lexical\ifccondensertype.htm</t>
  </si>
  <si>
    <t>\ifcfacilitiesmgmtdomain\lexical\ifccondition.htm</t>
  </si>
  <si>
    <t>\ifcfacilitiesmgmtdomain\lexical\ifcconditioncriterion.htm</t>
  </si>
  <si>
    <t>\ifcgeometryresource\lexical\ifcconic.htm</t>
  </si>
  <si>
    <t>\ifctopologyresource\lexical\ifcconnectedfaceset.htm</t>
  </si>
  <si>
    <t>\ifcgeometricconstraintresource\lexical\ifcconnectioncurvegeometry.htm</t>
  </si>
  <si>
    <t>\ifcgeometricconstraintresource\lexical\ifcconnectiongeometry.htm</t>
  </si>
  <si>
    <t>\ifcgeometricconstraintresource\lexical\ifcconnectionpointeccentricity.htm</t>
  </si>
  <si>
    <t>\ifcgeometricconstraintresource\lexical\ifcconnectionpointgeometry.htm</t>
  </si>
  <si>
    <t>\ifcgeometricconstraintresource\lexical\ifcconnectionportgeometry.htm</t>
  </si>
  <si>
    <t>\ifcgeometricconstraintresource\lexical\ifcconnectionsurfacegeometry.htm</t>
  </si>
  <si>
    <t>\ifcconstraintresource\lexical\ifcconstraint.htm</t>
  </si>
  <si>
    <t>\ifcconstraintresource\lexical\ifcconstraintaggregationrelationship.htm</t>
  </si>
  <si>
    <t>\ifcconstraintresource\lexical\ifcconstraintclassificationrelationship.htm</t>
  </si>
  <si>
    <t>\ifcconstraintresource\lexical\ifcconstraintrelationship.htm</t>
  </si>
  <si>
    <t>\ifcconstructionmgmtdomain\lexical\ifcconstructionequipmentresource.htm</t>
  </si>
  <si>
    <t>\ifcconstructionmgmtdomain\lexical\ifcconstructionmaterialresource.htm</t>
  </si>
  <si>
    <t>\ifcconstructionmgmtdomain\lexical\ifcconstructionproductresource.htm</t>
  </si>
  <si>
    <t>\ifcconstructionmgmtdomain\lexical\ifcconstructionresource.htm</t>
  </si>
  <si>
    <t>\ifcmeasureresource\lexical\ifccontextdependentunit.htm</t>
  </si>
  <si>
    <t>\ifckernel\lexical\ifccontrol.htm</t>
  </si>
  <si>
    <t>\ifcbuildingcontrolsdomain\lexical\ifccontrollertype.htm</t>
  </si>
  <si>
    <t>\ifcmeasureresource\lexical\ifcconversionbasedunit.htm</t>
  </si>
  <si>
    <t>\ifchvacdomain\lexical\ifccooledbeamtype.htm</t>
  </si>
  <si>
    <t>\ifchvacdomain\lexical\ifccoolingtowertype.htm</t>
  </si>
  <si>
    <t>\ifcdatetimeresource\lexical\ifccoordinateduniversaltimeoffset.htm</t>
  </si>
  <si>
    <t>\ifcsharedmgmtelements\lexical\ifccostitem.htm</t>
  </si>
  <si>
    <t>\ifcsharedmgmtelements\lexical\ifccostschedule.htm</t>
  </si>
  <si>
    <t>\ifccostresource\lexical\ifccostvalue.htm</t>
  </si>
  <si>
    <t>\ifcproductextension\lexical\ifccovering.htm</t>
  </si>
  <si>
    <t>\ifcproductextension\lexical\ifccoveringtype.htm</t>
  </si>
  <si>
    <t>\ifcprofileresource\lexical\ifccranerailashapeprofiledef.htm</t>
  </si>
  <si>
    <t>\ifcprofileresource\lexical\ifccranerailfshapeprofiledef.htm</t>
  </si>
  <si>
    <t>\ifcconstructionmgmtdomain\lexical\ifccrewresource.htm</t>
  </si>
  <si>
    <t>\ifcgeometricmodelresource\lexical\ifccsgprimitive3d.htm</t>
  </si>
  <si>
    <t>\ifcgeometricmodelresource\lexical\ifccsgsolid.htm</t>
  </si>
  <si>
    <t>\ifccostresource\lexical\ifccurrencyrelationship.htm</t>
  </si>
  <si>
    <t>\ifcsharedbldgelements\lexical\ifccurtainwall.htm</t>
  </si>
  <si>
    <t>\ifcsharedbldgelements\lexical\ifccurtainwalltype.htm</t>
  </si>
  <si>
    <t>\ifcgeometryresource\lexical\ifccurve.htm</t>
  </si>
  <si>
    <t>\ifcgeometryresource\lexical\ifccurveboundedplane.htm</t>
  </si>
  <si>
    <t>\ifcpresentationappearanceresource\lexical\ifccurvestyle.htm</t>
  </si>
  <si>
    <t>\ifcpresentationappearanceresource\lexical\ifccurvestylefont.htm</t>
  </si>
  <si>
    <t>\ifcpresentationappearanceresource\lexical\ifccurvestylefontandscaling.htm</t>
  </si>
  <si>
    <t>\ifcpresentationappearanceresource\lexical\ifccurvestylefontpattern.htm</t>
  </si>
  <si>
    <t>\ifchvacdomain\lexical\ifcdampertype.htm</t>
  </si>
  <si>
    <t>\ifcdatetimeresource\lexical\ifcdateandtime.htm</t>
  </si>
  <si>
    <t>\ifcpresentationdefinitionresource\lexical\ifcdefinedsymbol.htm</t>
  </si>
  <si>
    <t>\ifcprofileresource\lexical\ifcderivedprofiledef.htm</t>
  </si>
  <si>
    <t>\ifcmeasureresource\lexical\ifcderivedunit.htm</t>
  </si>
  <si>
    <t>\ifcmeasureresource\lexical\ifcderivedunitelement.htm</t>
  </si>
  <si>
    <t>\ifcpresentationdimensioningresource\lexical\ifcdiameterdimension.htm</t>
  </si>
  <si>
    <t>\ifcpresentationdimensioningresource\lexical\ifcdimensioncalloutrelationship.htm</t>
  </si>
  <si>
    <t>\ifcpresentationdimensioningresource\lexical\ifcdimensioncurve.htm</t>
  </si>
  <si>
    <t>\ifcpresentationdimensioningresource\lexical\ifcdimensioncurvedirectedcallout.htm</t>
  </si>
  <si>
    <t>\ifcpresentationdimensioningresource\lexical\ifcdimensioncurveterminator.htm</t>
  </si>
  <si>
    <t>\ifcpresentationdimensioningresource\lexical\ifcdimensionpair.htm</t>
  </si>
  <si>
    <t>\ifcmeasureresource\lexical\ifcdimensionalexponents.htm</t>
  </si>
  <si>
    <t>\ifcgeometryresource\lexical\ifcdirection.htm</t>
  </si>
  <si>
    <t>\ifcsharedcomponentelements\lexical\ifcdiscreteaccessory.htm</t>
  </si>
  <si>
    <t>\ifcsharedcomponentelements\lexical\ifcdiscreteaccessorytype.htm</t>
  </si>
  <si>
    <t>\ifcsharedbldgserviceelements\lexical\ifcdistributionchamberelement.htm</t>
  </si>
  <si>
    <t>\ifcsharedbldgserviceelements\lexical\ifcdistributionchamberelementtype.htm</t>
  </si>
  <si>
    <t>\ifcsharedbldgserviceelements\lexical\ifcdistributioncontrolelement.htm</t>
  </si>
  <si>
    <t>\ifcsharedbldgserviceelements\lexical\ifcdistributioncontrolelementtype.htm</t>
  </si>
  <si>
    <t>\ifcproductextension\lexical\ifcdistributionelement.htm</t>
  </si>
  <si>
    <t>\ifcproductextension\lexical\ifcdistributionelementtype.htm</t>
  </si>
  <si>
    <t>\ifcsharedbldgserviceelements\lexical\ifcdistributionflowelement.htm</t>
  </si>
  <si>
    <t>\ifcsharedbldgserviceelements\lexical\ifcdistributionflowelementtype.htm</t>
  </si>
  <si>
    <t>\ifcsharedbldgserviceelements\lexical\ifcdistributionport.htm</t>
  </si>
  <si>
    <t>\ifcexternalreferenceresource\lexical\ifcdocumentelectronicformat.htm</t>
  </si>
  <si>
    <t>\ifcexternalreferenceresource\lexical\ifcdocumentinformation.htm</t>
  </si>
  <si>
    <t>\ifcexternalreferenceresource\lexical\ifcdocumentinformationrelationship.htm</t>
  </si>
  <si>
    <t>\ifcexternalreferenceresource\lexical\ifcdocumentreference.htm</t>
  </si>
  <si>
    <t>\ifcsharedbldgelements\lexical\ifcdoor.htm</t>
  </si>
  <si>
    <t>\ifcsharedbldgelements\lexical\ifcdoorliningproperties.htm</t>
  </si>
  <si>
    <t>\ifcsharedbldgelements\lexical\ifcdoorpanelproperties.htm</t>
  </si>
  <si>
    <t>\ifcsharedbldgelements\lexical\ifcdoorstyle.htm</t>
  </si>
  <si>
    <t>\ifcpresentationdimensioningresource\lexical\ifcdraughtingcallout.htm</t>
  </si>
  <si>
    <t>\ifcpresentationdimensioningresource\lexical\ifcdraughtingcalloutrelationship.htm</t>
  </si>
  <si>
    <t>\ifcpresentationresource\lexical\ifcdraughtingpredefinedcolour.htm</t>
  </si>
  <si>
    <t>\ifcpresentationappearanceresource\lexical\ifcdraughtingpredefinedcurvefont.htm</t>
  </si>
  <si>
    <t>\ifcpresentationresource\lexical\ifcdraughtingpredefinedtextfont.htm</t>
  </si>
  <si>
    <t>\ifchvacdomain\lexical\ifcductfittingtype.htm</t>
  </si>
  <si>
    <t>\ifchvacdomain\lexical\ifcductsegmenttype.htm</t>
  </si>
  <si>
    <t>\ifchvacdomain\lexical\ifcductsilencertype.htm</t>
  </si>
  <si>
    <t>\ifctopologyresource\lexical\ifcedge.htm</t>
  </si>
  <si>
    <t>\ifctopologyresource\lexical\ifcedgecurve.htm</t>
  </si>
  <si>
    <t>\ifcsharedcomponentelements\lexical\ifcedgefeature.htm</t>
  </si>
  <si>
    <t>\ifctopologyresource\lexical\ifcedgeloop.htm</t>
  </si>
  <si>
    <t>\ifcelectricaldomain\lexical\ifcelectricappliancetype.htm</t>
  </si>
  <si>
    <t>\ifcelectricaldomain\lexical\ifcelectricdistributionpoint.htm</t>
  </si>
  <si>
    <t>\ifcelectricaldomain\lexical\ifcelectricflowstoragedevicetype.htm</t>
  </si>
  <si>
    <t>\ifcelectricaldomain\lexical\ifcelectricgeneratortype.htm</t>
  </si>
  <si>
    <t>\ifcelectricaldomain\lexical\ifcelectricheatertype.htm</t>
  </si>
  <si>
    <t>\ifcelectricaldomain\lexical\ifcelectricmotortype.htm</t>
  </si>
  <si>
    <t>\ifcelectricaldomain\lexical\ifcelectrictimecontroltype.htm</t>
  </si>
  <si>
    <t>\ifcsharedbldgserviceelements\lexical\ifcelectricalbaseproperties.htm</t>
  </si>
  <si>
    <t>\ifcelectricaldomain\lexical\ifcelectricalcircuit.htm</t>
  </si>
  <si>
    <t>\ifcproductextension\lexical\ifcelectricalelement.htm</t>
  </si>
  <si>
    <t>\ifcproductextension\lexical\ifcelement.htm</t>
  </si>
  <si>
    <t>\ifcproductextension\lexical\ifcelementassembly.htm</t>
  </si>
  <si>
    <t>\ifcsharedcomponentelements\lexical\ifcelementcomponent.htm</t>
  </si>
  <si>
    <t>\ifcsharedcomponentelements\lexical\ifcelementcomponenttype.htm</t>
  </si>
  <si>
    <t>\ifcproductextension\lexical\ifcelementquantity.htm</t>
  </si>
  <si>
    <t>\ifcproductextension\lexical\ifcelementtype.htm</t>
  </si>
  <si>
    <t>\ifcgeometryresource\lexical\ifcelementarysurface.htm</t>
  </si>
  <si>
    <t>\ifcgeometryresource\lexical\ifcellipse.htm</t>
  </si>
  <si>
    <t>\ifcprofileresource\lexical\ifcellipseprofiledef.htm</t>
  </si>
  <si>
    <t>\ifcsharedbldgserviceelements\lexical\ifcenergyconversiondevice.htm</t>
  </si>
  <si>
    <t>\ifcsharedbldgserviceelements\lexical\ifcenergyconversiondevicetype.htm</t>
  </si>
  <si>
    <t>\ifcsharedbldgserviceelements\lexical\ifcenergyproperties.htm</t>
  </si>
  <si>
    <t>\ifccostresource\lexical\ifcenvironmentalimpactvalue.htm</t>
  </si>
  <si>
    <t>\ifcproductextension\lexical\ifcequipmentelement.htm</t>
  </si>
  <si>
    <t>\ifcfacilitiesmgmtdomain\lexical\ifcequipmentstandard.htm</t>
  </si>
  <si>
    <t>\ifchvacdomain\lexical\ifcevaporativecoolertype.htm</t>
  </si>
  <si>
    <t>\ifchvacdomain\lexical\ifcevaporatortype.htm</t>
  </si>
  <si>
    <t>\ifcmaterialpropertyresource\lexical\ifcextendedmaterialproperties.htm</t>
  </si>
  <si>
    <t>\ifcexternalreferenceresource\lexical\ifcexternalreference.htm</t>
  </si>
  <si>
    <t>\ifcpresentationappearanceresource\lexical\ifcexternallydefinedhatchstyle.htm</t>
  </si>
  <si>
    <t>\ifcpresentationappearanceresource\lexical\ifcexternallydefinedsurfacestyle.htm</t>
  </si>
  <si>
    <t>\ifcpresentationdefinitionresource\lexical\ifcexternallydefinedsymbol.htm</t>
  </si>
  <si>
    <t>\ifcpresentationresource\lexical\ifcexternallydefinedtextfont.htm</t>
  </si>
  <si>
    <t>\ifcgeometricmodelresource\lexical\ifcextrudedareasolid.htm</t>
  </si>
  <si>
    <t>\ifctopologyresource\lexical\ifcface.htm</t>
  </si>
  <si>
    <t>\ifcgeometricmodelresource\lexical\ifcfacebasedsurfacemodel.htm</t>
  </si>
  <si>
    <t>\ifctopologyresource\lexical\ifcfacebound.htm</t>
  </si>
  <si>
    <t>\ifctopologyresource\lexical\ifcfaceouterbound.htm</t>
  </si>
  <si>
    <t>\ifctopologyresource\lexical\ifcfacesurface.htm</t>
  </si>
  <si>
    <t>\ifcgeometricmodelresource\lexical\ifcfacetedbrep.htm</t>
  </si>
  <si>
    <t>\ifcgeometricmodelresource\lexical\ifcfacetedbrepwithvoids.htm</t>
  </si>
  <si>
    <t>\ifcstructuralloadresource\lexical\ifcfailureconnectioncondition.htm</t>
  </si>
  <si>
    <t>\ifchvacdomain\lexical\ifcfantype.htm</t>
  </si>
  <si>
    <t>\ifcsharedcomponentelements\lexical\ifcfastener.htm</t>
  </si>
  <si>
    <t>\ifcsharedcomponentelements\lexical\ifcfastenertype.htm</t>
  </si>
  <si>
    <t>\ifcproductextension\lexical\ifcfeatureelement.htm</t>
  </si>
  <si>
    <t>\ifcproductextension\lexical\ifcfeatureelementaddition.htm</t>
  </si>
  <si>
    <t>\ifcproductextension\lexical\ifcfeatureelementsubtraction.htm</t>
  </si>
  <si>
    <t>\ifcpresentationappearanceresource\lexical\ifcfillareastyle.htm</t>
  </si>
  <si>
    <t>\ifcpresentationappearanceresource\lexical\ifcfillareastylehatching.htm</t>
  </si>
  <si>
    <t>\ifcpresentationappearanceresource\lexical\ifcfillareastyletilesymbolwithstyle.htm</t>
  </si>
  <si>
    <t>\ifcpresentationappearanceresource\lexical\ifcfillareastyletiles.htm</t>
  </si>
  <si>
    <t>\ifchvacdomain\lexical\ifcfiltertype.htm</t>
  </si>
  <si>
    <t>\ifcplumbingfireprotectiondomain\lexical\ifcfiresuppressionterminaltype.htm</t>
  </si>
  <si>
    <t>\ifcsharedbldgserviceelements\lexical\ifcflowcontroller.htm</t>
  </si>
  <si>
    <t>\ifcsharedbldgserviceelements\lexical\ifcflowcontrollertype.htm</t>
  </si>
  <si>
    <t>\ifcsharedbldgserviceelements\lexical\ifcflowfitting.htm</t>
  </si>
  <si>
    <t>\ifcsharedbldgserviceelements\lexical\ifcflowfittingtype.htm</t>
  </si>
  <si>
    <t>\ifcbuildingcontrolsdomain\lexical\ifcflowinstrumenttype.htm</t>
  </si>
  <si>
    <t>\ifchvacdomain\lexical\ifcflowmetertype.htm</t>
  </si>
  <si>
    <t>\ifcsharedbldgserviceelements\lexical\ifcflowmovingdevice.htm</t>
  </si>
  <si>
    <t>\ifcsharedbldgserviceelements\lexical\ifcflowmovingdevicetype.htm</t>
  </si>
  <si>
    <t>\ifcsharedbldgserviceelements\lexical\ifcflowsegment.htm</t>
  </si>
  <si>
    <t>\ifcsharedbldgserviceelements\lexical\ifcflowsegmenttype.htm</t>
  </si>
  <si>
    <t>\ifcsharedbldgserviceelements\lexical\ifcflowstoragedevice.htm</t>
  </si>
  <si>
    <t>\ifcsharedbldgserviceelements\lexical\ifcflowstoragedevicetype.htm</t>
  </si>
  <si>
    <t>\ifcsharedbldgserviceelements\lexical\ifcflowterminal.htm</t>
  </si>
  <si>
    <t>\ifcsharedbldgserviceelements\lexical\ifcflowterminaltype.htm</t>
  </si>
  <si>
    <t>\ifcsharedbldgserviceelements\lexical\ifcflowtreatmentdevice.htm</t>
  </si>
  <si>
    <t>\ifcsharedbldgserviceelements\lexical\ifcflowtreatmentdevicetype.htm</t>
  </si>
  <si>
    <t>\ifcsharedbldgserviceelements\lexical\ifcfluidflowproperties.htm</t>
  </si>
  <si>
    <t>\ifcstructuralelementsdomain\lexical\ifcfooting.htm</t>
  </si>
  <si>
    <t>\ifcmaterialpropertyresource\lexical\ifcfuelproperties.htm</t>
  </si>
  <si>
    <t>\ifcproductextension\lexical\ifcfurnishingelement.htm</t>
  </si>
  <si>
    <t>\ifcproductextension\lexical\ifcfurnishingelementtype.htm</t>
  </si>
  <si>
    <t>\ifcfacilitiesmgmtdomain\lexical\ifcfurniturestandard.htm</t>
  </si>
  <si>
    <t>\ifcsharedfacilitieselements\lexical\ifcfurnituretype.htm</t>
  </si>
  <si>
    <t>\ifchvacdomain\lexical\ifcgasterminaltype.htm</t>
  </si>
  <si>
    <t>\ifcmaterialpropertyresource\lexical\ifcgeneralmaterialproperties.htm</t>
  </si>
  <si>
    <t>\ifcprofilepropertyresource\lexical\ifcgeneralprofileproperties.htm</t>
  </si>
  <si>
    <t>\ifcgeometricmodelresource\lexical\ifcgeometriccurveset.htm</t>
  </si>
  <si>
    <t>\ifcrepresentationresource\lexical\ifcgeometricrepresentationcontext.htm</t>
  </si>
  <si>
    <t>\ifcgeometryresource\lexical\ifcgeometricrepresentationitem.htm</t>
  </si>
  <si>
    <t>\ifcrepresentationresource\lexical\ifcgeometricrepresentationsubcontext.htm</t>
  </si>
  <si>
    <t>\ifcgeometricmodelresource\lexical\ifcgeometricset.htm</t>
  </si>
  <si>
    <t>\ifcproductextension\lexical\ifcgrid.htm</t>
  </si>
  <si>
    <t>\ifcgeometricconstraintresource\lexical\ifcgridaxis.htm</t>
  </si>
  <si>
    <t>\ifcgeometricconstraintresource\lexical\ifcgridplacement.htm</t>
  </si>
  <si>
    <t>\ifckernel\lexical\ifcgroup.htm</t>
  </si>
  <si>
    <t>\ifcgeometricmodelresource\lexical\ifchalfspacesolid.htm</t>
  </si>
  <si>
    <t>\ifchvacdomain\lexical\ifcheatexchangertype.htm</t>
  </si>
  <si>
    <t>\ifchvacdomain\lexical\ifchumidifiertype.htm</t>
  </si>
  <si>
    <t>\ifcmaterialpropertyresource\lexical\ifchygroscopicmaterialproperties.htm</t>
  </si>
  <si>
    <t>\ifcprofileresource\lexical\ifcishapeprofiledef.htm</t>
  </si>
  <si>
    <t>\ifcpresentationappearanceresource\lexical\ifcimagetexture.htm</t>
  </si>
  <si>
    <t>\ifcsharedfacilitieselements\lexical\ifcinventory.htm</t>
  </si>
  <si>
    <t>\ifctimeseriesresource\lexical\ifcirregulartimeseries.htm</t>
  </si>
  <si>
    <t>\ifctimeseriesresource\lexical\ifcirregulartimeseriesvalue.htm</t>
  </si>
  <si>
    <t>\ifcelectricaldomain\lexical\ifcjunctionboxtype.htm</t>
  </si>
  <si>
    <t>\ifcprofileresource\lexical\ifclshapeprofiledef.htm</t>
  </si>
  <si>
    <t>\ifcconstructionmgmtdomain\lexical\ifclaborresource.htm</t>
  </si>
  <si>
    <t>\ifcelectricaldomain\lexical\ifclamptype.htm</t>
  </si>
  <si>
    <t>\ifcexternalreferenceresource\lexical\ifclibraryinformation.htm</t>
  </si>
  <si>
    <t>\ifcexternalreferenceresource\lexical\ifclibraryreference.htm</t>
  </si>
  <si>
    <t>\ifcpresentationorganizationresource\lexical\ifclightdistributiondata.htm</t>
  </si>
  <si>
    <t>\ifcelectricaldomain\lexical\ifclightfixturetype.htm</t>
  </si>
  <si>
    <t>\ifcpresentationorganizationresource\lexical\ifclightintensitydistribution.htm</t>
  </si>
  <si>
    <t>\ifcpresentationorganizationresource\lexical\ifclightsource.htm</t>
  </si>
  <si>
    <t>\ifcpresentationorganizationresource\lexical\ifclightsourceambient.htm</t>
  </si>
  <si>
    <t>\ifcpresentationorganizationresource\lexical\ifclightsourcedirectional.htm</t>
  </si>
  <si>
    <t>\ifcpresentationorganizationresource\lexical\ifclightsourcegoniometric.htm</t>
  </si>
  <si>
    <t>\ifcpresentationorganizationresource\lexical\ifclightsourcepositional.htm</t>
  </si>
  <si>
    <t>\ifcpresentationorganizationresource\lexical\ifclightsourcespot.htm</t>
  </si>
  <si>
    <t>\ifcgeometryresource\lexical\ifcline.htm</t>
  </si>
  <si>
    <t>\ifcpresentationdimensioningresource\lexical\ifclineardimension.htm</t>
  </si>
  <si>
    <t>\ifcgeometricconstraintresource\lexical\ifclocalplacement.htm</t>
  </si>
  <si>
    <t>\ifcdatetimeresource\lexical\ifclocaltime.htm</t>
  </si>
  <si>
    <t>\ifctopologyresource\lexical\ifcloop.htm</t>
  </si>
  <si>
    <t>\ifcgeometricmodelresource\lexical\ifcmanifoldsolidbrep.htm</t>
  </si>
  <si>
    <t>\ifcgeometryresource\lexical\ifcmappeditem.htm</t>
  </si>
  <si>
    <t>\ifcmaterialresource\lexical\ifcmaterial.htm</t>
  </si>
  <si>
    <t>\ifcmaterialresource\lexical\ifcmaterialclassificationrelationship.htm</t>
  </si>
  <si>
    <t>\ifcrepresentationresource\lexical\ifcmaterialdefinitionrepresentation.htm</t>
  </si>
  <si>
    <t>\ifcmaterialresource\lexical\ifcmateriallayer.htm</t>
  </si>
  <si>
    <t>\ifcmaterialresource\lexical\ifcmateriallayerset.htm</t>
  </si>
  <si>
    <t>\ifcmaterialresource\lexical\ifcmateriallayersetusage.htm</t>
  </si>
  <si>
    <t>\ifcmaterialresource\lexical\ifcmateriallist.htm</t>
  </si>
  <si>
    <t>\ifcmaterialpropertyresource\lexical\ifcmaterialproperties.htm</t>
  </si>
  <si>
    <t>\ifcmeasureresource\lexical\ifcmeasurewithunit.htm</t>
  </si>
  <si>
    <t>\ifcmaterialpropertyresource\lexical\ifcmechanicalconcretematerialproperties.htm</t>
  </si>
  <si>
    <t>\ifcsharedcomponentelements\lexical\ifcmechanicalfastener.htm</t>
  </si>
  <si>
    <t>\ifcsharedcomponentelements\lexical\ifcmechanicalfastenertype.htm</t>
  </si>
  <si>
    <t>\ifcmaterialpropertyresource\lexical\ifcmechanicalmaterialproperties.htm</t>
  </si>
  <si>
    <t>\ifcmaterialpropertyresource\lexical\ifcmechanicalsteelmaterialproperties.htm</t>
  </si>
  <si>
    <t>\ifcsharedbldgelements\lexical\ifcmember.htm</t>
  </si>
  <si>
    <t>\ifcsharedbldgelements\lexical\ifcmembertype.htm</t>
  </si>
  <si>
    <t>\ifcconstraintresource\lexical\ifcmetric.htm</t>
  </si>
  <si>
    <t>\ifcmeasureresource\lexical\ifcmonetaryunit.htm</t>
  </si>
  <si>
    <t>\ifcelectricaldomain\lexical\ifcmotorconnectiontype.htm</t>
  </si>
  <si>
    <t>\ifcfacilitiesmgmtdomain\lexical\ifcmove.htm</t>
  </si>
  <si>
    <t>\ifcmeasureresource\lexical\ifcnamedunit.htm</t>
  </si>
  <si>
    <t>\ifckernel\lexical\ifcobject.htm</t>
  </si>
  <si>
    <t>\ifckernel\lexical\ifcobjectdefinition.htm</t>
  </si>
  <si>
    <t>\ifcgeometricconstraintresource\lexical\ifcobjectplacement.htm</t>
  </si>
  <si>
    <t>\ifcconstraintresource\lexical\ifcobjective.htm</t>
  </si>
  <si>
    <t>\ifcsharedfacilitieselements\lexical\ifcoccupant.htm</t>
  </si>
  <si>
    <t>\ifcgeometryresource\lexical\ifcoffsetcurve2d.htm</t>
  </si>
  <si>
    <t>\ifcgeometryresource\lexical\ifcoffsetcurve3d.htm</t>
  </si>
  <si>
    <t>\ifcpresentationappearanceresource\lexical\ifconedirectionrepeatfactor.htm</t>
  </si>
  <si>
    <t>\ifctopologyresource\lexical\ifcopenshell.htm</t>
  </si>
  <si>
    <t>\ifcproductextension\lexical\ifcopeningelement.htm</t>
  </si>
  <si>
    <t>\ifcmaterialpropertyresource\lexical\ifcopticalmaterialproperties.htm</t>
  </si>
  <si>
    <t>\ifcfacilitiesmgmtdomain\lexical\ifcorderaction.htm</t>
  </si>
  <si>
    <t>\ifcactorresource\lexical\ifcorganization.htm</t>
  </si>
  <si>
    <t>\ifcactorresource\lexical\ifcorganizationrelationship.htm</t>
  </si>
  <si>
    <t>\ifctopologyresource\lexical\ifcorientededge.htm</t>
  </si>
  <si>
    <t>\ifcelectricaldomain\lexical\ifcoutlettype.htm</t>
  </si>
  <si>
    <t>\ifcutilityresource\lexical\ifcownerhistory.htm</t>
  </si>
  <si>
    <t>\ifcprofileresource\lexical\ifcparameterizedprofiledef.htm</t>
  </si>
  <si>
    <t>\ifctopologyresource\lexical\ifcpath.htm</t>
  </si>
  <si>
    <t>\ifccontrolextension\lexical\ifcperformancehistory.htm</t>
  </si>
  <si>
    <t>\ifcarchitecturedomain\lexical\ifcpermeablecoveringproperties.htm</t>
  </si>
  <si>
    <t>\ifcfacilitiesmgmtdomain\lexical\ifcpermit.htm</t>
  </si>
  <si>
    <t>\ifcactorresource\lexical\ifcperson.htm</t>
  </si>
  <si>
    <t>\ifcactorresource\lexical\ifcpersonandorganization.htm</t>
  </si>
  <si>
    <t>\ifcquantityresource\lexical\ifcphysicalcomplexquantity.htm</t>
  </si>
  <si>
    <t>\ifcquantityresource\lexical\ifcphysicalquantity.htm</t>
  </si>
  <si>
    <t>\ifcquantityresource\lexical\ifcphysicalsimplequantity.htm</t>
  </si>
  <si>
    <t>\ifcstructuralelementsdomain\lexical\ifcpile.htm</t>
  </si>
  <si>
    <t>\ifchvacdomain\lexical\ifcpipefittingtype.htm</t>
  </si>
  <si>
    <t>\ifchvacdomain\lexical\ifcpipesegmenttype.htm</t>
  </si>
  <si>
    <t>\ifcpresentationappearanceresource\lexical\ifcpixeltexture.htm</t>
  </si>
  <si>
    <t>\ifcgeometryresource\lexical\ifcplacement.htm</t>
  </si>
  <si>
    <t>\ifcpresentationresource\lexical\ifcplanarbox.htm</t>
  </si>
  <si>
    <t>\ifcpresentationresource\lexical\ifcplanarextent.htm</t>
  </si>
  <si>
    <t>\ifcgeometryresource\lexical\ifcplane.htm</t>
  </si>
  <si>
    <t>\ifcsharedbldgelements\lexical\ifcplate.htm</t>
  </si>
  <si>
    <t>\ifcsharedbldgelements\lexical\ifcplatetype.htm</t>
  </si>
  <si>
    <t>\ifcgeometryresource\lexical\ifcpoint.htm</t>
  </si>
  <si>
    <t>\ifcgeometryresource\lexical\ifcpointoncurve.htm</t>
  </si>
  <si>
    <t>\ifcgeometryresource\lexical\ifcpointonsurface.htm</t>
  </si>
  <si>
    <t>\ifctopologyresource\lexical\ifcpolyloop.htm</t>
  </si>
  <si>
    <t>\ifcgeometricmodelresource\lexical\ifcpolygonalboundedhalfspace.htm</t>
  </si>
  <si>
    <t>\ifcgeometryresource\lexical\ifcpolyline.htm</t>
  </si>
  <si>
    <t>\ifcproductextension\lexical\ifcport.htm</t>
  </si>
  <si>
    <t>\ifcactorresource\lexical\ifcpostaladdress.htm</t>
  </si>
  <si>
    <t>\ifcpresentationresource\lexical\ifcpredefinedcolour.htm</t>
  </si>
  <si>
    <t>\ifcpresentationappearanceresource\lexical\ifcpredefinedcurvefont.htm</t>
  </si>
  <si>
    <t>\ifcpresentationdimensioningresource\lexical\ifcpredefineddimensionsymbol.htm</t>
  </si>
  <si>
    <t>\ifcpresentationresource\lexical\ifcpredefineditem.htm</t>
  </si>
  <si>
    <t>\ifcpresentationdimensioningresource\lexical\ifcpredefinedpointmarkersymbol.htm</t>
  </si>
  <si>
    <t>\ifcpresentationdefinitionresource\lexical\ifcpredefinedsymbol.htm</t>
  </si>
  <si>
    <t>\ifcpresentationdimensioningresource\lexical\ifcpredefinedterminatorsymbol.htm</t>
  </si>
  <si>
    <t>\ifcpresentationresource\lexical\ifcpredefinedtextfont.htm</t>
  </si>
  <si>
    <t>\ifcpresentationorganizationresource\lexical\ifcpresentationlayerassignment.htm</t>
  </si>
  <si>
    <t>\ifcpresentationorganizationresource\lexical\ifcpresentationlayerwithstyle.htm</t>
  </si>
  <si>
    <t>\ifcpresentationappearanceresource\lexical\ifcpresentationstyle.htm</t>
  </si>
  <si>
    <t>\ifcpresentationappearanceresource\lexical\ifcpresentationstyleassignment.htm</t>
  </si>
  <si>
    <t>\ifcprocessextension\lexical\ifcprocedure.htm</t>
  </si>
  <si>
    <t>\ifckernel\lexical\ifcprocess.htm</t>
  </si>
  <si>
    <t>\ifckernel\lexical\ifcproduct.htm</t>
  </si>
  <si>
    <t>\ifcrepresentationresource\lexical\ifcproductdefinitionshape.htm</t>
  </si>
  <si>
    <t>\ifcrepresentationresource\lexical\ifcproductrepresentation.htm</t>
  </si>
  <si>
    <t>\ifcmaterialpropertyresource\lexical\ifcproductsofcombustionproperties.htm</t>
  </si>
  <si>
    <t>\ifcprofileresource\lexical\ifcprofiledef.htm</t>
  </si>
  <si>
    <t>\ifcprofilepropertyresource\lexical\ifcprofileproperties.htm</t>
  </si>
  <si>
    <t>\ifckernel\lexical\ifcproject.htm</t>
  </si>
  <si>
    <t>\ifcsharedmgmtelements\lexical\ifcprojectorder.htm</t>
  </si>
  <si>
    <t>\ifcsharedmgmtelements\lexical\ifcprojectorderrecord.htm</t>
  </si>
  <si>
    <t>\ifcpresentationdimensioningresource\lexical\ifcprojectioncurve.htm</t>
  </si>
  <si>
    <t>\ifcproductextension\lexical\ifcprojectionelement.htm</t>
  </si>
  <si>
    <t>\ifcpropertyresource\lexical\ifcproperty.htm</t>
  </si>
  <si>
    <t>\ifcpropertyresource\lexical\ifcpropertyboundedvalue.htm</t>
  </si>
  <si>
    <t>\ifcconstraintresource\lexical\ifcpropertyconstraintrelationship.htm</t>
  </si>
  <si>
    <t>\ifckernel\lexical\ifcpropertydefinition.htm</t>
  </si>
  <si>
    <t>\ifcpropertyresource\lexical\ifcpropertydependencyrelationship.htm</t>
  </si>
  <si>
    <t>\ifcpropertyresource\lexical\ifcpropertyenumeratedvalue.htm</t>
  </si>
  <si>
    <t>\ifcpropertyresource\lexical\ifcpropertyenumeration.htm</t>
  </si>
  <si>
    <t>\ifcpropertyresource\lexical\ifcpropertylistvalue.htm</t>
  </si>
  <si>
    <t>\ifcpropertyresource\lexical\ifcpropertyreferencevalue.htm</t>
  </si>
  <si>
    <t>\ifckernel\lexical\ifcpropertyset.htm</t>
  </si>
  <si>
    <t>\ifckernel\lexical\ifcpropertysetdefinition.htm</t>
  </si>
  <si>
    <t>\ifcpropertyresource\lexical\ifcpropertysinglevalue.htm</t>
  </si>
  <si>
    <t>\ifcpropertyresource\lexical\ifcpropertytablevalue.htm</t>
  </si>
  <si>
    <t>\ifcelectricaldomain\lexical\ifcprotectivedevicetype.htm</t>
  </si>
  <si>
    <t>\ifckernel\lexical\ifcproxy.htm</t>
  </si>
  <si>
    <t>\ifchvacdomain\lexical\ifcpumptype.htm</t>
  </si>
  <si>
    <t>\ifcquantityresource\lexical\ifcquantityarea.htm</t>
  </si>
  <si>
    <t>\ifcquantityresource\lexical\ifcquantitycount.htm</t>
  </si>
  <si>
    <t>\ifcquantityresource\lexical\ifcquantitylength.htm</t>
  </si>
  <si>
    <t>\ifcquantityresource\lexical\ifcquantitytime.htm</t>
  </si>
  <si>
    <t>\ifcquantityresource\lexical\ifcquantityvolume.htm</t>
  </si>
  <si>
    <t>\ifcquantityresource\lexical\ifcquantityweight.htm</t>
  </si>
  <si>
    <t>\ifcpresentationdimensioningresource\lexical\ifcradiusdimension.htm</t>
  </si>
  <si>
    <t>\ifcsharedbldgelements\lexical\ifcrailing.htm</t>
  </si>
  <si>
    <t>\ifcsharedbldgelements\lexical\ifcrailingtype.htm</t>
  </si>
  <si>
    <t>\ifcsharedbldgelements\lexical\ifcramp.htm</t>
  </si>
  <si>
    <t>\ifcsharedbldgelements\lexical\ifcrampflight.htm</t>
  </si>
  <si>
    <t>\ifcsharedbldgelements\lexical\ifcrampflighttype.htm</t>
  </si>
  <si>
    <t>\ifcgeometryresource\lexical\ifcrationalbeziercurve.htm</t>
  </si>
  <si>
    <t>\ifcprofileresource\lexical\ifcrectanglehollowprofiledef.htm</t>
  </si>
  <si>
    <t>\ifcprofileresource\lexical\ifcrectangleprofiledef.htm</t>
  </si>
  <si>
    <t>\ifcgeometricmodelresource\lexical\ifcrectangularpyramid.htm</t>
  </si>
  <si>
    <t>\ifcgeometryresource\lexical\ifcrectangulartrimmedsurface.htm</t>
  </si>
  <si>
    <t>\ifccostresource\lexical\ifcreferencesvaluedocument.htm</t>
  </si>
  <si>
    <t>\ifctimeseriesresource\lexical\ifcregulartimeseries.htm</t>
  </si>
  <si>
    <t>\ifcprofilepropertyresource\lexical\ifcreinforcementbarproperties.htm</t>
  </si>
  <si>
    <t>\ifcstructuralelementsdomain\lexical\ifcreinforcementdefinitionproperties.htm</t>
  </si>
  <si>
    <t>\ifcstructuralelementsdomain\lexical\ifcreinforcingbar.htm</t>
  </si>
  <si>
    <t>\ifcstructuralelementsdomain\lexical\ifcreinforcingelement.htm</t>
  </si>
  <si>
    <t>\ifcstructuralelementsdomain\lexical\ifcreinforcingmesh.htm</t>
  </si>
  <si>
    <t>\ifckernel\lexical\ifcrelaggregates.htm</t>
  </si>
  <si>
    <t>\ifckernel\lexical\ifcrelassigns.htm</t>
  </si>
  <si>
    <t>\ifcprocessextension\lexical\ifcrelassignstasks.htm</t>
  </si>
  <si>
    <t>\ifckernel\lexical\ifcrelassignstoactor.htm</t>
  </si>
  <si>
    <t>\ifckernel\lexical\ifcrelassignstocontrol.htm</t>
  </si>
  <si>
    <t>\ifckernel\lexical\ifcrelassignstogroup.htm</t>
  </si>
  <si>
    <t>\ifckernel\lexical\ifcrelassignstoprocess.htm</t>
  </si>
  <si>
    <t>\ifckernel\lexical\ifcrelassignstoproduct.htm</t>
  </si>
  <si>
    <t>\ifcsharedmgmtelements\lexical\ifcrelassignstoprojectorder.htm</t>
  </si>
  <si>
    <t>\ifckernel\lexical\ifcrelassignstoresource.htm</t>
  </si>
  <si>
    <t>\ifckernel\lexical\ifcrelassociates.htm</t>
  </si>
  <si>
    <t>\ifcsharedmgmtelements\lexical\ifcrelassociatesappliedvalue.htm</t>
  </si>
  <si>
    <t>\ifccontrolextension\lexical\ifcrelassociatesapproval.htm</t>
  </si>
  <si>
    <t>\ifckernel\lexical\ifcrelassociatesclassification.htm</t>
  </si>
  <si>
    <t>\ifccontrolextension\lexical\ifcrelassociatesconstraint.htm</t>
  </si>
  <si>
    <t>\ifckernel\lexical\ifcrelassociatesdocument.htm</t>
  </si>
  <si>
    <t>\ifckernel\lexical\ifcrelassociateslibrary.htm</t>
  </si>
  <si>
    <t>\ifcproductextension\lexical\ifcrelassociatesmaterial.htm</t>
  </si>
  <si>
    <t>\ifcstructuralanalysisdomain\lexical\ifcrelassociatesprofileproperties.htm</t>
  </si>
  <si>
    <t>\ifckernel\lexical\ifcrelconnects.htm</t>
  </si>
  <si>
    <t>\ifcproductextension\lexical\ifcrelconnectselements.htm</t>
  </si>
  <si>
    <t>\ifcsharedbldgelements\lexical\ifcrelconnectspathelements.htm</t>
  </si>
  <si>
    <t>\ifcproductextension\lexical\ifcrelconnectsporttoelement.htm</t>
  </si>
  <si>
    <t>\ifcproductextension\lexical\ifcrelconnectsports.htm</t>
  </si>
  <si>
    <t>\ifcstructuralanalysisdomain\lexical\ifcrelconnectsstructuralactivity.htm</t>
  </si>
  <si>
    <t>\ifcstructuralanalysisdomain\lexical\ifcrelconnectsstructuralelement.htm</t>
  </si>
  <si>
    <t>\ifcstructuralanalysisdomain\lexical\ifcrelconnectsstructuralmember.htm</t>
  </si>
  <si>
    <t>\ifcstructuralanalysisdomain\lexical\ifcrelconnectswitheccentricity.htm</t>
  </si>
  <si>
    <t>\ifcproductextension\lexical\ifcrelconnectswithrealizingelements.htm</t>
  </si>
  <si>
    <t>\ifcproductextension\lexical\ifcrelcontainedinspatialstructure.htm</t>
  </si>
  <si>
    <t>\ifcproductextension\lexical\ifcrelcoversbldgelements.htm</t>
  </si>
  <si>
    <t>\ifcproductextension\lexical\ifcrelcoversspaces.htm</t>
  </si>
  <si>
    <t>\ifckernel\lexical\ifcreldecomposes.htm</t>
  </si>
  <si>
    <t>\ifckernel\lexical\ifcreldefines.htm</t>
  </si>
  <si>
    <t>\ifckernel\lexical\ifcreldefinesbyproperties.htm</t>
  </si>
  <si>
    <t>\ifckernel\lexical\ifcreldefinesbytype.htm</t>
  </si>
  <si>
    <t>\ifcproductextension\lexical\ifcrelfillselement.htm</t>
  </si>
  <si>
    <t>\ifcsharedbldgserviceelements\lexical\ifcrelflowcontrolelements.htm</t>
  </si>
  <si>
    <t>\ifcarchitecturedomain\lexical\ifcrelinteractionrequirements.htm</t>
  </si>
  <si>
    <t>\ifckernel\lexical\ifcrelnests.htm</t>
  </si>
  <si>
    <t>\ifcsharedfacilitieselements\lexical\ifcreloccupiesspaces.htm</t>
  </si>
  <si>
    <t>\ifckernel\lexical\ifcreloverridesproperties.htm</t>
  </si>
  <si>
    <t>\ifcproductextension\lexical\ifcrelprojectselement.htm</t>
  </si>
  <si>
    <t>\ifcproductextension\lexical\ifcrelreferencedinspatialstructure.htm</t>
  </si>
  <si>
    <t>\ifcsharedmgmtelements\lexical\ifcrelschedulescostitems.htm</t>
  </si>
  <si>
    <t>\ifckernel\lexical\ifcrelsequence.htm</t>
  </si>
  <si>
    <t>\ifcproductextension\lexical\ifcrelservicesbuildings.htm</t>
  </si>
  <si>
    <t>\ifcproductextension\lexical\ifcrelspaceboundary.htm</t>
  </si>
  <si>
    <t>\ifcproductextension\lexical\ifcrelvoidselement.htm</t>
  </si>
  <si>
    <t>\ifckernel\lexical\ifcrelationship.htm</t>
  </si>
  <si>
    <t>\ifcmaterialpropertyresource\lexical\ifcrelaxation.htm</t>
  </si>
  <si>
    <t>\ifcrepresentationresource\lexical\ifcrepresentation.htm</t>
  </si>
  <si>
    <t>\ifcrepresentationresource\lexical\ifcrepresentationcontext.htm</t>
  </si>
  <si>
    <t>\ifcgeometryresource\lexical\ifcrepresentationitem.htm</t>
  </si>
  <si>
    <t>\ifcgeometryresource\lexical\ifcrepresentationmap.htm</t>
  </si>
  <si>
    <t>\ifckernel\lexical\ifcresource.htm</t>
  </si>
  <si>
    <t>\ifcgeometricmodelresource\lexical\ifcrevolvedareasolid.htm</t>
  </si>
  <si>
    <t>\ifcprofilepropertyresource\lexical\ifcribplateprofileproperties.htm</t>
  </si>
  <si>
    <t>\ifcgeometricmodelresource\lexical\ifcrightcircularcone.htm</t>
  </si>
  <si>
    <t>\ifcgeometricmodelresource\lexical\ifcrightcircularcylinder.htm</t>
  </si>
  <si>
    <t>\ifcsharedbldgelements\lexical\ifcroof.htm</t>
  </si>
  <si>
    <t>\ifckernel\lexical\ifcroot.htm</t>
  </si>
  <si>
    <t>\ifcsharedcomponentelements\lexical\ifcroundededgefeature.htm</t>
  </si>
  <si>
    <t>\ifcprofileresource\lexical\ifcroundedrectangleprofiledef.htm</t>
  </si>
  <si>
    <t>\ifcmeasureresource\lexical\ifcsiunit.htm</t>
  </si>
  <si>
    <t>\ifcplumbingfireprotectiondomain\lexical\ifcsanitaryterminaltype.htm</t>
  </si>
  <si>
    <t>\ifcprocessextension\lexical\ifcscheduletimecontrol.htm</t>
  </si>
  <si>
    <t>\ifcprofilepropertyresource\lexical\ifcsectionproperties.htm</t>
  </si>
  <si>
    <t>\ifcprofilepropertyresource\lexical\ifcsectionreinforcementproperties.htm</t>
  </si>
  <si>
    <t>\ifcgeometricmodelresource\lexical\ifcsectionedspine.htm</t>
  </si>
  <si>
    <t>\ifcbuildingcontrolsdomain\lexical\ifcsensortype.htm</t>
  </si>
  <si>
    <t>\ifcsharedfacilitieselements\lexical\ifcservicelife.htm</t>
  </si>
  <si>
    <t>\ifcsharedfacilitieselements\lexical\ifcservicelifefactor.htm</t>
  </si>
  <si>
    <t>\ifcrepresentationresource\lexical\ifcshapeaspect.htm</t>
  </si>
  <si>
    <t>\ifcrepresentationresource\lexical\ifcshapemodel.htm</t>
  </si>
  <si>
    <t>\ifcrepresentationresource\lexical\ifcshaperepresentation.htm</t>
  </si>
  <si>
    <t>\ifcgeometricmodelresource\lexical\ifcshellbasedsurfacemodel.htm</t>
  </si>
  <si>
    <t>\ifcpropertyresource\lexical\ifcsimpleproperty.htm</t>
  </si>
  <si>
    <t>\ifcproductextension\lexical\ifcsite.htm</t>
  </si>
  <si>
    <t>\ifcsharedbldgelements\lexical\ifcslab.htm</t>
  </si>
  <si>
    <t>\ifcsharedbldgelements\lexical\ifcslabtype.htm</t>
  </si>
  <si>
    <t>\ifcstructuralloadresource\lexical\ifcslippageconnectioncondition.htm</t>
  </si>
  <si>
    <t>\ifcgeometricmodelresource\lexical\ifcsolidmodel.htm</t>
  </si>
  <si>
    <t>\ifcsharedbldgserviceelements\lexical\ifcsoundproperties.htm</t>
  </si>
  <si>
    <t>\ifcsharedbldgserviceelements\lexical\ifcsoundvalue.htm</t>
  </si>
  <si>
    <t>\ifcproductextension\lexical\ifcspace.htm</t>
  </si>
  <si>
    <t>\ifchvacdomain\lexical\ifcspaceheatertype.htm</t>
  </si>
  <si>
    <t>\ifcarchitecturedomain\lexical\ifcspaceprogram.htm</t>
  </si>
  <si>
    <t>\ifcsharedbldgserviceelements\lexical\ifcspacethermalloadproperties.htm</t>
  </si>
  <si>
    <t>\ifcproductextension\lexical\ifcspacetype.htm</t>
  </si>
  <si>
    <t>\ifcproductextension\lexical\ifcspatialstructureelement.htm</t>
  </si>
  <si>
    <t>\ifcproductextension\lexical\ifcspatialstructureelementtype.htm</t>
  </si>
  <si>
    <t>\ifcgeometricmodelresource\lexical\ifcsphere.htm</t>
  </si>
  <si>
    <t>\ifcplumbingfireprotectiondomain\lexical\ifcstackterminaltype.htm</t>
  </si>
  <si>
    <t>\ifcsharedbldgelements\lexical\ifcstair.htm</t>
  </si>
  <si>
    <t>\ifcsharedbldgelements\lexical\ifcstairflight.htm</t>
  </si>
  <si>
    <t>\ifcsharedbldgelements\lexical\ifcstairflighttype.htm</t>
  </si>
  <si>
    <t>\ifcstructuralanalysisdomain\lexical\ifcstructuralaction.htm</t>
  </si>
  <si>
    <t>\ifcstructuralanalysisdomain\lexical\ifcstructuralactivity.htm</t>
  </si>
  <si>
    <t>\ifcstructuralanalysisdomain\lexical\ifcstructuralanalysismodel.htm</t>
  </si>
  <si>
    <t>\ifcstructuralanalysisdomain\lexical\ifcstructuralconnection.htm</t>
  </si>
  <si>
    <t>\ifcstructuralloadresource\lexical\ifcstructuralconnectioncondition.htm</t>
  </si>
  <si>
    <t>\ifcstructuralanalysisdomain\lexical\ifcstructuralcurveconnection.htm</t>
  </si>
  <si>
    <t>\ifcstructuralanalysisdomain\lexical\ifcstructuralcurvemember.htm</t>
  </si>
  <si>
    <t>\ifcstructuralanalysisdomain\lexical\ifcstructuralcurvemembervarying.htm</t>
  </si>
  <si>
    <t>\ifcstructuralanalysisdomain\lexical\ifcstructuralitem.htm</t>
  </si>
  <si>
    <t>\ifcstructuralanalysisdomain\lexical\ifcstructurallinearaction.htm</t>
  </si>
  <si>
    <t>\ifcstructuralanalysisdomain\lexical\ifcstructurallinearactionvarying.htm</t>
  </si>
  <si>
    <t>\ifcstructuralloadresource\lexical\ifcstructuralload.htm</t>
  </si>
  <si>
    <t>\ifcstructuralanalysisdomain\lexical\ifcstructuralloadgroup.htm</t>
  </si>
  <si>
    <t>\ifcstructuralloadresource\lexical\ifcstructuralloadlinearforce.htm</t>
  </si>
  <si>
    <t>\ifcstructuralloadresource\lexical\ifcstructuralloadplanarforce.htm</t>
  </si>
  <si>
    <t>\ifcstructuralloadresource\lexical\ifcstructuralloadsingledisplacement.htm</t>
  </si>
  <si>
    <t>\ifcstructuralloadresource\lexical\ifcstructuralloadsingledisplacementdistortion.htm</t>
  </si>
  <si>
    <t>\ifcstructuralloadresource\lexical\ifcstructuralloadsingleforce.htm</t>
  </si>
  <si>
    <t>\ifcstructuralloadresource\lexical\ifcstructuralloadsingleforcewarping.htm</t>
  </si>
  <si>
    <t>\ifcstructuralloadresource\lexical\ifcstructuralloadstatic.htm</t>
  </si>
  <si>
    <t>\ifcstructuralloadresource\lexical\ifcstructuralloadtemperature.htm</t>
  </si>
  <si>
    <t>\ifcstructuralanalysisdomain\lexical\ifcstructuralmember.htm</t>
  </si>
  <si>
    <t>\ifcstructuralanalysisdomain\lexical\ifcstructuralplanaraction.htm</t>
  </si>
  <si>
    <t>\ifcstructuralanalysisdomain\lexical\ifcstructuralplanaractionvarying.htm</t>
  </si>
  <si>
    <t>\ifcstructuralanalysisdomain\lexical\ifcstructuralpointaction.htm</t>
  </si>
  <si>
    <t>\ifcstructuralanalysisdomain\lexical\ifcstructuralpointconnection.htm</t>
  </si>
  <si>
    <t>\ifcstructuralanalysisdomain\lexical\ifcstructuralpointreaction.htm</t>
  </si>
  <si>
    <t>\ifcprofilepropertyresource\lexical\ifcstructuralprofileproperties.htm</t>
  </si>
  <si>
    <t>\ifcstructuralanalysisdomain\lexical\ifcstructuralreaction.htm</t>
  </si>
  <si>
    <t>\ifcstructuralanalysisdomain\lexical\ifcstructuralresultgroup.htm</t>
  </si>
  <si>
    <t>\ifcprofilepropertyresource\lexical\ifcstructuralsteelprofileproperties.htm</t>
  </si>
  <si>
    <t>\ifcstructuralanalysisdomain\lexical\ifcstructuralsurfaceconnection.htm</t>
  </si>
  <si>
    <t>\ifcstructuralanalysisdomain\lexical\ifcstructuralsurfacemember.htm</t>
  </si>
  <si>
    <t>\ifcstructuralanalysisdomain\lexical\ifcstructuralsurfacemembervarying.htm</t>
  </si>
  <si>
    <t>\ifcpresentationdimensioningresource\lexical\ifcstructureddimensioncallout.htm</t>
  </si>
  <si>
    <t>\ifcrepresentationresource\lexical\ifcstylemodel.htm</t>
  </si>
  <si>
    <t>\ifcpresentationappearanceresource\lexical\ifcstyleditem.htm</t>
  </si>
  <si>
    <t>\ifcrepresentationresource\lexical\ifcstyledrepresentation.htm</t>
  </si>
  <si>
    <t>\ifcconstructionmgmtdomain\lexical\ifcsubcontractresource.htm</t>
  </si>
  <si>
    <t>\ifctopologyresource\lexical\ifcsubedge.htm</t>
  </si>
  <si>
    <t>\ifcgeometryresource\lexical\ifcsurface.htm</t>
  </si>
  <si>
    <t>\ifcgeometricmodelresource\lexical\ifcsurfacecurvesweptareasolid.htm</t>
  </si>
  <si>
    <t>\ifcgeometryresource\lexical\ifcsurfaceoflinearextrusion.htm</t>
  </si>
  <si>
    <t>\ifcgeometryresource\lexical\ifcsurfaceofrevolution.htm</t>
  </si>
  <si>
    <t>\ifcpresentationappearanceresource\lexical\ifcsurfacestyle.htm</t>
  </si>
  <si>
    <t>\ifcpresentationappearanceresource\lexical\ifcsurfacestylelighting.htm</t>
  </si>
  <si>
    <t>\ifcpresentationappearanceresource\lexical\ifcsurfacestylerefraction.htm</t>
  </si>
  <si>
    <t>\ifcpresentationappearanceresource\lexical\ifcsurfacestylerendering.htm</t>
  </si>
  <si>
    <t>\ifcpresentationappearanceresource\lexical\ifcsurfacestyleshading.htm</t>
  </si>
  <si>
    <t>\ifcpresentationappearanceresource\lexical\ifcsurfacestylewithtextures.htm</t>
  </si>
  <si>
    <t>\ifcpresentationappearanceresource\lexical\ifcsurfacetexture.htm</t>
  </si>
  <si>
    <t>\ifcgeometricmodelresource\lexical\ifcsweptareasolid.htm</t>
  </si>
  <si>
    <t>\ifcgeometricmodelresource\lexical\ifcsweptdisksolid.htm</t>
  </si>
  <si>
    <t>\ifcgeometryresource\lexical\ifcsweptsurface.htm</t>
  </si>
  <si>
    <t>\ifcelectricaldomain\lexical\ifcswitchingdevicetype.htm</t>
  </si>
  <si>
    <t>\ifcpresentationappearanceresource\lexical\ifcsymbolstyle.htm</t>
  </si>
  <si>
    <t>\ifcproductextension\lexical\ifcsystem.htm</t>
  </si>
  <si>
    <t>\ifcsharedfacilitieselements\lexical\ifcsystemfurnitureelementtype.htm</t>
  </si>
  <si>
    <t>\ifcprofileresource\lexical\ifctshapeprofiledef.htm</t>
  </si>
  <si>
    <t>\ifcutilityresource\lexical\ifctable.htm</t>
  </si>
  <si>
    <t>\ifcutilityresource\lexical\ifctablerow.htm</t>
  </si>
  <si>
    <t>\ifchvacdomain\lexical\ifctanktype.htm</t>
  </si>
  <si>
    <t>\ifcprocessextension\lexical\ifctask.htm</t>
  </si>
  <si>
    <t>\ifcactorresource\lexical\ifctelecomaddress.htm</t>
  </si>
  <si>
    <t>\ifcstructuralelementsdomain\lexical\ifctendon.htm</t>
  </si>
  <si>
    <t>\ifcstructuralelementsdomain\lexical\ifctendonanchor.htm</t>
  </si>
  <si>
    <t>\ifcpresentationdimensioningresource\lexical\ifcterminatorsymbol.htm</t>
  </si>
  <si>
    <t>\ifcpresentationdefinitionresource\lexical\ifctextliteral.htm</t>
  </si>
  <si>
    <t>\ifcpresentationdefinitionresource\lexical\ifctextliteralwithextent.htm</t>
  </si>
  <si>
    <t>\ifcpresentationappearanceresource\lexical\ifctextstyle.htm</t>
  </si>
  <si>
    <t>\ifcpresentationresource\lexical\ifctextstylefontmodel.htm</t>
  </si>
  <si>
    <t>\ifcpresentationappearanceresource\lexical\ifctextstylefordefinedfont.htm</t>
  </si>
  <si>
    <t>\ifcpresentationappearanceresource\lexical\ifctextstyletextmodel.htm</t>
  </si>
  <si>
    <t>\ifcpresentationappearanceresource\lexical\ifctextstylewithboxcharacteristics.htm</t>
  </si>
  <si>
    <t>\ifcpresentationdefinitionresource\lexical\ifctexturecoordinate.htm</t>
  </si>
  <si>
    <t>\ifcpresentationdefinitionresource\lexical\ifctexturecoordinategenerator.htm</t>
  </si>
  <si>
    <t>\ifcpresentationdefinitionresource\lexical\ifctexturemap.htm</t>
  </si>
  <si>
    <t>\ifcpresentationdefinitionresource\lexical\ifctexturevertex.htm</t>
  </si>
  <si>
    <t>\ifcmaterialpropertyresource\lexical\ifcthermalmaterialproperties.htm</t>
  </si>
  <si>
    <t>\ifctimeseriesresource\lexical\ifctimeseries.htm</t>
  </si>
  <si>
    <t>\ifctimeseriesresource\lexical\ifctimeseriesreferencerelationship.htm</t>
  </si>
  <si>
    <t>\ifccontrolextension\lexical\ifctimeseriesschedule.htm</t>
  </si>
  <si>
    <t>\ifctimeseriesresource\lexical\ifctimeseriesvalue.htm</t>
  </si>
  <si>
    <t>\ifctopologyresource\lexical\ifctopologicalrepresentationitem.htm</t>
  </si>
  <si>
    <t>\ifcrepresentationresource\lexical\ifctopologyrepresentation.htm</t>
  </si>
  <si>
    <t>\ifcelectricaldomain\lexical\ifctransformertype.htm</t>
  </si>
  <si>
    <t>\ifcproductextension\lexical\ifctransportelement.htm</t>
  </si>
  <si>
    <t>\ifcproductextension\lexical\ifctransportelementtype.htm</t>
  </si>
  <si>
    <t>\ifcprofileresource\lexical\ifctrapeziumprofiledef.htm</t>
  </si>
  <si>
    <t>\ifcgeometryresource\lexical\ifctrimmedcurve.htm</t>
  </si>
  <si>
    <t>\ifchvacdomain\lexical\ifctubebundletype.htm</t>
  </si>
  <si>
    <t>\ifcpresentationappearanceresource\lexical\ifctwodirectionrepeatfactor.htm</t>
  </si>
  <si>
    <t>\ifckernel\lexical\ifctypeobject.htm</t>
  </si>
  <si>
    <t>\ifckernel\lexical\ifctypeproduct.htm</t>
  </si>
  <si>
    <t>\ifcprofileresource\lexical\ifcushapeprofiledef.htm</t>
  </si>
  <si>
    <t>\ifcmeasureresource\lexical\ifcunitassignment.htm</t>
  </si>
  <si>
    <t>\ifchvacdomain\lexical\ifcunitaryequipmenttype.htm</t>
  </si>
  <si>
    <t>\ifchvacdomain\lexical\ifcvalvetype.htm</t>
  </si>
  <si>
    <t>\ifcgeometryresource\lexical\ifcvector.htm</t>
  </si>
  <si>
    <t>\ifctopologyresource\lexical\ifcvertex.htm</t>
  </si>
  <si>
    <t>\ifcpresentationdefinitionresource\lexical\ifcvertexbasedtexturemap.htm</t>
  </si>
  <si>
    <t>\ifctopologyresource\lexical\ifcvertexloop.htm</t>
  </si>
  <si>
    <t>\ifctopologyresource\lexical\ifcvertexpoint.htm</t>
  </si>
  <si>
    <t>\ifchvacdomain\lexical\ifcvibrationisolatortype.htm</t>
  </si>
  <si>
    <t>\ifcproductextension\lexical\ifcvirtualelement.htm</t>
  </si>
  <si>
    <t>\ifcgeometricconstraintresource\lexical\ifcvirtualgridintersection.htm</t>
  </si>
  <si>
    <t>\ifcsharedbldgelements\lexical\ifcwall.htm</t>
  </si>
  <si>
    <t>\ifcsharedbldgelements\lexical\ifcwallstandardcase.htm</t>
  </si>
  <si>
    <t>\ifcsharedbldgelements\lexical\ifcwalltype.htm</t>
  </si>
  <si>
    <t>\ifcplumbingfireprotectiondomain\lexical\ifcwasteterminaltype.htm</t>
  </si>
  <si>
    <t>\ifcmaterialpropertyresource\lexical\ifcwaterproperties.htm</t>
  </si>
  <si>
    <t>\ifcsharedbldgelements\lexical\ifcwindow.htm</t>
  </si>
  <si>
    <t>\ifcsharedbldgelements\lexical\ifcwindowliningproperties.htm</t>
  </si>
  <si>
    <t>\ifcsharedbldgelements\lexical\ifcwindowpanelproperties.htm</t>
  </si>
  <si>
    <t>\ifcsharedbldgelements\lexical\ifcwindowstyle.htm</t>
  </si>
  <si>
    <t>\ifcprocessextension\lexical\ifcworkcontrol.htm</t>
  </si>
  <si>
    <t>\ifcprocessextension\lexical\ifcworkplan.htm</t>
  </si>
  <si>
    <t>\ifcprocessextension\lexical\ifcworkschedule.htm</t>
  </si>
  <si>
    <t>\ifcprofileresource\lexical\ifczshapeprofiledef.htm</t>
  </si>
  <si>
    <t>\ifcproductextension\lexical\ifczone.htm</t>
  </si>
  <si>
    <t>\ifcmeasureresource\lexical\ifcabsorbeddosemeasure.htm</t>
  </si>
  <si>
    <t>\ifcmeasureresource\lexical\ifcaccelerationmeasure.htm</t>
  </si>
  <si>
    <t>\ifcmeasureresource\lexical\ifcamountofsubstancemeasure.htm</t>
  </si>
  <si>
    <t>\ifcmeasureresource\lexical\ifcangularvelocitymeasure.htm</t>
  </si>
  <si>
    <t>\ifcmeasureresource\lexical\ifcareameasure.htm</t>
  </si>
  <si>
    <t>\ifcmeasureresource\lexical\ifcboolean.htm</t>
  </si>
  <si>
    <t>\ifcpresentationdefinitionresource\lexical\ifcboxalignment.htm</t>
  </si>
  <si>
    <t>\ifcmeasureresource\lexical\ifccomplexnumber.htm</t>
  </si>
  <si>
    <t>\ifcmeasureresource\lexical\ifccompoundplaneanglemeasure.htm</t>
  </si>
  <si>
    <t>\ifcmeasureresource\lexical\ifccontextdependentmeasure.htm</t>
  </si>
  <si>
    <t>\ifcmeasureresource\lexical\ifccountmeasure.htm</t>
  </si>
  <si>
    <t>\ifcmeasureresource\lexical\ifccurvaturemeasure.htm</t>
  </si>
  <si>
    <t>\ifcdatetimeresource\lexical\ifcdayinmonthnumber.htm</t>
  </si>
  <si>
    <t>\ifcdatetimeresource\lexical\ifcdaylightsavinghour.htm</t>
  </si>
  <si>
    <t>\ifcmeasureresource\lexical\ifcdescriptivemeasure.htm</t>
  </si>
  <si>
    <t>\ifcgeometryresource\lexical\ifcdimensioncount.htm</t>
  </si>
  <si>
    <t>\ifcmeasureresource\lexical\ifcdoseequivalentmeasure.htm</t>
  </si>
  <si>
    <t>\ifcmeasureresource\lexical\ifcdynamicviscositymeasure.htm</t>
  </si>
  <si>
    <t>\ifcmeasureresource\lexical\ifcelectriccapacitancemeasure.htm</t>
  </si>
  <si>
    <t>\ifcmeasureresource\lexical\ifcelectricchargemeasure.htm</t>
  </si>
  <si>
    <t>\ifcmeasureresource\lexical\ifcelectricconductancemeasure.htm</t>
  </si>
  <si>
    <t>\ifcmeasureresource\lexical\ifcelectriccurrentmeasure.htm</t>
  </si>
  <si>
    <t>\ifcmeasureresource\lexical\ifcelectricresistancemeasure.htm</t>
  </si>
  <si>
    <t>\ifcmeasureresource\lexical\ifcelectricvoltagemeasure.htm</t>
  </si>
  <si>
    <t>\ifcmeasureresource\lexical\ifcenergymeasure.htm</t>
  </si>
  <si>
    <t>\ifcpresentationresource\lexical\ifcfontstyle.htm</t>
  </si>
  <si>
    <t>\ifcpresentationresource\lexical\ifcfontvariant.htm</t>
  </si>
  <si>
    <t>\ifcpresentationresource\lexical\ifcfontweight.htm</t>
  </si>
  <si>
    <t>\ifcmeasureresource\lexical\ifcforcemeasure.htm</t>
  </si>
  <si>
    <t>\ifcmeasureresource\lexical\ifcfrequencymeasure.htm</t>
  </si>
  <si>
    <t>\ifcutilityresource\lexical\ifcgloballyuniqueid.htm</t>
  </si>
  <si>
    <t>\ifcmeasureresource\lexical\ifcheatfluxdensitymeasure.htm</t>
  </si>
  <si>
    <t>\ifcmeasureresource\lexical\ifcheatingvaluemeasure.htm</t>
  </si>
  <si>
    <t>\ifcdatetimeresource\lexical\ifchourinday.htm</t>
  </si>
  <si>
    <t>\ifcmeasureresource\lexical\ifcidentifier.htm</t>
  </si>
  <si>
    <t>\ifcmeasureresource\lexical\ifcilluminancemeasure.htm</t>
  </si>
  <si>
    <t>\ifcmeasureresource\lexical\ifcinductancemeasure.htm</t>
  </si>
  <si>
    <t>\ifcmeasureresource\lexical\ifcinteger.htm</t>
  </si>
  <si>
    <t>\ifcmeasureresource\lexical\ifcintegercountratemeasure.htm</t>
  </si>
  <si>
    <t>\ifcmeasureresource\lexical\ifcionconcentrationmeasure.htm</t>
  </si>
  <si>
    <t>\ifcmeasureresource\lexical\ifcisothermalmoisturecapacitymeasure.htm</t>
  </si>
  <si>
    <t>\ifcmeasureresource\lexical\ifckinematicviscositymeasure.htm</t>
  </si>
  <si>
    <t>\ifcmeasureresource\lexical\ifclabel.htm</t>
  </si>
  <si>
    <t>\ifcmeasureresource\lexical\ifclengthmeasure.htm</t>
  </si>
  <si>
    <t>\ifcmeasureresource\lexical\ifclinearforcemeasure.htm</t>
  </si>
  <si>
    <t>\ifcmeasureresource\lexical\ifclinearmomentmeasure.htm</t>
  </si>
  <si>
    <t>\ifcmeasureresource\lexical\ifclinearstiffnessmeasure.htm</t>
  </si>
  <si>
    <t>\ifcmeasureresource\lexical\ifclinearvelocitymeasure.htm</t>
  </si>
  <si>
    <t>\ifcmeasureresource\lexical\ifclogical.htm</t>
  </si>
  <si>
    <t>\ifcmeasureresource\lexical\ifcluminousfluxmeasure.htm</t>
  </si>
  <si>
    <t>\ifcmeasureresource\lexical\ifcluminousintensitydistributionmeasure.htm</t>
  </si>
  <si>
    <t>\ifcmeasureresource\lexical\ifcluminousintensitymeasure.htm</t>
  </si>
  <si>
    <t>\ifcmeasureresource\lexical\ifcmagneticfluxdensitymeasure.htm</t>
  </si>
  <si>
    <t>\ifcmeasureresource\lexical\ifcmagneticfluxmeasure.htm</t>
  </si>
  <si>
    <t>\ifcmeasureresource\lexical\ifcmassdensitymeasure.htm</t>
  </si>
  <si>
    <t>\ifcmeasureresource\lexical\ifcmassflowratemeasure.htm</t>
  </si>
  <si>
    <t>\ifcmeasureresource\lexical\ifcmassmeasure.htm</t>
  </si>
  <si>
    <t>\ifcmeasureresource\lexical\ifcmassperlengthmeasure.htm</t>
  </si>
  <si>
    <t>\ifcdatetimeresource\lexical\ifcminuteinhour.htm</t>
  </si>
  <si>
    <t>\ifcmeasureresource\lexical\ifcmodulusofelasticitymeasure.htm</t>
  </si>
  <si>
    <t>\ifcmeasureresource\lexical\ifcmodulusoflinearsubgradereactionmeasure.htm</t>
  </si>
  <si>
    <t>\ifcmeasureresource\lexical\ifcmodulusofrotationalsubgradereactionmeasure.htm</t>
  </si>
  <si>
    <t>\ifcmeasureresource\lexical\ifcmodulusofsubgradereactionmeasure.htm</t>
  </si>
  <si>
    <t>\ifcmeasureresource\lexical\ifcmoisturediffusivitymeasure.htm</t>
  </si>
  <si>
    <t>\ifcmeasureresource\lexical\ifcmolecularweightmeasure.htm</t>
  </si>
  <si>
    <t>\ifcmeasureresource\lexical\ifcmomentofinertiameasure.htm</t>
  </si>
  <si>
    <t>\ifcmeasureresource\lexical\ifcmonetarymeasure.htm</t>
  </si>
  <si>
    <t>\ifcdatetimeresource\lexical\ifcmonthinyearnumber.htm</t>
  </si>
  <si>
    <t>\ifcmeasureresource\lexical\ifcnormalisedratiomeasure.htm</t>
  </si>
  <si>
    <t>\ifcmeasureresource\lexical\ifcnumericmeasure.htm</t>
  </si>
  <si>
    <t>\ifcmeasureresource\lexical\ifcphmeasure.htm</t>
  </si>
  <si>
    <t>\ifcmeasureresource\lexical\ifcparametervalue.htm</t>
  </si>
  <si>
    <t>\ifcmeasureresource\lexical\ifcplanarforcemeasure.htm</t>
  </si>
  <si>
    <t>\ifcmeasureresource\lexical\ifcplaneanglemeasure.htm</t>
  </si>
  <si>
    <t>\ifcmeasureresource\lexical\ifcpositivelengthmeasure.htm</t>
  </si>
  <si>
    <t>\ifcmeasureresource\lexical\ifcpositiveplaneanglemeasure.htm</t>
  </si>
  <si>
    <t>\ifcmeasureresource\lexical\ifcpositiveratiomeasure.htm</t>
  </si>
  <si>
    <t>\ifcmeasureresource\lexical\ifcpowermeasure.htm</t>
  </si>
  <si>
    <t>\ifcpresentationresource\lexical\ifcpresentabletext.htm</t>
  </si>
  <si>
    <t>\ifcmeasureresource\lexical\ifcpressuremeasure.htm</t>
  </si>
  <si>
    <t>\ifcmeasureresource\lexical\ifcradioactivitymeasure.htm</t>
  </si>
  <si>
    <t>\ifcmeasureresource\lexical\ifcratiomeasure.htm</t>
  </si>
  <si>
    <t>\ifcmeasureresource\lexical\ifcreal.htm</t>
  </si>
  <si>
    <t>\ifcmeasureresource\lexical\ifcrotationalfrequencymeasure.htm</t>
  </si>
  <si>
    <t>\ifcmeasureresource\lexical\ifcrotationalmassmeasure.htm</t>
  </si>
  <si>
    <t>\ifcmeasureresource\lexical\ifcrotationalstiffnessmeasure.htm</t>
  </si>
  <si>
    <t>\ifcdatetimeresource\lexical\ifcsecondinminute.htm</t>
  </si>
  <si>
    <t>\ifcmeasureresource\lexical\ifcsectionmodulusmeasure.htm</t>
  </si>
  <si>
    <t>\ifcmeasureresource\lexical\ifcsectionalareaintegralmeasure.htm</t>
  </si>
  <si>
    <t>\ifcmeasureresource\lexical\ifcshearmodulusmeasure.htm</t>
  </si>
  <si>
    <t>\ifcmeasureresource\lexical\ifcsolidanglemeasure.htm</t>
  </si>
  <si>
    <t>\ifcmeasureresource\lexical\ifcsoundpowermeasure.htm</t>
  </si>
  <si>
    <t>\ifcmeasureresource\lexical\ifcsoundpressuremeasure.htm</t>
  </si>
  <si>
    <t>\ifcmeasureresource\lexical\ifcspecificheatcapacitymeasure.htm</t>
  </si>
  <si>
    <t>\ifcpresentationappearanceresource\lexical\ifcspecularexponent.htm</t>
  </si>
  <si>
    <t>\ifcpresentationappearanceresource\lexical\ifcspecularroughness.htm</t>
  </si>
  <si>
    <t>\ifcmeasureresource\lexical\ifctemperaturegradientmeasure.htm</t>
  </si>
  <si>
    <t>\ifcmeasureresource\lexical\ifctext.htm</t>
  </si>
  <si>
    <t>\ifcpresentationappearanceresource\lexical\ifctextalignment.htm</t>
  </si>
  <si>
    <t>\ifcpresentationappearanceresource\lexical\ifctextdecoration.htm</t>
  </si>
  <si>
    <t>\ifcpresentationresource\lexical\ifctextfontname.htm</t>
  </si>
  <si>
    <t>\ifcpresentationappearanceresource\lexical\ifctexttransformation.htm</t>
  </si>
  <si>
    <t>\ifcmeasureresource\lexical\ifcthermaladmittancemeasure.htm</t>
  </si>
  <si>
    <t>\ifcmeasureresource\lexical\ifcthermalconductivitymeasure.htm</t>
  </si>
  <si>
    <t>\ifcmeasureresource\lexical\ifcthermalexpansioncoefficientmeasure.htm</t>
  </si>
  <si>
    <t>\ifcmeasureresource\lexical\ifcthermalresistancemeasure.htm</t>
  </si>
  <si>
    <t>\ifcmeasureresource\lexical\ifcthermaltransmittancemeasure.htm</t>
  </si>
  <si>
    <t>\ifcmeasureresource\lexical\ifcthermodynamictemperaturemeasure.htm</t>
  </si>
  <si>
    <t>\ifcmeasureresource\lexical\ifctimemeasure.htm</t>
  </si>
  <si>
    <t>\ifcmeasureresource\lexical\ifctimestamp.htm</t>
  </si>
  <si>
    <t>\ifcmeasureresource\lexical\ifctorquemeasure.htm</t>
  </si>
  <si>
    <t>\ifcmeasureresource\lexical\ifcvaporpermeabilitymeasure.htm</t>
  </si>
  <si>
    <t>\ifcmeasureresource\lexical\ifcvolumemeasure.htm</t>
  </si>
  <si>
    <t>\ifcmeasureresource\lexical\ifcvolumetricflowratemeasure.htm</t>
  </si>
  <si>
    <t>\ifcmeasureresource\lexical\ifcwarpingconstantmeasure.htm</t>
  </si>
  <si>
    <t>\ifcmeasureresource\lexical\ifcwarpingmomentmeasure.htm</t>
  </si>
  <si>
    <t>\ifcdatetimeresource\lexical\ifcyearnumber.htm</t>
  </si>
  <si>
    <t>\ifcactorresource\lexical\ifcactorselect.htm</t>
  </si>
  <si>
    <t>\ifccostresource\lexical\ifcappliedvalueselect.htm</t>
  </si>
  <si>
    <t>\ifcgeometryresource\lexical\ifcaxis2placement.htm</t>
  </si>
  <si>
    <t>\ifcgeometricmodelresource\lexical\ifcbooleanoperand.htm</t>
  </si>
  <si>
    <t>\ifcpresentationappearanceresource\lexical\ifccharacterstyleselect.htm</t>
  </si>
  <si>
    <t>\ifcexternalreferenceresource\lexical\ifcclassificationnotationselect.htm</t>
  </si>
  <si>
    <t>\ifcpresentationresource\lexical\ifccolour.htm</t>
  </si>
  <si>
    <t>\ifcpresentationappearanceresource\lexical\ifccolourorfactor.htm</t>
  </si>
  <si>
    <t>\ifcfacilitiesmgmtdomain\lexical\ifcconditioncriterionselect.htm</t>
  </si>
  <si>
    <t>\ifcgeometricmodelresource\lexical\ifccsgselect.htm</t>
  </si>
  <si>
    <t>\ifcpresentationappearanceresource\lexical\ifccurvefontorscaledcurvefontselect.htm</t>
  </si>
  <si>
    <t>\ifcgeometricconstraintresource\lexical\ifccurveoredgecurve.htm</t>
  </si>
  <si>
    <t>\ifcpresentationappearanceresource\lexical\ifccurvestylefontselect.htm</t>
  </si>
  <si>
    <t>\ifcdatetimeresource\lexical\ifcdatetimeselect.htm</t>
  </si>
  <si>
    <t>\ifcpresentationdefinitionresource\lexical\ifcdefinedsymbolselect.htm</t>
  </si>
  <si>
    <t>\ifcmeasureresource\lexical\ifcderivedmeasurevalue.htm</t>
  </si>
  <si>
    <t>\ifcexternalreferenceresource\lexical\ifcdocumentselect.htm</t>
  </si>
  <si>
    <t>\ifcpresentationdimensioningresource\lexical\ifcdraughtingcalloutelement.htm</t>
  </si>
  <si>
    <t>\ifcpresentationappearanceresource\lexical\ifcfillareastyletileshapeselect.htm</t>
  </si>
  <si>
    <t>\ifcpresentationappearanceresource\lexical\ifcfillstyleselect.htm</t>
  </si>
  <si>
    <t>\ifcgeometricmodelresource\lexical\ifcgeometricsetselect.htm</t>
  </si>
  <si>
    <t>\ifcpresentationappearanceresource\lexical\ifchatchlinedistanceselect.htm</t>
  </si>
  <si>
    <t>\ifcpresentationorganizationresource\lexical\ifclayereditem.htm</t>
  </si>
  <si>
    <t>\ifcexternalreferenceresource\lexical\ifclibraryselect.htm</t>
  </si>
  <si>
    <t>\ifcpresentationorganizationresource\lexical\ifclightdistributiondatasourceselect.htm</t>
  </si>
  <si>
    <t>\ifcmaterialresource\lexical\ifcmaterialselect.htm</t>
  </si>
  <si>
    <t>\ifcmeasureresource\lexical\ifcmeasurevalue.htm</t>
  </si>
  <si>
    <t>\ifcconstraintresource\lexical\ifcmetricvalueselect.htm</t>
  </si>
  <si>
    <t>\ifcpropertyresource\lexical\ifcobjectreferenceselect.htm</t>
  </si>
  <si>
    <t>\ifcstructuralanalysisdomain\lexical\ifcorientationselect.htm</t>
  </si>
  <si>
    <t>\ifcgeometricconstraintresource\lexical\ifcpointorvertexpoint.htm</t>
  </si>
  <si>
    <t>\ifcpresentationappearanceresource\lexical\ifcpresentationstyleselect.htm</t>
  </si>
  <si>
    <t>\ifctopologyresource\lexical\ifcshell.htm</t>
  </si>
  <si>
    <t>\ifcmeasureresource\lexical\ifcsimplevalue.htm</t>
  </si>
  <si>
    <t>\ifcpresentationappearanceresource\lexical\ifcsizeselect.htm</t>
  </si>
  <si>
    <t>\ifcpresentationappearanceresource\lexical\ifcspecularhighlightselect.htm</t>
  </si>
  <si>
    <t>\ifcstructuralanalysisdomain\lexical\ifcstructuralactivityassignmentselect.htm</t>
  </si>
  <si>
    <t>\ifcgeometricconstraintresource\lexical\ifcsurfaceorfacesurface.htm</t>
  </si>
  <si>
    <t>\ifcpresentationappearanceresource\lexical\ifcsurfacestyleelementselect.htm</t>
  </si>
  <si>
    <t>\ifcpresentationappearanceresource\lexical\ifcsymbolstyleselect.htm</t>
  </si>
  <si>
    <t>\ifcpresentationresource\lexical\ifctextfontselect.htm</t>
  </si>
  <si>
    <t>\ifcpresentationappearanceresource\lexical\ifctextstyleselect.htm</t>
  </si>
  <si>
    <t>\ifcgeometryresource\lexical\ifctrimmingselect.htm</t>
  </si>
  <si>
    <t>\ifcmeasureresource\lexical\ifcunit.htm</t>
  </si>
  <si>
    <t>\ifcmeasureresource\lexical\ifcvalue.htm</t>
  </si>
  <si>
    <t>\ifcgeometryresource\lexical\ifcvectorordirection.htm</t>
  </si>
  <si>
    <t>\ifcstructuralanalysisdomain\lexical\ifcactionsourcetypeenum.htm</t>
  </si>
  <si>
    <t>\ifcstructuralanalysisdomain\lexical\ifcactiontypeenum.htm</t>
  </si>
  <si>
    <t>\ifcbuildingcontrolsdomain\lexical\ifcactuatortypeenum.htm</t>
  </si>
  <si>
    <t>\ifcactorresource\lexical\ifcaddresstypeenum.htm</t>
  </si>
  <si>
    <t>\ifcdatetimeresource\lexical\ifcaheadorbehind.htm</t>
  </si>
  <si>
    <t>\ifchvacdomain\lexical\ifcairterminalboxtypeenum.htm</t>
  </si>
  <si>
    <t>\ifchvacdomain\lexical\ifcairterminaltypeenum.htm</t>
  </si>
  <si>
    <t>\ifchvacdomain\lexical\ifcairtoairheatrecoverytypeenum.htm</t>
  </si>
  <si>
    <t>\ifcbuildingcontrolsdomain\lexical\ifcalarmtypeenum.htm</t>
  </si>
  <si>
    <t>\ifcstructuralanalysisdomain\lexical\ifcanalysismodeltypeenum.htm</t>
  </si>
  <si>
    <t>\ifcstructuralanalysisdomain\lexical\ifcanalysistheorytypeenum.htm</t>
  </si>
  <si>
    <t>\ifccostresource\lexical\ifcarithmeticoperatorenum.htm</t>
  </si>
  <si>
    <t>\ifcproductextension\lexical\ifcassemblyplaceenum.htm</t>
  </si>
  <si>
    <t>\ifcgeometryresource\lexical\ifcbsplinecurveform.htm</t>
  </si>
  <si>
    <t>\ifcsharedbldgelements\lexical\ifcbeamtypeenum.htm</t>
  </si>
  <si>
    <t>\ifcconstraintresource\lexical\ifcbenchmarkenum.htm</t>
  </si>
  <si>
    <t>\ifchvacdomain\lexical\ifcboilertypeenum.htm</t>
  </si>
  <si>
    <t>\ifcgeometricmodelresource\lexical\ifcbooleanoperator.htm</t>
  </si>
  <si>
    <t>\ifcproductextension\lexical\ifcbuildingelementproxytypeenum.htm</t>
  </si>
  <si>
    <t>\ifcelectricaldomain\lexical\ifccablecarrierfittingtypeenum.htm</t>
  </si>
  <si>
    <t>\ifcelectricaldomain\lexical\ifccablecarriersegmenttypeenum.htm</t>
  </si>
  <si>
    <t>\ifcelectricaldomain\lexical\ifccablesegmenttypeenum.htm</t>
  </si>
  <si>
    <t>\ifcutilityresource\lexical\ifcchangeactionenum.htm</t>
  </si>
  <si>
    <t>\ifchvacdomain\lexical\ifcchillertypeenum.htm</t>
  </si>
  <si>
    <t>\ifchvacdomain\lexical\ifccoiltypeenum.htm</t>
  </si>
  <si>
    <t>\ifcsharedbldgelements\lexical\ifccolumntypeenum.htm</t>
  </si>
  <si>
    <t>\ifchvacdomain\lexical\ifccompressortypeenum.htm</t>
  </si>
  <si>
    <t>\ifchvacdomain\lexical\ifccondensertypeenum.htm</t>
  </si>
  <si>
    <t>\ifcsharedbldgelements\lexical\ifcconnectiontypeenum.htm</t>
  </si>
  <si>
    <t>\ifcconstraintresource\lexical\ifcconstraintenum.htm</t>
  </si>
  <si>
    <t>\ifcbuildingcontrolsdomain\lexical\ifccontrollertypeenum.htm</t>
  </si>
  <si>
    <t>\ifchvacdomain\lexical\ifccooledbeamtypeenum.htm</t>
  </si>
  <si>
    <t>\ifchvacdomain\lexical\ifccoolingtowertypeenum.htm</t>
  </si>
  <si>
    <t>\ifcsharedmgmtelements\lexical\ifccostscheduletypeenum.htm</t>
  </si>
  <si>
    <t>\ifcproductextension\lexical\ifccoveringtypeenum.htm</t>
  </si>
  <si>
    <t>\ifcmeasureresource\lexical\ifccurrencyenum.htm</t>
  </si>
  <si>
    <t>\ifcsharedbldgelements\lexical\ifccurtainwalltypeenum.htm</t>
  </si>
  <si>
    <t>\ifchvacdomain\lexical\ifcdampertypeenum.htm</t>
  </si>
  <si>
    <t>\ifctimeseriesresource\lexical\ifcdataoriginenum.htm</t>
  </si>
  <si>
    <t>\ifcmeasureresource\lexical\ifcderivedunitenum.htm</t>
  </si>
  <si>
    <t>\ifcpresentationdimensioningresource\lexical\ifcdimensionextentusage.htm</t>
  </si>
  <si>
    <t>\ifcmaterialresource\lexical\ifcdirectionsenseenum.htm</t>
  </si>
  <si>
    <t>\ifcsharedbldgserviceelements\lexical\ifcdistributionchamberelementtypeenum.htm</t>
  </si>
  <si>
    <t>\ifcexternalreferenceresource\lexical\ifcdocumentconfidentialityenum.htm</t>
  </si>
  <si>
    <t>\ifcexternalreferenceresource\lexical\ifcdocumentstatusenum.htm</t>
  </si>
  <si>
    <t>\ifcsharedbldgelements\lexical\ifcdoorpaneloperationenum.htm</t>
  </si>
  <si>
    <t>\ifcsharedbldgelements\lexical\ifcdoorpanelpositionenum.htm</t>
  </si>
  <si>
    <t>\ifcsharedbldgelements\lexical\ifcdoorstyleconstructionenum.htm</t>
  </si>
  <si>
    <t>\ifcsharedbldgelements\lexical\ifcdoorstyleoperationenum.htm</t>
  </si>
  <si>
    <t>\ifchvacdomain\lexical\ifcductfittingtypeenum.htm</t>
  </si>
  <si>
    <t>\ifchvacdomain\lexical\ifcductsegmenttypeenum.htm</t>
  </si>
  <si>
    <t>\ifchvacdomain\lexical\ifcductsilencertypeenum.htm</t>
  </si>
  <si>
    <t>\ifcelectricaldomain\lexical\ifcelectricappliancetypeenum.htm</t>
  </si>
  <si>
    <t>\ifcsharedbldgserviceelements\lexical\ifcelectriccurrentenum.htm</t>
  </si>
  <si>
    <t>\ifcelectricaldomain\lexical\ifcelectricdistributionpointfunctionenum.htm</t>
  </si>
  <si>
    <t>\ifcelectricaldomain\lexical\ifcelectricflowstoragedevicetypeenum.htm</t>
  </si>
  <si>
    <t>\ifcelectricaldomain\lexical\ifcelectricgeneratortypeenum.htm</t>
  </si>
  <si>
    <t>\ifcelectricaldomain\lexical\ifcelectricheatertypeenum.htm</t>
  </si>
  <si>
    <t>\ifcelectricaldomain\lexical\ifcelectricmotortypeenum.htm</t>
  </si>
  <si>
    <t>\ifcelectricaldomain\lexical\ifcelectrictimecontroltypeenum.htm</t>
  </si>
  <si>
    <t>\ifcproductextension\lexical\ifcelementassemblytypeenum.htm</t>
  </si>
  <si>
    <t>\ifcproductextension\lexical\ifcelementcompositionenum.htm</t>
  </si>
  <si>
    <t>\ifcsharedbldgserviceelements\lexical\ifcenergysequenceenum.htm</t>
  </si>
  <si>
    <t>\ifccostresource\lexical\ifcenvironmentalimpactcategoryenum.htm</t>
  </si>
  <si>
    <t>\ifchvacdomain\lexical\ifcevaporativecoolertypeenum.htm</t>
  </si>
  <si>
    <t>\ifchvacdomain\lexical\ifcevaporatortypeenum.htm</t>
  </si>
  <si>
    <t>\ifchvacdomain\lexical\ifcfantypeenum.htm</t>
  </si>
  <si>
    <t>\ifchvacdomain\lexical\ifcfiltertypeenum.htm</t>
  </si>
  <si>
    <t>\ifcplumbingfireprotectiondomain\lexical\ifcfiresuppressionterminaltypeenum.htm</t>
  </si>
  <si>
    <t>\ifcsharedbldgserviceelements\lexical\ifcflowdirectionenum.htm</t>
  </si>
  <si>
    <t>\ifcbuildingcontrolsdomain\lexical\ifcflowinstrumenttypeenum.htm</t>
  </si>
  <si>
    <t>\ifchvacdomain\lexical\ifcflowmetertypeenum.htm</t>
  </si>
  <si>
    <t>\ifcstructuralelementsdomain\lexical\ifcfootingtypeenum.htm</t>
  </si>
  <si>
    <t>\ifchvacdomain\lexical\ifcgasterminaltypeenum.htm</t>
  </si>
  <si>
    <t>\ifcrepresentationresource\lexical\ifcgeometricprojectionenum.htm</t>
  </si>
  <si>
    <t>\ifcrepresentationresource\lexical\ifcglobalorlocalenum.htm</t>
  </si>
  <si>
    <t>\ifchvacdomain\lexical\ifcheatexchangertypeenum.htm</t>
  </si>
  <si>
    <t>\ifchvacdomain\lexical\ifchumidifiertypeenum.htm</t>
  </si>
  <si>
    <t>\ifcproductextension\lexical\ifcinternalorexternalenum.htm</t>
  </si>
  <si>
    <t>\ifcsharedfacilitieselements\lexical\ifcinventorytypeenum.htm</t>
  </si>
  <si>
    <t>\ifcelectricaldomain\lexical\ifcjunctionboxtypeenum.htm</t>
  </si>
  <si>
    <t>\ifcelectricaldomain\lexical\ifclamptypeenum.htm</t>
  </si>
  <si>
    <t>\ifcmaterialresource\lexical\ifclayersetdirectionenum.htm</t>
  </si>
  <si>
    <t>\ifcpresentationorganizationresource\lexical\ifclightdistributioncurveenum.htm</t>
  </si>
  <si>
    <t>\ifcpresentationorganizationresource\lexical\ifclightemissionsourceenum.htm</t>
  </si>
  <si>
    <t>\ifcelectricaldomain\lexical\ifclightfixturetypeenum.htm</t>
  </si>
  <si>
    <t>\ifcstructuralanalysisdomain\lexical\ifcloadgrouptypeenum.htm</t>
  </si>
  <si>
    <t>\ifcconstraintresource\lexical\ifclogicaloperatorenum.htm</t>
  </si>
  <si>
    <t>\ifcsharedbldgelements\lexical\ifcmembertypeenum.htm</t>
  </si>
  <si>
    <t>\ifcelectricaldomain\lexical\ifcmotorconnectiontypeenum.htm</t>
  </si>
  <si>
    <t>\ifcpresentationappearanceresource\lexical\ifcnullstyle.htm</t>
  </si>
  <si>
    <t>\ifckernel\lexical\ifcobjecttypeenum.htm</t>
  </si>
  <si>
    <t>\ifcconstraintresource\lexical\ifcobjectiveenum.htm</t>
  </si>
  <si>
    <t>\ifcsharedfacilitieselements\lexical\ifcoccupanttypeenum.htm</t>
  </si>
  <si>
    <t>\ifcelectricaldomain\lexical\ifcoutlettypeenum.htm</t>
  </si>
  <si>
    <t>\ifcarchitecturedomain\lexical\ifcpermeablecoveringoperationenum.htm</t>
  </si>
  <si>
    <t>\ifcproductextension\lexical\ifcphysicalorvirtualenum.htm</t>
  </si>
  <si>
    <t>\ifcstructuralelementsdomain\lexical\ifcpileconstructionenum.htm</t>
  </si>
  <si>
    <t>\ifcstructuralelementsdomain\lexical\ifcpiletypeenum.htm</t>
  </si>
  <si>
    <t>\ifchvacdomain\lexical\ifcpipefittingtypeenum.htm</t>
  </si>
  <si>
    <t>\ifchvacdomain\lexical\ifcpipesegmenttypeenum.htm</t>
  </si>
  <si>
    <t>\ifcsharedbldgelements\lexical\ifcplatetypeenum.htm</t>
  </si>
  <si>
    <t>\ifcprocessextension\lexical\ifcproceduretypeenum.htm</t>
  </si>
  <si>
    <t>\ifcprofileresource\lexical\ifcprofiletypeenum.htm</t>
  </si>
  <si>
    <t>\ifcsharedmgmtelements\lexical\ifcprojectorderrecordtypeenum.htm</t>
  </si>
  <si>
    <t>\ifcsharedmgmtelements\lexical\ifcprojectordertypeenum.htm</t>
  </si>
  <si>
    <t>\ifcstructuralanalysisdomain\lexical\ifcprojectedortruelengthenum.htm</t>
  </si>
  <si>
    <t>\ifcsharedbldgserviceelements\lexical\ifcpropertysourceenum.htm</t>
  </si>
  <si>
    <t>\ifcelectricaldomain\lexical\ifcprotectivedevicetypeenum.htm</t>
  </si>
  <si>
    <t>\ifchvacdomain\lexical\ifcpumptypeenum.htm</t>
  </si>
  <si>
    <t>\ifcsharedbldgelements\lexical\ifcrailingtypeenum.htm</t>
  </si>
  <si>
    <t>\ifcsharedbldgelements\lexical\ifcrampflighttypeenum.htm</t>
  </si>
  <si>
    <t>\ifcsharedbldgelements\lexical\ifcramptypeenum.htm</t>
  </si>
  <si>
    <t>\ifcpresentationappearanceresource\lexical\ifcreflectancemethodenum.htm</t>
  </si>
  <si>
    <t>\ifcprofilepropertyresource\lexical\ifcreinforcingbarroleenum.htm</t>
  </si>
  <si>
    <t>\ifcprofilepropertyresource\lexical\ifcreinforcingbarsurfaceenum.htm</t>
  </si>
  <si>
    <t>\ifcconstructionmgmtdomain\lexical\ifcresourceconsumptionenum.htm</t>
  </si>
  <si>
    <t>\ifcprofilepropertyresource\lexical\ifcribplatedirectionenum.htm</t>
  </si>
  <si>
    <t>\ifcactorresource\lexical\ifcroleenum.htm</t>
  </si>
  <si>
    <t>\ifcsharedbldgelements\lexical\ifcrooftypeenum.htm</t>
  </si>
  <si>
    <t>\ifcmeasureresource\lexical\ifcsiprefix.htm</t>
  </si>
  <si>
    <t>\ifcmeasureresource\lexical\ifcsiunitname.htm</t>
  </si>
  <si>
    <t>\ifcplumbingfireprotectiondomain\lexical\ifcsanitaryterminaltypeenum.htm</t>
  </si>
  <si>
    <t>\ifcprofilepropertyresource\lexical\ifcsectiontypeenum.htm</t>
  </si>
  <si>
    <t>\ifcbuildingcontrolsdomain\lexical\ifcsensortypeenum.htm</t>
  </si>
  <si>
    <t>\ifckernel\lexical\ifcsequenceenum.htm</t>
  </si>
  <si>
    <t>\ifcsharedfacilitieselements\lexical\ifcservicelifefactortypeenum.htm</t>
  </si>
  <si>
    <t>\ifcsharedfacilitieselements\lexical\ifcservicelifetypeenum.htm</t>
  </si>
  <si>
    <t>\ifcsharedbldgelements\lexical\ifcslabtypeenum.htm</t>
  </si>
  <si>
    <t>\ifcsharedbldgserviceelements\lexical\ifcsoundscaleenum.htm</t>
  </si>
  <si>
    <t>\ifchvacdomain\lexical\ifcspaceheatertypeenum.htm</t>
  </si>
  <si>
    <t>\ifcproductextension\lexical\ifcspacetypeenum.htm</t>
  </si>
  <si>
    <t>\ifcplumbingfireprotectiondomain\lexical\ifcstackterminaltypeenum.htm</t>
  </si>
  <si>
    <t>\ifcsharedbldgelements\lexical\ifcstairflighttypeenum.htm</t>
  </si>
  <si>
    <t>\ifcsharedbldgelements\lexical\ifcstairtypeenum.htm</t>
  </si>
  <si>
    <t>\ifcutilityresource\lexical\ifcstateenum.htm</t>
  </si>
  <si>
    <t>\ifcstructuralanalysisdomain\lexical\ifcstructuralcurvetypeenum.htm</t>
  </si>
  <si>
    <t>\ifcstructuralanalysisdomain\lexical\ifcstructuralsurfacetypeenum.htm</t>
  </si>
  <si>
    <t>\ifcpresentationappearanceresource\lexical\ifcsurfaceside.htm</t>
  </si>
  <si>
    <t>\ifcpresentationappearanceresource\lexical\ifcsurfacetextureenum.htm</t>
  </si>
  <si>
    <t>\ifcelectricaldomain\lexical\ifcswitchingdevicetypeenum.htm</t>
  </si>
  <si>
    <t>\ifchvacdomain\lexical\ifctanktypeenum.htm</t>
  </si>
  <si>
    <t>\ifcstructuralelementsdomain\lexical\ifctendontypeenum.htm</t>
  </si>
  <si>
    <t>\ifcpresentationdefinitionresource\lexical\ifctextpath.htm</t>
  </si>
  <si>
    <t>\ifcsharedbldgserviceelements\lexical\ifcthermalloadsourceenum.htm</t>
  </si>
  <si>
    <t>\ifcsharedbldgserviceelements\lexical\ifcthermalloadtypeenum.htm</t>
  </si>
  <si>
    <t>\ifctimeseriesresource\lexical\ifctimeseriesdatatypeenum.htm</t>
  </si>
  <si>
    <t>\ifccontrolextension\lexical\ifctimeseriesscheduletypeenum.htm</t>
  </si>
  <si>
    <t>\ifcelectricaldomain\lexical\ifctransformertypeenum.htm</t>
  </si>
  <si>
    <t>\ifcgeometryresource\lexical\ifctransitioncode.htm</t>
  </si>
  <si>
    <t>\ifcproductextension\lexical\ifctransportelementtypeenum.htm</t>
  </si>
  <si>
    <t>\ifcgeometryresource\lexical\ifctrimmingpreference.htm</t>
  </si>
  <si>
    <t>\ifchvacdomain\lexical\ifctubebundletypeenum.htm</t>
  </si>
  <si>
    <t>\ifcmeasureresource\lexical\ifcunitenum.htm</t>
  </si>
  <si>
    <t>\ifchvacdomain\lexical\ifcunitaryequipmenttypeenum.htm</t>
  </si>
  <si>
    <t>\ifchvacdomain\lexical\ifcvalvetypeenum.htm</t>
  </si>
  <si>
    <t>\ifchvacdomain\lexical\ifcvibrationisolatortypeenum.htm</t>
  </si>
  <si>
    <t>\ifcsharedbldgelements\lexical\ifcwalltypeenum.htm</t>
  </si>
  <si>
    <t>\ifcplumbingfireprotectiondomain\lexical\ifcwasteterminaltypeenum.htm</t>
  </si>
  <si>
    <t>\ifcsharedbldgelements\lexical\ifcwindowpaneloperationenum.htm</t>
  </si>
  <si>
    <t>\ifcsharedbldgelements\lexical\ifcwindowpanelpositionenum.htm</t>
  </si>
  <si>
    <t>\ifcsharedbldgelements\lexical\ifcwindowstyleconstructionenum.htm</t>
  </si>
  <si>
    <t>\ifcsharedbldgelements\lexical\ifcwindowstyleoperationenum.htm</t>
  </si>
  <si>
    <t>\ifcprocessextension\lexical\ifcworkcontroltypeenum.htm</t>
  </si>
  <si>
    <t>\ifcstructuralanalysisdomain\lexical\ifcaddtobeginoflist.htm</t>
  </si>
  <si>
    <t>\ifcgeometryresource\lexical\ifcbaseaxis.htm</t>
  </si>
  <si>
    <t>\ifctopologyresource\lexical\ifcbooleanchoose.htm</t>
  </si>
  <si>
    <t>\ifcgeometryresource\lexical\ifcbuild2axes.htm</t>
  </si>
  <si>
    <t>\ifcgeometryresource\lexical\ifcbuildaxes.htm</t>
  </si>
  <si>
    <t>\ifcmeasureresource\lexical\ifccorrectdimensions.htm</t>
  </si>
  <si>
    <t>\ifcpresentationappearanceresource\lexical\ifccorrectfillareastyle.htm</t>
  </si>
  <si>
    <t>\ifcgeometricconstraintresource\lexical\ifccorrectlocalplacement.htm</t>
  </si>
  <si>
    <t>\ifckernel\lexical\ifccorrectobjectassignment.htm</t>
  </si>
  <si>
    <t>\ifcmeasureresource\lexical\ifccorrectunitassignment.htm</t>
  </si>
  <si>
    <t>\ifcgeometryresource\lexical\ifccrossproduct.htm</t>
  </si>
  <si>
    <t>\ifcgeometryresource\lexical\ifccurvedim.htm</t>
  </si>
  <si>
    <t>\ifcgeometryresource\lexical\ifccurveweightspositive.htm</t>
  </si>
  <si>
    <t>\ifcmeasureresource\lexical\ifcderivedimensionalexponents.htm</t>
  </si>
  <si>
    <t>\ifcmeasureresource\lexical\ifcdimensionsforsiunit.htm</t>
  </si>
  <si>
    <t>\ifcgeometryresource\lexical\ifcdotproduct.htm</t>
  </si>
  <si>
    <t>\ifcgeometryresource\lexical\ifcfirstprojaxis.htm</t>
  </si>
  <si>
    <t>\ifcdatetimeresource\lexical\ifcleapyear.htm</t>
  </si>
  <si>
    <t>\ifcgeometryresource\lexical\ifclisttoarray.htm</t>
  </si>
  <si>
    <t>\ifctopologyresource\lexical\ifcloopheadtotail.htm</t>
  </si>
  <si>
    <t>\ifcmaterialresource\lexical\ifcmlstotalthickness.htm</t>
  </si>
  <si>
    <t>\ifcgeometryresource\lexical\ifcnormalise.htm</t>
  </si>
  <si>
    <t>\ifcgeometryresource\lexical\ifcorthogonalcomplement.htm</t>
  </si>
  <si>
    <t>\ifctopologyresource\lexical\ifcpathheadtotail.htm</t>
  </si>
  <si>
    <t>\ifcgeometryresource\lexical\ifcsameaxis2placement.htm</t>
  </si>
  <si>
    <t>\ifcgeometryresource\lexical\ifcsamecartesianpoint.htm</t>
  </si>
  <si>
    <t>\ifcgeometryresource\lexical\ifcsamedirection.htm</t>
  </si>
  <si>
    <t>\ifcrepresentationresource\lexical\ifcsamevalidprecision.htm</t>
  </si>
  <si>
    <t>\ifcgeometryresource\lexical\ifcsamevalue.htm</t>
  </si>
  <si>
    <t>\ifcgeometryresource\lexical\ifcscalartimesvector.htm</t>
  </si>
  <si>
    <t>\ifcgeometryresource\lexical\ifcsecondprojaxis.htm</t>
  </si>
  <si>
    <t>\ifcrepresentationresource\lexical\ifcshaperepresentationtypes.htm</t>
  </si>
  <si>
    <t>\ifcrepresentationresource\lexical\ifctopologyrepresentationtypes.htm</t>
  </si>
  <si>
    <t>\ifcpropertyresource\lexical\ifcuniquepropertyname.htm</t>
  </si>
  <si>
    <t>\ifcdatetimeresource\lexical\ifcvalidcalendardate.htm</t>
  </si>
  <si>
    <t>\ifcdatetimeresource\lexical\ifcvalidtime.htm</t>
  </si>
  <si>
    <t>\ifcgeometryresource\lexical\ifcvectordifference.htm</t>
  </si>
  <si>
    <t>\ifcgeometryresource\lexical\ifcvectorsum.htm</t>
  </si>
  <si>
    <t>\ifcactorresource\ifcactorresource.htm</t>
  </si>
  <si>
    <t>\ifcapprovalresource\ifcapprovalresource.htm</t>
  </si>
  <si>
    <t>\ifcarchitecturedomain\ifcarchitecturedomain.htm</t>
  </si>
  <si>
    <t>\ifcbuildingcontrolsdomain\ifcbuildingcontrolsdomain.htm</t>
  </si>
  <si>
    <t>\ifcconstraintresource\ifcconstraintresource.htm</t>
  </si>
  <si>
    <t>\ifcconstructionmgmtdomain\ifcconstructionmgmtdomain.htm</t>
  </si>
  <si>
    <t>\ifccontrolextension\ifccontrolextension.htm</t>
  </si>
  <si>
    <t>\ifccostresource\ifccostresource.htm</t>
  </si>
  <si>
    <t>\ifcdatetimeresource\ifcdatetimeresource.htm</t>
  </si>
  <si>
    <t>\ifcelectricaldomain\ifcelectricaldomain.htm</t>
  </si>
  <si>
    <t>\ifcexternalreferenceresource\ifcexternalreferenceresource.htm</t>
  </si>
  <si>
    <t>\ifcfacilitiesmgmtdomain\ifcfacilitiesmgmtdomain.htm</t>
  </si>
  <si>
    <t>\ifcgeometricconstraintresource\ifcgeometricconstraintresource.htm</t>
  </si>
  <si>
    <t>\ifcgeometricmodelresource\ifcgeometricmodelresource.htm</t>
  </si>
  <si>
    <t>\ifcgeometryresource\ifcgeometryresource.htm</t>
  </si>
  <si>
    <t>\ifchvacdomain\ifchvacdomain.htm</t>
  </si>
  <si>
    <t>\ifckernel\ifckernel.htm</t>
  </si>
  <si>
    <t>\ifcmaterialpropertyresource\ifcmaterialpropertyresource.htm</t>
  </si>
  <si>
    <t>\ifcmaterialresource\ifcmaterialresource.htm</t>
  </si>
  <si>
    <t>\ifcmeasureresource\ifcmeasureresource.htm</t>
  </si>
  <si>
    <t>\ifcplumbingfireprotectiondomain\ifcplumbingfireprotectiondomain.htm</t>
  </si>
  <si>
    <t>\ifcpresentationappearanceresource\ifcpresentationappearanceresource.htm</t>
  </si>
  <si>
    <t>\ifcpresentationdefinitionresource\ifcpresentationdefinitionresource.htm</t>
  </si>
  <si>
    <t>\ifcpresentationdimensioningresource\ifcpresentationdimensioningresource.htm</t>
  </si>
  <si>
    <t>\ifcpresentationorganizationresource\ifcpresentationorganizationresource.htm</t>
  </si>
  <si>
    <t>\ifcpresentationresource\ifcpresentationresource.htm</t>
  </si>
  <si>
    <t>\ifcprocessextension\ifcprocessextension.htm</t>
  </si>
  <si>
    <t>\ifcproductextension\ifcproductextension.htm</t>
  </si>
  <si>
    <t>\ifcprofilepropertyresource\ifcprofilepropertyresource.htm</t>
  </si>
  <si>
    <t>\ifcprofileresource\ifcprofileresource.htm</t>
  </si>
  <si>
    <t>\ifcpropertyresource\ifcpropertyresource.htm</t>
  </si>
  <si>
    <t>\ifcquantityresource\ifcquantityresource.htm</t>
  </si>
  <si>
    <t>\ifcrepresentationresource\ifcrepresentationresource.htm</t>
  </si>
  <si>
    <t>\ifcsharedbldgelements\ifcsharedbldgelements.htm</t>
  </si>
  <si>
    <t>\ifcsharedbldgserviceelements\ifcsharedbldgserviceelements.htm</t>
  </si>
  <si>
    <t>\ifcsharedcomponentelements\ifcsharedcomponentelements.htm</t>
  </si>
  <si>
    <t>\ifcsharedfacilitieselements\ifcsharedfacilitieselements.htm</t>
  </si>
  <si>
    <t>\ifcsharedmgmtelements\ifcsharedmgmtelements.htm</t>
  </si>
  <si>
    <t>\ifcstructuralanalysisdomain\ifcstructuralanalysisdomain.htm</t>
  </si>
  <si>
    <t>\ifcstructuralelementsdomain\ifcstructuralelementsdomain.htm</t>
  </si>
  <si>
    <t>\ifcstructuralloadresource\ifcstructuralloadresource.htm</t>
  </si>
  <si>
    <t>\ifctimeseriesresource\ifctimeseriesresource.htm</t>
  </si>
  <si>
    <t>\ifctopologyresource\ifctopologyresource.htm</t>
  </si>
  <si>
    <t>\ifcutilityresource\ifcutilityresource.htm</t>
  </si>
  <si>
    <t>Option Explicit
Sub doClose(SaveBeforeClose As Boolean)
  If SaveBeforeClose Then ThisWorkbook.Save
  ThisWorkbook.Close
End Sub</t>
  </si>
  <si>
    <t/>
  </si>
  <si>
    <t>IfcConstraintAggregationRel</t>
  </si>
  <si>
    <t>IfcConstraintClassificationRel</t>
  </si>
  <si>
    <t>IfcPropertyConstraintRel</t>
  </si>
  <si>
    <t>IfcConstructionEquipmentRes</t>
  </si>
  <si>
    <t>IfcCoordinatedUTOffset</t>
  </si>
  <si>
    <t>IfcElectricFlowStorageDevType</t>
  </si>
  <si>
    <t>IfcClassificationItemRel</t>
  </si>
  <si>
    <t>IfcDocumentInformationRel</t>
  </si>
  <si>
    <t>IfcCartesianTransOp2DnonUniform</t>
  </si>
  <si>
    <t>IfcCartesianTransOp2D</t>
  </si>
  <si>
    <t>IfcCartesianTransOp</t>
  </si>
  <si>
    <t>IfcCartesianTransOp3D</t>
  </si>
  <si>
    <t>IfcCartesianTransOp3DnonUniform</t>
  </si>
  <si>
    <t>IfcMechanicalConcreteMatProp</t>
  </si>
  <si>
    <t>IfcHygroscopicMatProp</t>
  </si>
  <si>
    <t>IfcMechanicalMatProp</t>
  </si>
  <si>
    <t>IfcMechanicalSteelMatProp</t>
  </si>
  <si>
    <t>IfcProductsOfCombustionProp</t>
  </si>
  <si>
    <t>IfcMaterialClassificationRel</t>
  </si>
  <si>
    <t>IfcDraughtingPreDefCurveFont</t>
  </si>
  <si>
    <t>IfcExternallyDefSurfaceStyle</t>
  </si>
  <si>
    <t>IfcFillAreaStyleTileSWithStyle</t>
  </si>
  <si>
    <t>IfcTextStyleWithBoxCharacter</t>
  </si>
  <si>
    <t>IfcDimensionCurveDirectedCall</t>
  </si>
  <si>
    <t>IfcRelConnectsWithRealizingEle</t>
  </si>
  <si>
    <t>IfcRelContainedInSpatialStruct</t>
  </si>
  <si>
    <t>IfcRelReferencedInSpatialStruct</t>
  </si>
  <si>
    <t>IfcSectionReinforcementProp</t>
  </si>
  <si>
    <t>IfcStructuralSteelProfileProp</t>
  </si>
  <si>
    <t>IfcPropertyDependencyRel</t>
  </si>
  <si>
    <t>IfcGeometricRepresentContext</t>
  </si>
  <si>
    <t>IfcGeometricRepresentSubContext</t>
  </si>
  <si>
    <t>IfcMaterialDefinitionRepresent</t>
  </si>
  <si>
    <t>IfcDistributionChamberElemType</t>
  </si>
  <si>
    <t>IfcDistributionControlElemType</t>
  </si>
  <si>
    <t>IfcRelAssociatesProfileProp</t>
  </si>
  <si>
    <t>IfcRelConnectsStructuralActiv</t>
  </si>
  <si>
    <t>IfcStructuralSurfaceMemberVar</t>
  </si>
  <si>
    <t>IfcStructuralPlanarActionVar</t>
  </si>
  <si>
    <t>IfcStructuralLinearActionVar</t>
  </si>
  <si>
    <t>IfcReinforcementDefinitionProp</t>
  </si>
  <si>
    <t>IfcStructuralLoadSngDisplDistor</t>
  </si>
  <si>
    <t>IfcStructuralLoadSingDisplace</t>
  </si>
  <si>
    <t>IfcStructuralLoadSingForceWarp</t>
  </si>
  <si>
    <t>IfcStructuralLoadSingForce</t>
  </si>
  <si>
    <t>IfcTimeSeriesReferenceRel</t>
  </si>
  <si>
    <t>IfcTopologicalRepresentItem</t>
  </si>
  <si>
    <t>Entity 1</t>
  </si>
  <si>
    <t>Entity 2</t>
  </si>
  <si>
    <t>Entity 3</t>
  </si>
  <si>
    <t>Entity 4</t>
  </si>
  <si>
    <t>Entity 5</t>
  </si>
  <si>
    <t>Entity 6</t>
  </si>
  <si>
    <t>Entity 7</t>
  </si>
  <si>
    <t>Entity 8</t>
  </si>
  <si>
    <t>Entity 9</t>
  </si>
  <si>
    <t>Entity 10</t>
  </si>
  <si>
    <t>Entity 11</t>
  </si>
  <si>
    <t>Entity 12</t>
  </si>
  <si>
    <t>Entity 13</t>
  </si>
  <si>
    <t>Entity 14</t>
  </si>
  <si>
    <t>Entity 15</t>
  </si>
  <si>
    <t>Entity 16</t>
  </si>
  <si>
    <t>Entity 17</t>
  </si>
  <si>
    <t>Entity 18</t>
  </si>
  <si>
    <t>Entity 19</t>
  </si>
  <si>
    <t>Entity 20</t>
  </si>
  <si>
    <t>Entity 21</t>
  </si>
  <si>
    <t>Entity 22</t>
  </si>
  <si>
    <t>Entity 23</t>
  </si>
  <si>
    <t>Entity 24</t>
  </si>
  <si>
    <t>Entity 25</t>
  </si>
  <si>
    <t>Entity 26</t>
  </si>
  <si>
    <t>Entity 27</t>
  </si>
  <si>
    <t>Entity 28</t>
  </si>
  <si>
    <t>Entity 29</t>
  </si>
  <si>
    <t>Entity 30</t>
  </si>
  <si>
    <t>Entity 31</t>
  </si>
  <si>
    <t>Entity 32</t>
  </si>
  <si>
    <t>Entity 33</t>
  </si>
  <si>
    <t>Entity 34</t>
  </si>
  <si>
    <t>Entity 35</t>
  </si>
  <si>
    <t>Entity 36</t>
  </si>
  <si>
    <t>Entity 37</t>
  </si>
  <si>
    <t>Entity 38</t>
  </si>
  <si>
    <t>Entity 39</t>
  </si>
  <si>
    <t>Entity 40</t>
  </si>
  <si>
    <t>Entity 41</t>
  </si>
  <si>
    <t>Entity 42</t>
  </si>
  <si>
    <t>Entity 43</t>
  </si>
  <si>
    <t>Entity 44</t>
  </si>
  <si>
    <t>Entity 45</t>
  </si>
  <si>
    <t>Entity 46</t>
  </si>
  <si>
    <t>Entity 47</t>
  </si>
  <si>
    <t>Entity 48</t>
  </si>
  <si>
    <t>Entity 49</t>
  </si>
  <si>
    <t>Entity 50</t>
  </si>
  <si>
    <t>Entity 51</t>
  </si>
  <si>
    <t>Entity 52</t>
  </si>
  <si>
    <t>Entity 53</t>
  </si>
  <si>
    <t>Entity 54</t>
  </si>
  <si>
    <t>Entity 55</t>
  </si>
  <si>
    <t>Entity 56</t>
  </si>
  <si>
    <t>Entity 57</t>
  </si>
  <si>
    <t>Entity 58</t>
  </si>
  <si>
    <t>Entity 59</t>
  </si>
  <si>
    <t>Entity 60</t>
  </si>
  <si>
    <t>Entity 61</t>
  </si>
  <si>
    <t>Entity 62</t>
  </si>
  <si>
    <t>Entity 63</t>
  </si>
  <si>
    <t>Entity 64</t>
  </si>
  <si>
    <t>Entity 65</t>
  </si>
  <si>
    <t>Entity 66</t>
  </si>
  <si>
    <t>Entity 67</t>
  </si>
  <si>
    <t>Entity 68</t>
  </si>
  <si>
    <t>Entity 69</t>
  </si>
  <si>
    <t>Entity 70</t>
  </si>
  <si>
    <t>Entity 71</t>
  </si>
  <si>
    <t>Entity 72</t>
  </si>
  <si>
    <t>Entity 73</t>
  </si>
  <si>
    <t>Entity 74</t>
  </si>
  <si>
    <t>Entity 75</t>
  </si>
  <si>
    <t>Entity 76</t>
  </si>
  <si>
    <t>Entity 77</t>
  </si>
  <si>
    <t>Entity 78</t>
  </si>
  <si>
    <t>Entity 79</t>
  </si>
  <si>
    <t>Entity 80</t>
  </si>
  <si>
    <t>Entity 81</t>
  </si>
  <si>
    <t>Entity 82</t>
  </si>
  <si>
    <t>Entity 83</t>
  </si>
  <si>
    <t>Entity 84</t>
  </si>
  <si>
    <t>Entity 85</t>
  </si>
  <si>
    <t>Entity 86</t>
  </si>
  <si>
    <t>Entity 87</t>
  </si>
  <si>
    <t>Entity 88</t>
  </si>
  <si>
    <t>Entity 89</t>
  </si>
  <si>
    <t>Entity 90</t>
  </si>
  <si>
    <t>Entity 91</t>
  </si>
  <si>
    <t>Entity 92</t>
  </si>
  <si>
    <t>Entity 93</t>
  </si>
  <si>
    <t>Entity 94</t>
  </si>
  <si>
    <t>Entity 95</t>
  </si>
  <si>
    <t>Entity 96</t>
  </si>
  <si>
    <t>Entity 97</t>
  </si>
  <si>
    <t>Entity 98</t>
  </si>
  <si>
    <t>Entity 99</t>
  </si>
  <si>
    <t>Entity 100</t>
  </si>
  <si>
    <t>Entity 101</t>
  </si>
  <si>
    <t>Entity 102</t>
  </si>
  <si>
    <t>Entity 103</t>
  </si>
  <si>
    <t>Entity 104</t>
  </si>
  <si>
    <t>Entity 105</t>
  </si>
  <si>
    <t>Entity 106</t>
  </si>
  <si>
    <t>Entity 107</t>
  </si>
  <si>
    <t>Entity 108</t>
  </si>
  <si>
    <t>Entity 109</t>
  </si>
  <si>
    <t>Entity 110</t>
  </si>
  <si>
    <t>Entity 111</t>
  </si>
  <si>
    <t>Entity 112</t>
  </si>
  <si>
    <t>Entity 113</t>
  </si>
  <si>
    <t>Entity 114</t>
  </si>
  <si>
    <t>Entity 115</t>
  </si>
  <si>
    <t>Entity 116</t>
  </si>
  <si>
    <t>Entity 117</t>
  </si>
  <si>
    <t>Entity 118</t>
  </si>
  <si>
    <t>Entity 119</t>
  </si>
  <si>
    <t>Entity 120</t>
  </si>
  <si>
    <t>Entity 121</t>
  </si>
  <si>
    <t>Entity 122</t>
  </si>
  <si>
    <t>Entity 123</t>
  </si>
  <si>
    <t>Entity 124</t>
  </si>
  <si>
    <t>Entity 125</t>
  </si>
  <si>
    <t>Entity 126</t>
  </si>
  <si>
    <t>Entity 127</t>
  </si>
  <si>
    <t>Entity 128</t>
  </si>
  <si>
    <t>Entity 129</t>
  </si>
  <si>
    <t>Entity 130</t>
  </si>
  <si>
    <t>Entity 131</t>
  </si>
  <si>
    <t>Entity 132</t>
  </si>
  <si>
    <t>Entity 133</t>
  </si>
  <si>
    <t>Entity 134</t>
  </si>
  <si>
    <t>Entity 135</t>
  </si>
  <si>
    <t>Entity 136</t>
  </si>
  <si>
    <t>Entity 137</t>
  </si>
  <si>
    <t>Entity 138</t>
  </si>
  <si>
    <t>Entity 139</t>
  </si>
  <si>
    <t>Entity 140</t>
  </si>
  <si>
    <t>Entity 141</t>
  </si>
  <si>
    <t>Entity 142</t>
  </si>
  <si>
    <t>Entity 143</t>
  </si>
  <si>
    <t>Entity 144</t>
  </si>
  <si>
    <t>Entity 145</t>
  </si>
  <si>
    <t>Entity 146</t>
  </si>
  <si>
    <t>Entity 147</t>
  </si>
  <si>
    <t>Entity 148</t>
  </si>
  <si>
    <t>Entity 149</t>
  </si>
  <si>
    <t>Entity 150</t>
  </si>
  <si>
    <t>Entity 151</t>
  </si>
  <si>
    <t>Entity 152</t>
  </si>
  <si>
    <t>Entity 153</t>
  </si>
  <si>
    <t>Entity 154</t>
  </si>
  <si>
    <t>Entity 155</t>
  </si>
  <si>
    <t>Entity 156</t>
  </si>
  <si>
    <t>Entity 157</t>
  </si>
  <si>
    <t>Entity 158</t>
  </si>
  <si>
    <t>Entity 159</t>
  </si>
  <si>
    <t>Entity 160</t>
  </si>
  <si>
    <t>Entity 161</t>
  </si>
  <si>
    <t>Entity 162</t>
  </si>
  <si>
    <t>Entity 163</t>
  </si>
  <si>
    <t>Entity 164</t>
  </si>
  <si>
    <t>Entity 165</t>
  </si>
  <si>
    <t>Entity 166</t>
  </si>
  <si>
    <t>Entity 167</t>
  </si>
  <si>
    <t>Entity 168</t>
  </si>
  <si>
    <t>Entity 169</t>
  </si>
  <si>
    <t>Entity 170</t>
  </si>
  <si>
    <t>Entity 171</t>
  </si>
  <si>
    <t>Entity 172</t>
  </si>
  <si>
    <t>Entity 173</t>
  </si>
  <si>
    <t>Entity 174</t>
  </si>
  <si>
    <t>Entity 175</t>
  </si>
  <si>
    <t>Entity 176</t>
  </si>
  <si>
    <t>Entity 177</t>
  </si>
  <si>
    <t>Entity 178</t>
  </si>
  <si>
    <t>Entity 179</t>
  </si>
  <si>
    <t>Entity 180</t>
  </si>
  <si>
    <t>Entity 181</t>
  </si>
  <si>
    <t>Entity 182</t>
  </si>
  <si>
    <t>Entity 183</t>
  </si>
  <si>
    <t>Entity 184</t>
  </si>
  <si>
    <t>Entity 185</t>
  </si>
  <si>
    <t>Entity 186</t>
  </si>
  <si>
    <t>Entity 187</t>
  </si>
  <si>
    <t>Entity 188</t>
  </si>
  <si>
    <t>Entity 189</t>
  </si>
  <si>
    <t>Entity 190</t>
  </si>
  <si>
    <t>Entity 191</t>
  </si>
  <si>
    <t>Entity 192</t>
  </si>
  <si>
    <t>Entity 193</t>
  </si>
  <si>
    <t>Entity 194</t>
  </si>
  <si>
    <t>Entity 195</t>
  </si>
  <si>
    <t>Entity 196</t>
  </si>
  <si>
    <t>Entity 197</t>
  </si>
  <si>
    <t>Entity 198</t>
  </si>
  <si>
    <t>Entity 199</t>
  </si>
  <si>
    <t>Entity 200</t>
  </si>
  <si>
    <t>Entity 201</t>
  </si>
  <si>
    <t>Entity 202</t>
  </si>
  <si>
    <t>Entity 203</t>
  </si>
  <si>
    <t>Entity 204</t>
  </si>
  <si>
    <t>Entity 205</t>
  </si>
  <si>
    <t>Entity 206</t>
  </si>
  <si>
    <t>Entity 207</t>
  </si>
  <si>
    <t>Entity 208</t>
  </si>
  <si>
    <t>Entity 209</t>
  </si>
  <si>
    <t>Entity 210</t>
  </si>
  <si>
    <t>Entity 211</t>
  </si>
  <si>
    <t>Entity 212</t>
  </si>
  <si>
    <t>Entity 213</t>
  </si>
  <si>
    <t>Entity 214</t>
  </si>
  <si>
    <t>Entity 215</t>
  </si>
  <si>
    <t>Entity 216</t>
  </si>
  <si>
    <t>Entity 217</t>
  </si>
  <si>
    <t>Entity 218</t>
  </si>
  <si>
    <t>Entity 219</t>
  </si>
  <si>
    <t>Entity 220</t>
  </si>
  <si>
    <t>Entity 221</t>
  </si>
  <si>
    <t>Entity 222</t>
  </si>
  <si>
    <t>Entity 223</t>
  </si>
  <si>
    <t>Entity 224</t>
  </si>
  <si>
    <t>Entity 225</t>
  </si>
  <si>
    <t>Entity 226</t>
  </si>
  <si>
    <t>Entity 227</t>
  </si>
  <si>
    <t>Entity 228</t>
  </si>
  <si>
    <t>Entity 229</t>
  </si>
  <si>
    <t>Entity 230</t>
  </si>
  <si>
    <t>Entity 231</t>
  </si>
  <si>
    <t>Entity 232</t>
  </si>
  <si>
    <t>Entity 233</t>
  </si>
  <si>
    <t>Entity 234</t>
  </si>
  <si>
    <t>Entity 235</t>
  </si>
  <si>
    <t>Entity 236</t>
  </si>
  <si>
    <t>Entity 237</t>
  </si>
  <si>
    <t>Entity 238</t>
  </si>
  <si>
    <t>Entity 239</t>
  </si>
  <si>
    <t>Entity 240</t>
  </si>
  <si>
    <t>Entity 241</t>
  </si>
  <si>
    <t>Entity 242</t>
  </si>
  <si>
    <t>Entity 243</t>
  </si>
  <si>
    <t>Entity 244</t>
  </si>
  <si>
    <t>Entity 245</t>
  </si>
  <si>
    <t>Entity 246</t>
  </si>
  <si>
    <t>Entity 247</t>
  </si>
  <si>
    <t>Entity 248</t>
  </si>
  <si>
    <t>Entity 249</t>
  </si>
  <si>
    <t>Entity 250</t>
  </si>
  <si>
    <t>Entity 251</t>
  </si>
  <si>
    <t>Entity 252</t>
  </si>
  <si>
    <t>Entity 253</t>
  </si>
  <si>
    <t>Entity 254</t>
  </si>
  <si>
    <t>Entity 255</t>
  </si>
  <si>
    <t>Entity 256</t>
  </si>
  <si>
    <t>Entity 257</t>
  </si>
  <si>
    <t>Entity 258</t>
  </si>
  <si>
    <t>Entity 259</t>
  </si>
  <si>
    <t>Entity 260</t>
  </si>
  <si>
    <t>Entity 261</t>
  </si>
  <si>
    <t>Entity 262</t>
  </si>
  <si>
    <t>Entity 263</t>
  </si>
  <si>
    <t>Entity 264</t>
  </si>
  <si>
    <t>Entity 265</t>
  </si>
  <si>
    <t>Entity 266</t>
  </si>
  <si>
    <t>Entity 267</t>
  </si>
  <si>
    <t>Entity 268</t>
  </si>
  <si>
    <t>Entity 269</t>
  </si>
  <si>
    <t>Entity 270</t>
  </si>
  <si>
    <t>Entity 271</t>
  </si>
  <si>
    <t>Entity 272</t>
  </si>
  <si>
    <t>Entity 273</t>
  </si>
  <si>
    <t>Entity 274</t>
  </si>
  <si>
    <t>Entity 275</t>
  </si>
  <si>
    <t>Entity 276</t>
  </si>
  <si>
    <t>Entity 277</t>
  </si>
  <si>
    <t>Entity 278</t>
  </si>
  <si>
    <t>Entity 279</t>
  </si>
  <si>
    <t>Entity 280</t>
  </si>
  <si>
    <t>Entity 281</t>
  </si>
  <si>
    <t>Entity 282</t>
  </si>
  <si>
    <t>Entity 283</t>
  </si>
  <si>
    <t>Entity 284</t>
  </si>
  <si>
    <t>Entity 285</t>
  </si>
  <si>
    <t>Entity 286</t>
  </si>
  <si>
    <t>Entity 287</t>
  </si>
  <si>
    <t>Entity 288</t>
  </si>
  <si>
    <t>Entity 289</t>
  </si>
  <si>
    <t>Entity 290</t>
  </si>
  <si>
    <t>Entity 291</t>
  </si>
  <si>
    <t>Entity 292</t>
  </si>
  <si>
    <t>Entity 293</t>
  </si>
  <si>
    <t>Entity 294</t>
  </si>
  <si>
    <t>Entity 295</t>
  </si>
  <si>
    <t>Entity 296</t>
  </si>
  <si>
    <t>Entity 297</t>
  </si>
  <si>
    <t>Entity 298</t>
  </si>
  <si>
    <t>Entity 299</t>
  </si>
  <si>
    <t>Entity 300</t>
  </si>
  <si>
    <t>Entity 301</t>
  </si>
  <si>
    <t>Entity 302</t>
  </si>
  <si>
    <t>Entity 303</t>
  </si>
  <si>
    <t>Entity 304</t>
  </si>
  <si>
    <t>Entity 305</t>
  </si>
  <si>
    <t>Entity 306</t>
  </si>
  <si>
    <t>Entity 307</t>
  </si>
  <si>
    <t>Entity 308</t>
  </si>
  <si>
    <t>Entity 309</t>
  </si>
  <si>
    <t>Entity 310</t>
  </si>
  <si>
    <t>Entity 311</t>
  </si>
  <si>
    <t>Entity 312</t>
  </si>
  <si>
    <t>Entity 313</t>
  </si>
  <si>
    <t>Entity 314</t>
  </si>
  <si>
    <t>Entity 315</t>
  </si>
  <si>
    <t>Entity 316</t>
  </si>
  <si>
    <t>Entity 317</t>
  </si>
  <si>
    <t>Entity 318</t>
  </si>
  <si>
    <t>Entity 319</t>
  </si>
  <si>
    <t>Entity 320</t>
  </si>
  <si>
    <t>Entity 321</t>
  </si>
  <si>
    <t>Entity 322</t>
  </si>
  <si>
    <t>Entity 323</t>
  </si>
  <si>
    <t>Entity 324</t>
  </si>
  <si>
    <t>Entity 325</t>
  </si>
  <si>
    <t>Entity 326</t>
  </si>
  <si>
    <t>Entity 327</t>
  </si>
  <si>
    <t>Entity 328</t>
  </si>
  <si>
    <t>Entity 329</t>
  </si>
  <si>
    <t>Entity 330</t>
  </si>
  <si>
    <t>Entity 331</t>
  </si>
  <si>
    <t>Entity 332</t>
  </si>
  <si>
    <t>Entity 333</t>
  </si>
  <si>
    <t>Entity 334</t>
  </si>
  <si>
    <t>Entity 335</t>
  </si>
  <si>
    <t>Entity 336</t>
  </si>
  <si>
    <t>Entity 337</t>
  </si>
  <si>
    <t>Entity 338</t>
  </si>
  <si>
    <t>Entity 339</t>
  </si>
  <si>
    <t>Entity 340</t>
  </si>
  <si>
    <t>Entity 341</t>
  </si>
  <si>
    <t>Entity 342</t>
  </si>
  <si>
    <t>Entity 343</t>
  </si>
  <si>
    <t>Entity 344</t>
  </si>
  <si>
    <t>Entity 345</t>
  </si>
  <si>
    <t>Entity 346</t>
  </si>
  <si>
    <t>Entity 347</t>
  </si>
  <si>
    <t>Entity 348</t>
  </si>
  <si>
    <t>Entity 349</t>
  </si>
  <si>
    <t>Entity 350</t>
  </si>
  <si>
    <t>Entity 351</t>
  </si>
  <si>
    <t>Entity 352</t>
  </si>
  <si>
    <t>Entity 353</t>
  </si>
  <si>
    <t>Entity 354</t>
  </si>
  <si>
    <t>Entity 355</t>
  </si>
  <si>
    <t>Entity 356</t>
  </si>
  <si>
    <t>Entity 357</t>
  </si>
  <si>
    <t>Entity 358</t>
  </si>
  <si>
    <t>Entity 359</t>
  </si>
  <si>
    <t>Entity 360</t>
  </si>
  <si>
    <t>Entity 361</t>
  </si>
  <si>
    <t>Entity 362</t>
  </si>
  <si>
    <t>Entity 363</t>
  </si>
  <si>
    <t>Entity 364</t>
  </si>
  <si>
    <t>Entity 365</t>
  </si>
  <si>
    <t>Entity 366</t>
  </si>
  <si>
    <t>Entity 367</t>
  </si>
  <si>
    <t>Entity 368</t>
  </si>
  <si>
    <t>Entity 369</t>
  </si>
  <si>
    <t>Entity 370</t>
  </si>
  <si>
    <t>Entity 371</t>
  </si>
  <si>
    <t>Entity 372</t>
  </si>
  <si>
    <t>Entity 373</t>
  </si>
  <si>
    <t>Entity 374</t>
  </si>
  <si>
    <t>Entity 375</t>
  </si>
  <si>
    <t>Entity 376</t>
  </si>
  <si>
    <t>Entity 377</t>
  </si>
  <si>
    <t>Entity 378</t>
  </si>
  <si>
    <t>Entity 379</t>
  </si>
  <si>
    <t>Entity 380</t>
  </si>
  <si>
    <t>Entity 381</t>
  </si>
  <si>
    <t>Entity 382</t>
  </si>
  <si>
    <t>Entity 383</t>
  </si>
  <si>
    <t>Entity 384</t>
  </si>
  <si>
    <t>Entity 385</t>
  </si>
  <si>
    <t>Entity 386</t>
  </si>
  <si>
    <t>Entity 387</t>
  </si>
  <si>
    <t>Entity 388</t>
  </si>
  <si>
    <t>Entity 389</t>
  </si>
  <si>
    <t>Entity 390</t>
  </si>
  <si>
    <t>Entity 391</t>
  </si>
  <si>
    <t>Entity 392</t>
  </si>
  <si>
    <t>Entity 393</t>
  </si>
  <si>
    <t>Entity 394</t>
  </si>
  <si>
    <t>Entity 395</t>
  </si>
  <si>
    <t>Entity 396</t>
  </si>
  <si>
    <t>Entity 397</t>
  </si>
  <si>
    <t>Entity 398</t>
  </si>
  <si>
    <t>Entity 399</t>
  </si>
  <si>
    <t>Entity 400</t>
  </si>
  <si>
    <t>Entity 401</t>
  </si>
  <si>
    <t>Entity 402</t>
  </si>
  <si>
    <t>Entity 403</t>
  </si>
  <si>
    <t>Entity 404</t>
  </si>
  <si>
    <t>Entity 405</t>
  </si>
  <si>
    <t>Entity 406</t>
  </si>
  <si>
    <t>Entity 407</t>
  </si>
  <si>
    <t>Entity 408</t>
  </si>
  <si>
    <t>Entity 409</t>
  </si>
  <si>
    <t>Entity 410</t>
  </si>
  <si>
    <t>Entity 411</t>
  </si>
  <si>
    <t>Entity 412</t>
  </si>
  <si>
    <t>Entity 413</t>
  </si>
  <si>
    <t>Entity 414</t>
  </si>
  <si>
    <t>Entity 415</t>
  </si>
  <si>
    <t>Entity 416</t>
  </si>
  <si>
    <t>Entity 417</t>
  </si>
  <si>
    <t>Entity 418</t>
  </si>
  <si>
    <t>Entity 419</t>
  </si>
  <si>
    <t>Entity 420</t>
  </si>
  <si>
    <t>Entity 421</t>
  </si>
  <si>
    <t>Entity 422</t>
  </si>
  <si>
    <t>Entity 423</t>
  </si>
  <si>
    <t>Entity 424</t>
  </si>
  <si>
    <t>Entity 425</t>
  </si>
  <si>
    <t>Entity 426</t>
  </si>
  <si>
    <t>Entity 427</t>
  </si>
  <si>
    <t>Entity 428</t>
  </si>
  <si>
    <t>Entity 429</t>
  </si>
  <si>
    <t>Entity 430</t>
  </si>
  <si>
    <t>Entity 431</t>
  </si>
  <si>
    <t>Entity 432</t>
  </si>
  <si>
    <t>Entity 433</t>
  </si>
  <si>
    <t>Entity 434</t>
  </si>
  <si>
    <t>Entity 435</t>
  </si>
  <si>
    <t>Entity 436</t>
  </si>
  <si>
    <t>Entity 437</t>
  </si>
  <si>
    <t>Entity 438</t>
  </si>
  <si>
    <t>Entity 439</t>
  </si>
  <si>
    <t>Entity 440</t>
  </si>
  <si>
    <t>Entity 441</t>
  </si>
  <si>
    <t>Entity 442</t>
  </si>
  <si>
    <t>Entity 443</t>
  </si>
  <si>
    <t>Entity 444</t>
  </si>
  <si>
    <t>Entity 445</t>
  </si>
  <si>
    <t>Entity 446</t>
  </si>
  <si>
    <t>Entity 447</t>
  </si>
  <si>
    <t>Entity 448</t>
  </si>
  <si>
    <t>Entity 449</t>
  </si>
  <si>
    <t>Entity 450</t>
  </si>
  <si>
    <t>Entity 451</t>
  </si>
  <si>
    <t>Entity 452</t>
  </si>
  <si>
    <t>Entity 453</t>
  </si>
  <si>
    <t>Entity 454</t>
  </si>
  <si>
    <t>Entity 455</t>
  </si>
  <si>
    <t>Entity 456</t>
  </si>
  <si>
    <t>Entity 457</t>
  </si>
  <si>
    <t>Entity 458</t>
  </si>
  <si>
    <t>Entity 459</t>
  </si>
  <si>
    <t>Entity 460</t>
  </si>
  <si>
    <t>Entity 461</t>
  </si>
  <si>
    <t>Entity 462</t>
  </si>
  <si>
    <t>Entity 463</t>
  </si>
  <si>
    <t>Entity 464</t>
  </si>
  <si>
    <t>Entity 465</t>
  </si>
  <si>
    <t>Entity 466</t>
  </si>
  <si>
    <t>Entity 467</t>
  </si>
  <si>
    <t>Entity 468</t>
  </si>
  <si>
    <t>Entity 469</t>
  </si>
  <si>
    <t>Entity 470</t>
  </si>
  <si>
    <t>Entity 471</t>
  </si>
  <si>
    <t>Entity 472</t>
  </si>
  <si>
    <t>Entity 473</t>
  </si>
  <si>
    <t>Entity 474</t>
  </si>
  <si>
    <t>Entity 475</t>
  </si>
  <si>
    <t>Entity 476</t>
  </si>
  <si>
    <t>Entity 477</t>
  </si>
  <si>
    <t>Entity 478</t>
  </si>
  <si>
    <t>Entity 479</t>
  </si>
  <si>
    <t>Entity 480</t>
  </si>
  <si>
    <t>Entity 481</t>
  </si>
  <si>
    <t>Entity 482</t>
  </si>
  <si>
    <t>Entity 483</t>
  </si>
  <si>
    <t>Entity 484</t>
  </si>
  <si>
    <t>Entity 485</t>
  </si>
  <si>
    <t>Entity 486</t>
  </si>
  <si>
    <t>Entity 487</t>
  </si>
  <si>
    <t>Entity 488</t>
  </si>
  <si>
    <t>Entity 489</t>
  </si>
  <si>
    <t>Entity 490</t>
  </si>
  <si>
    <t>Entity 491</t>
  </si>
  <si>
    <t>Entity 492</t>
  </si>
  <si>
    <t>Entity 493</t>
  </si>
  <si>
    <t>Entity 494</t>
  </si>
  <si>
    <t>Entity 495</t>
  </si>
  <si>
    <t>Entity 496</t>
  </si>
  <si>
    <t>Entity 497</t>
  </si>
  <si>
    <t>Entity 498</t>
  </si>
  <si>
    <t>Entity 499</t>
  </si>
  <si>
    <t>Entity 500</t>
  </si>
  <si>
    <t>Entity 501</t>
  </si>
  <si>
    <t>Entity 502</t>
  </si>
  <si>
    <t>Entity 503</t>
  </si>
  <si>
    <t>Entity 504</t>
  </si>
  <si>
    <t>Entity 505</t>
  </si>
  <si>
    <t>Entity 506</t>
  </si>
  <si>
    <t>Entity 507</t>
  </si>
  <si>
    <t>Entity 508</t>
  </si>
  <si>
    <t>Entity 509</t>
  </si>
  <si>
    <t>Entity 510</t>
  </si>
  <si>
    <t>Entity 511</t>
  </si>
  <si>
    <t>Entity 512</t>
  </si>
  <si>
    <t>Entity 513</t>
  </si>
  <si>
    <t>Entity 514</t>
  </si>
  <si>
    <t>Entity 515</t>
  </si>
  <si>
    <t>Entity 516</t>
  </si>
  <si>
    <t>Entity 517</t>
  </si>
  <si>
    <t>Entity 518</t>
  </si>
  <si>
    <t>Entity 519</t>
  </si>
  <si>
    <t>Entity 520</t>
  </si>
  <si>
    <t>Entity 521</t>
  </si>
  <si>
    <t>Entity 522</t>
  </si>
  <si>
    <t>Entity 523</t>
  </si>
  <si>
    <t>Entity 524</t>
  </si>
  <si>
    <t>Entity 525</t>
  </si>
  <si>
    <t>Entity 526</t>
  </si>
  <si>
    <t>Entity 527</t>
  </si>
  <si>
    <t>Entity 528</t>
  </si>
  <si>
    <t>Entity 529</t>
  </si>
  <si>
    <t>Entity 530</t>
  </si>
  <si>
    <t>Entity 531</t>
  </si>
  <si>
    <t>Entity 532</t>
  </si>
  <si>
    <t>Entity 533</t>
  </si>
  <si>
    <t>Entity 534</t>
  </si>
  <si>
    <t>Entity 535</t>
  </si>
  <si>
    <t>Entity 536</t>
  </si>
  <si>
    <t>Entity 537</t>
  </si>
  <si>
    <t>Entity 538</t>
  </si>
  <si>
    <t>Entity 539</t>
  </si>
  <si>
    <t>Entity 540</t>
  </si>
  <si>
    <t>Entity 541</t>
  </si>
  <si>
    <t>Entity 542</t>
  </si>
  <si>
    <t>Entity 543</t>
  </si>
  <si>
    <t>Entity 544</t>
  </si>
  <si>
    <t>Entity 545</t>
  </si>
  <si>
    <t>Entity 546</t>
  </si>
  <si>
    <t>Entity 547</t>
  </si>
  <si>
    <t>Entity 548</t>
  </si>
  <si>
    <t>Entity 549</t>
  </si>
  <si>
    <t>Entity 550</t>
  </si>
  <si>
    <t>Entity 551</t>
  </si>
  <si>
    <t>Entity 552</t>
  </si>
  <si>
    <t>Entity 553</t>
  </si>
  <si>
    <t>Entity 554</t>
  </si>
  <si>
    <t>Entity 555</t>
  </si>
  <si>
    <t>Entity 556</t>
  </si>
  <si>
    <t>Entity 557</t>
  </si>
  <si>
    <t>Entity 558</t>
  </si>
  <si>
    <t>Entity 559</t>
  </si>
  <si>
    <t>Entity 560</t>
  </si>
  <si>
    <t>Entity 561</t>
  </si>
  <si>
    <t>Entity 562</t>
  </si>
  <si>
    <t>Entity 563</t>
  </si>
  <si>
    <t>Entity 564</t>
  </si>
  <si>
    <t>Entity 565</t>
  </si>
  <si>
    <t>Entity 566</t>
  </si>
  <si>
    <t>Entity 567</t>
  </si>
  <si>
    <t>Entity 568</t>
  </si>
  <si>
    <t>Entity 569</t>
  </si>
  <si>
    <t>Entity 570</t>
  </si>
  <si>
    <t>Entity 571</t>
  </si>
  <si>
    <t>Entity 572</t>
  </si>
  <si>
    <t>Entity 573</t>
  </si>
  <si>
    <t>Entity 574</t>
  </si>
  <si>
    <t>Entity 575</t>
  </si>
  <si>
    <t>Entity 576</t>
  </si>
  <si>
    <t>Entity 577</t>
  </si>
  <si>
    <t>Entity 578</t>
  </si>
  <si>
    <t>Entity 579</t>
  </si>
  <si>
    <t>Entity 580</t>
  </si>
  <si>
    <t>Entity 581</t>
  </si>
  <si>
    <t>Entity 582</t>
  </si>
  <si>
    <t>Entity 583</t>
  </si>
  <si>
    <t>Entity 584</t>
  </si>
  <si>
    <t>Entity 585</t>
  </si>
  <si>
    <t>Entity 586</t>
  </si>
  <si>
    <t>Entity 587</t>
  </si>
  <si>
    <t>Entity 588</t>
  </si>
  <si>
    <t>Entity 589</t>
  </si>
  <si>
    <t>Entity 590</t>
  </si>
  <si>
    <t>Entity 591</t>
  </si>
  <si>
    <t>Entity 592</t>
  </si>
  <si>
    <t>Entity 593</t>
  </si>
  <si>
    <t>Entity 594</t>
  </si>
  <si>
    <t>Entity 595</t>
  </si>
  <si>
    <t>Entity 596</t>
  </si>
  <si>
    <t>Entity 597</t>
  </si>
  <si>
    <t>Entity 598</t>
  </si>
  <si>
    <t>Entity 599</t>
  </si>
  <si>
    <t>Entity 600</t>
  </si>
  <si>
    <t>Entity 601</t>
  </si>
  <si>
    <t>Entity 602</t>
  </si>
  <si>
    <t>Entity 603</t>
  </si>
  <si>
    <t>Entity 604</t>
  </si>
  <si>
    <t>Entity 605</t>
  </si>
  <si>
    <t>Entity 606</t>
  </si>
  <si>
    <t>Entity 607</t>
  </si>
  <si>
    <t>Entity 608</t>
  </si>
  <si>
    <t>Entity 609</t>
  </si>
  <si>
    <t>Entity 610</t>
  </si>
  <si>
    <t>Entity 611</t>
  </si>
  <si>
    <t>Entity 612</t>
  </si>
  <si>
    <t>Entity 613</t>
  </si>
  <si>
    <t>Entity 614</t>
  </si>
  <si>
    <t>Entity 615</t>
  </si>
  <si>
    <t>Entity 616</t>
  </si>
  <si>
    <t>Entity 617</t>
  </si>
  <si>
    <t>Entity 618</t>
  </si>
  <si>
    <t>Entity 619</t>
  </si>
  <si>
    <t>Entity 620</t>
  </si>
  <si>
    <t>Entity 621</t>
  </si>
  <si>
    <t>Entity 622</t>
  </si>
  <si>
    <t>Entity 623</t>
  </si>
  <si>
    <t>Entity 624</t>
  </si>
  <si>
    <t>Entity 625</t>
  </si>
  <si>
    <t>Entity 626</t>
  </si>
  <si>
    <t>Entity 627</t>
  </si>
  <si>
    <t>Entity 628</t>
  </si>
  <si>
    <t>Entity 629</t>
  </si>
  <si>
    <t>Entity 630</t>
  </si>
  <si>
    <t>Entity 631</t>
  </si>
  <si>
    <t>Entity 632</t>
  </si>
  <si>
    <t>Entity 633</t>
  </si>
  <si>
    <t>Entity 634</t>
  </si>
  <si>
    <t>Entity 635</t>
  </si>
  <si>
    <t>Entity 636</t>
  </si>
  <si>
    <t>Entity 637</t>
  </si>
  <si>
    <t>Entity 638</t>
  </si>
  <si>
    <t>Entity 639</t>
  </si>
  <si>
    <t>Entity 640</t>
  </si>
  <si>
    <t>Entity 641</t>
  </si>
  <si>
    <t>Entity 642</t>
  </si>
  <si>
    <t>Entity 643</t>
  </si>
  <si>
    <t>Entity 644</t>
  </si>
  <si>
    <t>Entity 645</t>
  </si>
  <si>
    <t>Entity 646</t>
  </si>
  <si>
    <t>Entity 647</t>
  </si>
  <si>
    <t>Entity 648</t>
  </si>
  <si>
    <t>Entity 649</t>
  </si>
  <si>
    <t>Entity 650</t>
  </si>
  <si>
    <t>Entity 651</t>
  </si>
  <si>
    <t>Entity 652</t>
  </si>
  <si>
    <t>Entity 653</t>
  </si>
  <si>
    <t>DType 1</t>
  </si>
  <si>
    <t>DType 2</t>
  </si>
  <si>
    <t>DType 3</t>
  </si>
  <si>
    <t>DType 4</t>
  </si>
  <si>
    <t>DType 5</t>
  </si>
  <si>
    <t>DType 6</t>
  </si>
  <si>
    <t>DType 7</t>
  </si>
  <si>
    <t>DType 8</t>
  </si>
  <si>
    <t>DType 9</t>
  </si>
  <si>
    <t>DType 10</t>
  </si>
  <si>
    <t>DType 11</t>
  </si>
  <si>
    <t>DType 12</t>
  </si>
  <si>
    <t>DType 13</t>
  </si>
  <si>
    <t>DType 14</t>
  </si>
  <si>
    <t>DType 15</t>
  </si>
  <si>
    <t>DType 16</t>
  </si>
  <si>
    <t>DType 17</t>
  </si>
  <si>
    <t>DType 18</t>
  </si>
  <si>
    <t>DType 19</t>
  </si>
  <si>
    <t>DType 20</t>
  </si>
  <si>
    <t>DType 21</t>
  </si>
  <si>
    <t>DType 22</t>
  </si>
  <si>
    <t>DType 23</t>
  </si>
  <si>
    <t>DType 24</t>
  </si>
  <si>
    <t>DType 25</t>
  </si>
  <si>
    <t>DType 26</t>
  </si>
  <si>
    <t>DType 27</t>
  </si>
  <si>
    <t>DType 28</t>
  </si>
  <si>
    <t>DType 29</t>
  </si>
  <si>
    <t>DType 30</t>
  </si>
  <si>
    <t>DType 31</t>
  </si>
  <si>
    <t>DType 32</t>
  </si>
  <si>
    <t>DType 33</t>
  </si>
  <si>
    <t>DType 34</t>
  </si>
  <si>
    <t>DType 35</t>
  </si>
  <si>
    <t>DType 36</t>
  </si>
  <si>
    <t>DType 37</t>
  </si>
  <si>
    <t>DType 38</t>
  </si>
  <si>
    <t>DType 39</t>
  </si>
  <si>
    <t>DType 40</t>
  </si>
  <si>
    <t>DType 41</t>
  </si>
  <si>
    <t>DType 42</t>
  </si>
  <si>
    <t>DType 43</t>
  </si>
  <si>
    <t>DType 44</t>
  </si>
  <si>
    <t>DType 45</t>
  </si>
  <si>
    <t>DType 46</t>
  </si>
  <si>
    <t>DType 47</t>
  </si>
  <si>
    <t>DType 48</t>
  </si>
  <si>
    <t>DType 49</t>
  </si>
  <si>
    <t>DType 50</t>
  </si>
  <si>
    <t>DType 51</t>
  </si>
  <si>
    <t>DType 52</t>
  </si>
  <si>
    <t>DType 53</t>
  </si>
  <si>
    <t>DType 54</t>
  </si>
  <si>
    <t>DType 55</t>
  </si>
  <si>
    <t>DType 56</t>
  </si>
  <si>
    <t>DType 57</t>
  </si>
  <si>
    <t>DType 58</t>
  </si>
  <si>
    <t>DType 59</t>
  </si>
  <si>
    <t>DType 60</t>
  </si>
  <si>
    <t>DType 61</t>
  </si>
  <si>
    <t>DType 62</t>
  </si>
  <si>
    <t>DType 63</t>
  </si>
  <si>
    <t>DType 64</t>
  </si>
  <si>
    <t>DType 65</t>
  </si>
  <si>
    <t>DType 66</t>
  </si>
  <si>
    <t>DType 67</t>
  </si>
  <si>
    <t>DType 68</t>
  </si>
  <si>
    <t>DType 69</t>
  </si>
  <si>
    <t>DType 70</t>
  </si>
  <si>
    <t>DType 71</t>
  </si>
  <si>
    <t>DType 72</t>
  </si>
  <si>
    <t>DType 73</t>
  </si>
  <si>
    <t>DType 74</t>
  </si>
  <si>
    <t>DType 75</t>
  </si>
  <si>
    <t>DType 76</t>
  </si>
  <si>
    <t>DType 77</t>
  </si>
  <si>
    <t>DType 78</t>
  </si>
  <si>
    <t>DType 79</t>
  </si>
  <si>
    <t>DType 80</t>
  </si>
  <si>
    <t>DType 81</t>
  </si>
  <si>
    <t>DType 82</t>
  </si>
  <si>
    <t>DType 83</t>
  </si>
  <si>
    <t>DType 84</t>
  </si>
  <si>
    <t>DType 85</t>
  </si>
  <si>
    <t>DType 86</t>
  </si>
  <si>
    <t>DType 87</t>
  </si>
  <si>
    <t>DType 88</t>
  </si>
  <si>
    <t>DType 89</t>
  </si>
  <si>
    <t>DType 90</t>
  </si>
  <si>
    <t>DType 91</t>
  </si>
  <si>
    <t>DType 92</t>
  </si>
  <si>
    <t>DType 93</t>
  </si>
  <si>
    <t>DType 94</t>
  </si>
  <si>
    <t>DType 95</t>
  </si>
  <si>
    <t>DType 96</t>
  </si>
  <si>
    <t>DType 97</t>
  </si>
  <si>
    <t>DType 98</t>
  </si>
  <si>
    <t>DType 99</t>
  </si>
  <si>
    <t>DType 100</t>
  </si>
  <si>
    <t>DType 101</t>
  </si>
  <si>
    <t>DType 102</t>
  </si>
  <si>
    <t>DType 103</t>
  </si>
  <si>
    <t>DType 104</t>
  </si>
  <si>
    <t>DType 105</t>
  </si>
  <si>
    <t>DType 106</t>
  </si>
  <si>
    <t>DType 107</t>
  </si>
  <si>
    <t>DType 108</t>
  </si>
  <si>
    <t>DType 109</t>
  </si>
  <si>
    <t>DType 110</t>
  </si>
  <si>
    <t>DType 111</t>
  </si>
  <si>
    <t>DType 112</t>
  </si>
  <si>
    <t>DType 113</t>
  </si>
  <si>
    <t>DType 114</t>
  </si>
  <si>
    <t>DType 115</t>
  </si>
  <si>
    <t>DType 116</t>
  </si>
  <si>
    <t>DType 117</t>
  </si>
  <si>
    <t>Grundtype</t>
  </si>
  <si>
    <t>Create Funktion</t>
  </si>
  <si>
    <t>Test Creation</t>
  </si>
  <si>
    <t>internal Creation Test</t>
  </si>
  <si>
    <t>extrnal Creation Test</t>
  </si>
  <si>
    <t>USERDEFINED</t>
  </si>
  <si>
    <t>NOTDEFINED</t>
  </si>
  <si>
    <t>EnumName</t>
  </si>
  <si>
    <t>EnuValue</t>
  </si>
  <si>
    <t>EnuRohValue</t>
  </si>
  <si>
    <t>Präfix</t>
  </si>
  <si>
    <t>Kontrolle Unique</t>
  </si>
  <si>
    <t>BEHIND</t>
  </si>
  <si>
    <t>DEAD_LOAD_G</t>
  </si>
  <si>
    <t>COMPLETION_G1</t>
  </si>
  <si>
    <t>LIVE_LOAD_Q</t>
  </si>
  <si>
    <t>SNOW_S</t>
  </si>
  <si>
    <t>WIND_W</t>
  </si>
  <si>
    <t>PRESTRESSING_P</t>
  </si>
  <si>
    <t>SETTLEMENT_U</t>
  </si>
  <si>
    <t>TEMPERATURE_T</t>
  </si>
  <si>
    <t>EARTHQUAKE_E</t>
  </si>
  <si>
    <t>FIRE</t>
  </si>
  <si>
    <t>IMPULSE</t>
  </si>
  <si>
    <t>IMPACT</t>
  </si>
  <si>
    <t>TRANSPORT</t>
  </si>
  <si>
    <t>ERECTION</t>
  </si>
  <si>
    <t>PROPPING</t>
  </si>
  <si>
    <t>SYSTEM_IMPERFECTION</t>
  </si>
  <si>
    <t>SHRINKAGE</t>
  </si>
  <si>
    <t>CREEP</t>
  </si>
  <si>
    <t>LACK_OF_FIT</t>
  </si>
  <si>
    <t>BUOYANCY</t>
  </si>
  <si>
    <t>ICE</t>
  </si>
  <si>
    <t>CURRENT</t>
  </si>
  <si>
    <t>WAVE</t>
  </si>
  <si>
    <t>RAIN</t>
  </si>
  <si>
    <t>BRAKES</t>
  </si>
  <si>
    <t>PERMANENT_G</t>
  </si>
  <si>
    <t>VARIABLE_Q</t>
  </si>
  <si>
    <t>EXTRAORDINARY_A</t>
  </si>
  <si>
    <t>ELECTRICACTUATOR</t>
  </si>
  <si>
    <t>HANDOPERATEDACTUATOR</t>
  </si>
  <si>
    <t>HYDRAULICACTUATOR</t>
  </si>
  <si>
    <t>PNEUMATICACTUATOR</t>
  </si>
  <si>
    <t>THERMOSTATICACTUATOR</t>
  </si>
  <si>
    <t>OFFICE</t>
  </si>
  <si>
    <t>SITE</t>
  </si>
  <si>
    <t>HOME</t>
  </si>
  <si>
    <t>DISTRIBUTIONPOINT</t>
  </si>
  <si>
    <t>AHEAD</t>
  </si>
  <si>
    <t>CONSTANTFLOW</t>
  </si>
  <si>
    <t>VARIABLEFLOWPRESSUREDEPENDANT</t>
  </si>
  <si>
    <t>VARIABLEFLOWPRESSUREINDEPENDANT</t>
  </si>
  <si>
    <t>GRILLE</t>
  </si>
  <si>
    <t>REGISTER</t>
  </si>
  <si>
    <t>DIFFUSER</t>
  </si>
  <si>
    <t>EYEBALL</t>
  </si>
  <si>
    <t>IRIS</t>
  </si>
  <si>
    <t>LINEARGRILLE</t>
  </si>
  <si>
    <t>LINEARDIFFUSER</t>
  </si>
  <si>
    <t>FIXEDPLATECOUNTERFLOWEXCHANGER</t>
  </si>
  <si>
    <t>FIXEDPLATECROSSFLOWEXCHANGER</t>
  </si>
  <si>
    <t>FIXEDPLATEPARALLELFLOWEXCHANGER</t>
  </si>
  <si>
    <t>ROTARYWHEEL</t>
  </si>
  <si>
    <t>RUNAROUNDCOILLOOP</t>
  </si>
  <si>
    <t>HEATPIPE</t>
  </si>
  <si>
    <t>TWINTOWERENTHALPYRECOVERYLOOPS</t>
  </si>
  <si>
    <t>THERMOSIPHONSEALEDTUBEHEATEXCHANGERS</t>
  </si>
  <si>
    <t>THERMOSIPHONCOILTYPEHEATEXCHANGERS</t>
  </si>
  <si>
    <t>BELL</t>
  </si>
  <si>
    <t>BREAKGLASSBUTTON</t>
  </si>
  <si>
    <t>LIGHT</t>
  </si>
  <si>
    <t>MANUALPULLBOX</t>
  </si>
  <si>
    <t>SIREN</t>
  </si>
  <si>
    <t>WHISTLE</t>
  </si>
  <si>
    <t>IN_PLANE_LOADING_2D</t>
  </si>
  <si>
    <t>OUT_PLANE_LOADING_2D</t>
  </si>
  <si>
    <t>LOADING_3D</t>
  </si>
  <si>
    <t>FIRST_ORDER_THEORY</t>
  </si>
  <si>
    <t>SECOND_ORDER_THEORY</t>
  </si>
  <si>
    <t>THIRD_ORDER_THEORY</t>
  </si>
  <si>
    <t>FULL_NONLINEAR_THEORY</t>
  </si>
  <si>
    <t>ADD</t>
  </si>
  <si>
    <t>DIVIDE</t>
  </si>
  <si>
    <t>MULTIPLY</t>
  </si>
  <si>
    <t>SUBTRACT</t>
  </si>
  <si>
    <t>FACTORY</t>
  </si>
  <si>
    <t>POLYLINE_FORM</t>
  </si>
  <si>
    <t>CIRCULAR_ARC</t>
  </si>
  <si>
    <t>ELLIPTIC_ARC</t>
  </si>
  <si>
    <t>PARABOLIC_ARC</t>
  </si>
  <si>
    <t>HYPERBOLIC_ARC</t>
  </si>
  <si>
    <t>UNSPECIFIED</t>
  </si>
  <si>
    <t>BEAM</t>
  </si>
  <si>
    <t>JOIST</t>
  </si>
  <si>
    <t>LINTEL</t>
  </si>
  <si>
    <t>T_BEAM</t>
  </si>
  <si>
    <t>GREATERTHAN</t>
  </si>
  <si>
    <t>GREATERTHANOREQUALTO</t>
  </si>
  <si>
    <t>LESSTHAN</t>
  </si>
  <si>
    <t>LESSTHANOREQUALTO</t>
  </si>
  <si>
    <t>EQUALTO</t>
  </si>
  <si>
    <t>NOTEQUALTO</t>
  </si>
  <si>
    <t>WATER</t>
  </si>
  <si>
    <t>STEAM</t>
  </si>
  <si>
    <t>UNION</t>
  </si>
  <si>
    <t>INTERSECTION</t>
  </si>
  <si>
    <t>DIFFERENCE</t>
  </si>
  <si>
    <t>BEND</t>
  </si>
  <si>
    <t>CROSS</t>
  </si>
  <si>
    <t>REDUCER</t>
  </si>
  <si>
    <t>TEE</t>
  </si>
  <si>
    <t>CABLELADDERSEGMENT</t>
  </si>
  <si>
    <t>CABLETRAYSEGMENT</t>
  </si>
  <si>
    <t>CABLETRUNKINGSEGMENT</t>
  </si>
  <si>
    <t>CONDUITSEGMENT</t>
  </si>
  <si>
    <t>CABLESEGMENT</t>
  </si>
  <si>
    <t>CONDUCTORSEGMENT</t>
  </si>
  <si>
    <t>NOCHANGE</t>
  </si>
  <si>
    <t>MODIFIED</t>
  </si>
  <si>
    <t>ADDED</t>
  </si>
  <si>
    <t>DELETED</t>
  </si>
  <si>
    <t>MODIFIEDADDED</t>
  </si>
  <si>
    <t>MODIFIEDDELETED</t>
  </si>
  <si>
    <t>AIRCOOLED</t>
  </si>
  <si>
    <t>WATERCOOLED</t>
  </si>
  <si>
    <t>HEATRECOVERY</t>
  </si>
  <si>
    <t>DXCOOLINGCOIL</t>
  </si>
  <si>
    <t>WATERCOOLINGCOIL</t>
  </si>
  <si>
    <t>STEAMHEATINGCOIL</t>
  </si>
  <si>
    <t>WATERHEATINGCOIL</t>
  </si>
  <si>
    <t>ELECTRICHEATINGCOIL</t>
  </si>
  <si>
    <t>GASHEATINGCOIL</t>
  </si>
  <si>
    <t>COLUMN</t>
  </si>
  <si>
    <t>DYNAMIC</t>
  </si>
  <si>
    <t>RECIPROCATING</t>
  </si>
  <si>
    <t>ROTARY</t>
  </si>
  <si>
    <t>SCROLL</t>
  </si>
  <si>
    <t>TROCHOIDAL</t>
  </si>
  <si>
    <t>SINGLESTAGE</t>
  </si>
  <si>
    <t>BOOSTER</t>
  </si>
  <si>
    <t>OPENTYPE</t>
  </si>
  <si>
    <t>HERMETIC</t>
  </si>
  <si>
    <t>SEMIHERMETIC</t>
  </si>
  <si>
    <t>WELDEDSHELLHERMETIC</t>
  </si>
  <si>
    <t>ROLLINGPISTON</t>
  </si>
  <si>
    <t>ROTARYVANE</t>
  </si>
  <si>
    <t>SINGLESCREW</t>
  </si>
  <si>
    <t>TWINSCREW</t>
  </si>
  <si>
    <t>WATERCOOLEDSHELLTUBE</t>
  </si>
  <si>
    <t>WATERCOOLEDSHELLCOIL</t>
  </si>
  <si>
    <t>WATERCOOLEDTUBEINTUBE</t>
  </si>
  <si>
    <t>WATERCOOLEDBRAZEDPLATE</t>
  </si>
  <si>
    <t>EVAPORATIVECOOLED</t>
  </si>
  <si>
    <t>ATPATH</t>
  </si>
  <si>
    <t>ATSTART</t>
  </si>
  <si>
    <t>ATEND</t>
  </si>
  <si>
    <t>HARD</t>
  </si>
  <si>
    <t>SOFT</t>
  </si>
  <si>
    <t>ADVISORY</t>
  </si>
  <si>
    <t>FLOATING</t>
  </si>
  <si>
    <t>PROPORTIONAL</t>
  </si>
  <si>
    <t>PROPORTIONALINTEGRAL</t>
  </si>
  <si>
    <t>PROPORTIONALINTEGRALDERIVATIVE</t>
  </si>
  <si>
    <t>TIMEDTWOPOSITION</t>
  </si>
  <si>
    <t>TWOPOSITION</t>
  </si>
  <si>
    <t>ACTIVE</t>
  </si>
  <si>
    <t>PASSIVE</t>
  </si>
  <si>
    <t>NATURALDRAFT</t>
  </si>
  <si>
    <t>MECHANICALINDUCEDDRAFT</t>
  </si>
  <si>
    <t>MECHANICALFORCEDDRAFT</t>
  </si>
  <si>
    <t>BUDGET</t>
  </si>
  <si>
    <t>COSTPLAN</t>
  </si>
  <si>
    <t>ESTIMATE</t>
  </si>
  <si>
    <t>TENDER</t>
  </si>
  <si>
    <t>PRICEDBILLOFQUANTITIES</t>
  </si>
  <si>
    <t>UNPRICEDBILLOFQUANTITIES</t>
  </si>
  <si>
    <t>SCHEDULEOFRATES</t>
  </si>
  <si>
    <t>CEILING</t>
  </si>
  <si>
    <t>FLOORING</t>
  </si>
  <si>
    <t>CLADDING</t>
  </si>
  <si>
    <t>ROOFING</t>
  </si>
  <si>
    <t>INSULATION</t>
  </si>
  <si>
    <t>MEMBRANE</t>
  </si>
  <si>
    <t>SLEEVING</t>
  </si>
  <si>
    <t>WRAPPING</t>
  </si>
  <si>
    <t>AED</t>
  </si>
  <si>
    <t>AES</t>
  </si>
  <si>
    <t>ATS</t>
  </si>
  <si>
    <t>AUD</t>
  </si>
  <si>
    <t>BBD</t>
  </si>
  <si>
    <t>BEG</t>
  </si>
  <si>
    <t>BGL</t>
  </si>
  <si>
    <t>BHD</t>
  </si>
  <si>
    <t>BMD</t>
  </si>
  <si>
    <t>BND</t>
  </si>
  <si>
    <t>BRL</t>
  </si>
  <si>
    <t>BSD</t>
  </si>
  <si>
    <t>BWP</t>
  </si>
  <si>
    <t>BZD</t>
  </si>
  <si>
    <t>CAD</t>
  </si>
  <si>
    <t>CBD</t>
  </si>
  <si>
    <t>CHF</t>
  </si>
  <si>
    <t>CLP</t>
  </si>
  <si>
    <t>CNY</t>
  </si>
  <si>
    <t>CYS</t>
  </si>
  <si>
    <t>CZK</t>
  </si>
  <si>
    <t>DDP</t>
  </si>
  <si>
    <t>DEM</t>
  </si>
  <si>
    <t>DKK</t>
  </si>
  <si>
    <t>EGL</t>
  </si>
  <si>
    <t>EST</t>
  </si>
  <si>
    <t>EUR</t>
  </si>
  <si>
    <t>FAK</t>
  </si>
  <si>
    <t>FIM</t>
  </si>
  <si>
    <t>FJD</t>
  </si>
  <si>
    <t>FKP</t>
  </si>
  <si>
    <t>FRF</t>
  </si>
  <si>
    <t>GBP</t>
  </si>
  <si>
    <t>GIP</t>
  </si>
  <si>
    <t>GMD</t>
  </si>
  <si>
    <t>GRX</t>
  </si>
  <si>
    <t>HKD</t>
  </si>
  <si>
    <t>HUF</t>
  </si>
  <si>
    <t>ICK</t>
  </si>
  <si>
    <t>IDR</t>
  </si>
  <si>
    <t>ILS</t>
  </si>
  <si>
    <t>INR</t>
  </si>
  <si>
    <t>IRP</t>
  </si>
  <si>
    <t>ITL</t>
  </si>
  <si>
    <t>JMD</t>
  </si>
  <si>
    <t>JOD</t>
  </si>
  <si>
    <t>JPY</t>
  </si>
  <si>
    <t>KES</t>
  </si>
  <si>
    <t>KRW</t>
  </si>
  <si>
    <t>KWD</t>
  </si>
  <si>
    <t>KYD</t>
  </si>
  <si>
    <t>LKR</t>
  </si>
  <si>
    <t>LUF</t>
  </si>
  <si>
    <t>MTL</t>
  </si>
  <si>
    <t>MUR</t>
  </si>
  <si>
    <t>MXN</t>
  </si>
  <si>
    <t>MYR</t>
  </si>
  <si>
    <t>NLG</t>
  </si>
  <si>
    <t>NZD</t>
  </si>
  <si>
    <t>OMR</t>
  </si>
  <si>
    <t>PGK</t>
  </si>
  <si>
    <t>PHP</t>
  </si>
  <si>
    <t>PKR</t>
  </si>
  <si>
    <t>PLN</t>
  </si>
  <si>
    <t>PTN</t>
  </si>
  <si>
    <t>QAR</t>
  </si>
  <si>
    <t>RUR</t>
  </si>
  <si>
    <t>SAR</t>
  </si>
  <si>
    <t>SCR</t>
  </si>
  <si>
    <t>SEK</t>
  </si>
  <si>
    <t>SGD</t>
  </si>
  <si>
    <t>SKP</t>
  </si>
  <si>
    <t>THB</t>
  </si>
  <si>
    <t>TRL</t>
  </si>
  <si>
    <t>TTD</t>
  </si>
  <si>
    <t>TWD</t>
  </si>
  <si>
    <t>USD</t>
  </si>
  <si>
    <t>VEB</t>
  </si>
  <si>
    <t>VND</t>
  </si>
  <si>
    <t>XEU</t>
  </si>
  <si>
    <t>ZAR</t>
  </si>
  <si>
    <t>ZWD</t>
  </si>
  <si>
    <t>NOK</t>
  </si>
  <si>
    <t>CONTROLDAMPER</t>
  </si>
  <si>
    <t>FIREDAMPER</t>
  </si>
  <si>
    <t>SMOKEDAMPER</t>
  </si>
  <si>
    <t>FIRESMOKEDAMPER</t>
  </si>
  <si>
    <t>BACKDRAFTDAMPER</t>
  </si>
  <si>
    <t>RELIEFDAMPER</t>
  </si>
  <si>
    <t>BLASTDAMPER</t>
  </si>
  <si>
    <t>GRAVITYDAMPER</t>
  </si>
  <si>
    <t>GRAVITYRELIEFDAMPER</t>
  </si>
  <si>
    <t>BALANCINGDAMPER</t>
  </si>
  <si>
    <t>FUMEHOODEXHAUST</t>
  </si>
  <si>
    <t>MEASURED</t>
  </si>
  <si>
    <t>PREDICTED</t>
  </si>
  <si>
    <t>SIMULATED</t>
  </si>
  <si>
    <t>ANGULARVELOCITYUNIT</t>
  </si>
  <si>
    <t>COMPOUNDPLANEANGLEUNIT</t>
  </si>
  <si>
    <t>DYNAMICVISCOSITYUNIT</t>
  </si>
  <si>
    <t>HEATFLUXDENSITYUNIT</t>
  </si>
  <si>
    <t>INTEGERCOUNTRATEUNIT</t>
  </si>
  <si>
    <t>ISOTHERMALMOISTURECAPACITYUNIT</t>
  </si>
  <si>
    <t>KINEMATICVISCOSITYUNIT</t>
  </si>
  <si>
    <t>LINEARVELOCITYUNIT</t>
  </si>
  <si>
    <t>MASSDENSITYUNIT</t>
  </si>
  <si>
    <t>MASSFLOWRATEUNIT</t>
  </si>
  <si>
    <t>MOISTUREDIFFUSIVITYUNIT</t>
  </si>
  <si>
    <t>MOLECULARWEIGHTUNIT</t>
  </si>
  <si>
    <t>SPECIFICHEATCAPACITYUNIT</t>
  </si>
  <si>
    <t>THERMALADMITTANCEUNIT</t>
  </si>
  <si>
    <t>THERMALCONDUCTANCEUNIT</t>
  </si>
  <si>
    <t>THERMALRESISTANCEUNIT</t>
  </si>
  <si>
    <t>THERMALTRANSMITTANCEUNIT</t>
  </si>
  <si>
    <t>VAPORPERMEABILITYUNIT</t>
  </si>
  <si>
    <t>VOLUMETRICFLOWRATEUNIT</t>
  </si>
  <si>
    <t>ROTATIONALFREQUENCYUNIT</t>
  </si>
  <si>
    <t>TORQUEUNIT</t>
  </si>
  <si>
    <t>MOMENTOFINERTIAUNIT</t>
  </si>
  <si>
    <t>LINEARMOMENTUNIT</t>
  </si>
  <si>
    <t>LINEARFORCEUNIT</t>
  </si>
  <si>
    <t>PLANARFORCEUNIT</t>
  </si>
  <si>
    <t>MODULUSOFELASTICITYUNIT</t>
  </si>
  <si>
    <t>SHEARMODULUSUNIT</t>
  </si>
  <si>
    <t>LINEARSTIFFNESSUNIT</t>
  </si>
  <si>
    <t>ROTATIONALSTIFFNESSUNIT</t>
  </si>
  <si>
    <t>MODULUSOFSUBGRADEREACTIONUNIT</t>
  </si>
  <si>
    <t>ACCELERATIONUNIT</t>
  </si>
  <si>
    <t>CURVATUREUNIT</t>
  </si>
  <si>
    <t>HEATINGVALUEUNIT</t>
  </si>
  <si>
    <t>IONCONCENTRATIONUNIT</t>
  </si>
  <si>
    <t>LUMINOUSINTENSITYDISTRIBUTIONUNIT</t>
  </si>
  <si>
    <t>MASSPERLENGTHUNIT</t>
  </si>
  <si>
    <t>MODULUSOFLINEARSUBGRADEREACTIONUNIT</t>
  </si>
  <si>
    <t>MODULUSOFROTATIONALSUBGRADEREACTIONUNIT</t>
  </si>
  <si>
    <t>PHUNIT</t>
  </si>
  <si>
    <t>ROTATIONALMASSUNIT</t>
  </si>
  <si>
    <t>SECTIONAREAINTEGRALUNIT</t>
  </si>
  <si>
    <t>SECTIONMODULUSUNIT</t>
  </si>
  <si>
    <t>SOUNDPOWERUNIT</t>
  </si>
  <si>
    <t>SOUNDPRESSUREUNIT</t>
  </si>
  <si>
    <t>TEMPERATUREGRADIENTUNIT</t>
  </si>
  <si>
    <t>THERMALEXPANSIONCOEFFICIENTUNIT</t>
  </si>
  <si>
    <t>WARPINGCONSTANTUNIT</t>
  </si>
  <si>
    <t>WARPINGMOMENTUNIT</t>
  </si>
  <si>
    <t>ORIGIN</t>
  </si>
  <si>
    <t>TARGET</t>
  </si>
  <si>
    <t>POSITIVE</t>
  </si>
  <si>
    <t>NEGATIVE</t>
  </si>
  <si>
    <t>FORMEDDUCT</t>
  </si>
  <si>
    <t>INSPECTIONCHAMBER</t>
  </si>
  <si>
    <t>INSPECTIONPIT</t>
  </si>
  <si>
    <t>MANHOLE</t>
  </si>
  <si>
    <t>METERCHAMBER</t>
  </si>
  <si>
    <t>SUMP</t>
  </si>
  <si>
    <t>TRENCH</t>
  </si>
  <si>
    <t>VALVECHAMBER</t>
  </si>
  <si>
    <t>PUBLIC</t>
  </si>
  <si>
    <t>RESTRICTED</t>
  </si>
  <si>
    <t>CONFIDENTIAL</t>
  </si>
  <si>
    <t>PERSONAL</t>
  </si>
  <si>
    <t>DRAFT</t>
  </si>
  <si>
    <t>FINALDRAFT</t>
  </si>
  <si>
    <t>FINAL</t>
  </si>
  <si>
    <t>REVISION</t>
  </si>
  <si>
    <t>SWINGING</t>
  </si>
  <si>
    <t>DOUBLE_ACTING</t>
  </si>
  <si>
    <t>SLIDING</t>
  </si>
  <si>
    <t>FOLDING</t>
  </si>
  <si>
    <t>REVOLVING</t>
  </si>
  <si>
    <t>ROLLINGUP</t>
  </si>
  <si>
    <t>LEFT</t>
  </si>
  <si>
    <t>MIDDLE</t>
  </si>
  <si>
    <t>RIGHT</t>
  </si>
  <si>
    <t>ALUMINIUM</t>
  </si>
  <si>
    <t>HIGH_GRADE_STEEL</t>
  </si>
  <si>
    <t>STEEL</t>
  </si>
  <si>
    <t>WOOD</t>
  </si>
  <si>
    <t>ALUMINIUM_WOOD</t>
  </si>
  <si>
    <t>ALUMINIUM_PLASTIC</t>
  </si>
  <si>
    <t>PLASTIC</t>
  </si>
  <si>
    <t>SINGLE_SWING_LEFT</t>
  </si>
  <si>
    <t>SINGLE_SWING_RIGHT</t>
  </si>
  <si>
    <t>DOUBLE_DOOR_SINGLE_SWING</t>
  </si>
  <si>
    <t>DOUBLE_DOOR_SINGLE_SWING_OPPOSITE_LEFT</t>
  </si>
  <si>
    <t>DOUBLE_DOOR_SINGLE_SWING_OPPOSITE_RIGHT</t>
  </si>
  <si>
    <t>DOUBLE_SWING_LEFT</t>
  </si>
  <si>
    <t>DOUBLE_SWING_RIGHT</t>
  </si>
  <si>
    <t>DOUBLE_DOOR_DOUBLE_SWING</t>
  </si>
  <si>
    <t>SLIDING_TO_LEFT</t>
  </si>
  <si>
    <t>SLIDING_TO_RIGHT</t>
  </si>
  <si>
    <t>DOUBLE_DOOR_SLIDING</t>
  </si>
  <si>
    <t>FOLDING_TO_LEFT</t>
  </si>
  <si>
    <t>FOLDING_TO_RIGHT</t>
  </si>
  <si>
    <t>DOUBLE_DOOR_FOLDING</t>
  </si>
  <si>
    <t>CONNECTOR</t>
  </si>
  <si>
    <t>ENTRY</t>
  </si>
  <si>
    <t>EXIT</t>
  </si>
  <si>
    <t>JUNCTION</t>
  </si>
  <si>
    <t>OBSTRUCTION</t>
  </si>
  <si>
    <t>TRANSITION</t>
  </si>
  <si>
    <t>RIGIDSEGMENT</t>
  </si>
  <si>
    <t>FLEXIBLESEGMENT</t>
  </si>
  <si>
    <t>FLATOVAL</t>
  </si>
  <si>
    <t>RECTANGULAR</t>
  </si>
  <si>
    <t>ROUND</t>
  </si>
  <si>
    <t>COMPUTER</t>
  </si>
  <si>
    <t>DIRECTWATERHEATER</t>
  </si>
  <si>
    <t>DISHWASHER</t>
  </si>
  <si>
    <t>ELECTRICCOOKER</t>
  </si>
  <si>
    <t>ELECTRICHEATER</t>
  </si>
  <si>
    <t>FACSIMILE</t>
  </si>
  <si>
    <t>FREESTANDINGFAN</t>
  </si>
  <si>
    <t>FREEZER</t>
  </si>
  <si>
    <t>FRIDGE_FREEZER</t>
  </si>
  <si>
    <t>HANDDRYER</t>
  </si>
  <si>
    <t>INDIRECTWATERHEATER</t>
  </si>
  <si>
    <t>MICROWAVE</t>
  </si>
  <si>
    <t>PHOTOCOPIER</t>
  </si>
  <si>
    <t>PRINTER</t>
  </si>
  <si>
    <t>REFRIGERATOR</t>
  </si>
  <si>
    <t>RADIANTHEATER</t>
  </si>
  <si>
    <t>SCANNER</t>
  </si>
  <si>
    <t>TELEPHONE</t>
  </si>
  <si>
    <t>TUMBLEDRYER</t>
  </si>
  <si>
    <t>TV</t>
  </si>
  <si>
    <t>VENDINGMACHINE</t>
  </si>
  <si>
    <t>WASHINGMACHINE</t>
  </si>
  <si>
    <t>WATERHEATER</t>
  </si>
  <si>
    <t>WATERCOOLER</t>
  </si>
  <si>
    <t>ALTERNATING</t>
  </si>
  <si>
    <t>DIRECT</t>
  </si>
  <si>
    <t>ALARMPANEL</t>
  </si>
  <si>
    <t>CONSUMERUNIT</t>
  </si>
  <si>
    <t>CONTROLPANEL</t>
  </si>
  <si>
    <t>DISTRIBUTIONBOARD</t>
  </si>
  <si>
    <t>GASDETECTORPANEL</t>
  </si>
  <si>
    <t>INDICATORPANEL</t>
  </si>
  <si>
    <t>MIMICPANEL</t>
  </si>
  <si>
    <t>MOTORCONTROLCENTRE</t>
  </si>
  <si>
    <t>SWITCHBOARD</t>
  </si>
  <si>
    <t>BATTERY</t>
  </si>
  <si>
    <t>CAPACITORBANK</t>
  </si>
  <si>
    <t>HARMONICFILTER</t>
  </si>
  <si>
    <t>INDUCTORBANK</t>
  </si>
  <si>
    <t>UPS</t>
  </si>
  <si>
    <t>ELECTRICPOINTHEATER</t>
  </si>
  <si>
    <t>ELECTRICCABLEHEATER</t>
  </si>
  <si>
    <t>ELECTRICMATHEATER</t>
  </si>
  <si>
    <t>DC</t>
  </si>
  <si>
    <t>INDUCTION</t>
  </si>
  <si>
    <t>POLYPHASE</t>
  </si>
  <si>
    <t>RELUCTANCESYNCHRONOUS</t>
  </si>
  <si>
    <t>SYNCHRONOUS</t>
  </si>
  <si>
    <t>TIMECLOCK</t>
  </si>
  <si>
    <t>TIMEDELAY</t>
  </si>
  <si>
    <t>RELAY</t>
  </si>
  <si>
    <t>ACCESSORY_ASSEMBLY</t>
  </si>
  <si>
    <t>ARCH</t>
  </si>
  <si>
    <t>BEAM_GRID</t>
  </si>
  <si>
    <t>BRACED_FRAME</t>
  </si>
  <si>
    <t>GIRDER</t>
  </si>
  <si>
    <t>REINFORCEMENT_UNIT</t>
  </si>
  <si>
    <t>RIGID_FRAME</t>
  </si>
  <si>
    <t>SLAB_FIELD</t>
  </si>
  <si>
    <t>TRUSS</t>
  </si>
  <si>
    <t>COMPLEX</t>
  </si>
  <si>
    <t>ELEMENT</t>
  </si>
  <si>
    <t>PARTIAL</t>
  </si>
  <si>
    <t>PRIMARY</t>
  </si>
  <si>
    <t>SECONDARY</t>
  </si>
  <si>
    <t>TERTIARY</t>
  </si>
  <si>
    <t>AUXILIARY</t>
  </si>
  <si>
    <t>COMBINEDVALUE</t>
  </si>
  <si>
    <t>DISPOSAL</t>
  </si>
  <si>
    <t>EXTRACTION</t>
  </si>
  <si>
    <t>INSTALLATION</t>
  </si>
  <si>
    <t>MANUFACTURE</t>
  </si>
  <si>
    <t>TRANSPORTATION</t>
  </si>
  <si>
    <t>DIRECTEVAPORATIVERANDOMMEDIAAIRCOOLER</t>
  </si>
  <si>
    <t>DIRECTEVAPORATIVERIGIDMEDIAAIRCOOLER</t>
  </si>
  <si>
    <t>DIRECTEVAPORATIVESLINGERSPACKAGEDAIRCOOLER</t>
  </si>
  <si>
    <t>DIRECTEVAPORATIVEPACKAGEDROTARYAIRCOOLER</t>
  </si>
  <si>
    <t>DIRECTEVAPORATIVEAIRWASHER</t>
  </si>
  <si>
    <t>INDIRECTEVAPORATIVEPACKAGEAIRCOOLER</t>
  </si>
  <si>
    <t>INDIRECTEVAPORATIVEWETCOIL</t>
  </si>
  <si>
    <t>INDIRECTEVAPORATIVECOOLINGTOWERORCOILCOOLER</t>
  </si>
  <si>
    <t>INDIRECTDIRECTCOMBINATION</t>
  </si>
  <si>
    <t>DIRECTEXPANSIONSHELLANDTUBE</t>
  </si>
  <si>
    <t>DIRECTEXPANSIONTUBEINTUBE</t>
  </si>
  <si>
    <t>DIRECTEXPANSIONBRAZEDPLATE</t>
  </si>
  <si>
    <t>FLOODEDSHELLANDTUBE</t>
  </si>
  <si>
    <t>SHELLANDCOIL</t>
  </si>
  <si>
    <t>CENTRIFUGALFORWARDCURVED</t>
  </si>
  <si>
    <t>CENTRIFUGALRADIAL</t>
  </si>
  <si>
    <t>CENTRIFUGALBACKWARDINCLINEDCURVED</t>
  </si>
  <si>
    <t>CENTRIFUGALAIRFOIL</t>
  </si>
  <si>
    <t>TUBEAXIAL</t>
  </si>
  <si>
    <t>VANEAXIAL</t>
  </si>
  <si>
    <t>PROPELLORAXIAL</t>
  </si>
  <si>
    <t>AIRPARTICLEFILTER</t>
  </si>
  <si>
    <t>ODORFILTER</t>
  </si>
  <si>
    <t>OILFILTER</t>
  </si>
  <si>
    <t>STRAINER</t>
  </si>
  <si>
    <t>WATERFILTER</t>
  </si>
  <si>
    <t>BREECHINGINLET</t>
  </si>
  <si>
    <t>FIREHYDRANT</t>
  </si>
  <si>
    <t>HOSEREEL</t>
  </si>
  <si>
    <t>SPRINKLER</t>
  </si>
  <si>
    <t>SPRINKLERDEFLECTOR</t>
  </si>
  <si>
    <t>SOURCE</t>
  </si>
  <si>
    <t>SINK</t>
  </si>
  <si>
    <t>SOURCEANDSINK</t>
  </si>
  <si>
    <t>PRESSUREGAUGE</t>
  </si>
  <si>
    <t>THERMOMETER</t>
  </si>
  <si>
    <t>AMMETER</t>
  </si>
  <si>
    <t>FREQUENCYMETER</t>
  </si>
  <si>
    <t>POWERFACTORMETER</t>
  </si>
  <si>
    <t>PHASEANGLEMETER</t>
  </si>
  <si>
    <t>VOLTMETER_PEAK</t>
  </si>
  <si>
    <t>VOLTMETER_RMS</t>
  </si>
  <si>
    <t>ELECTRICMETER</t>
  </si>
  <si>
    <t>ENERGYMETER</t>
  </si>
  <si>
    <t>FLOWMETER</t>
  </si>
  <si>
    <t>GASMETER</t>
  </si>
  <si>
    <t>OILMETER</t>
  </si>
  <si>
    <t>WATERMETER</t>
  </si>
  <si>
    <t>FOOTING_BEAM</t>
  </si>
  <si>
    <t>PAD_FOOTING</t>
  </si>
  <si>
    <t>PILE_CAP</t>
  </si>
  <si>
    <t>STRIP_FOOTING</t>
  </si>
  <si>
    <t>GASAPPLIANCE</t>
  </si>
  <si>
    <t>GASBOOSTER</t>
  </si>
  <si>
    <t>GASBURNER</t>
  </si>
  <si>
    <t>GRAPH_VIEW</t>
  </si>
  <si>
    <t>SKETCH_VIEW</t>
  </si>
  <si>
    <t>MODEL_VIEW</t>
  </si>
  <si>
    <t>PLAN_VIEW</t>
  </si>
  <si>
    <t>REFLECTED_PLAN_VIEW</t>
  </si>
  <si>
    <t>SECTION_VIEW</t>
  </si>
  <si>
    <t>ELEVATION_VIEW</t>
  </si>
  <si>
    <t>GLOBAL_COORDS</t>
  </si>
  <si>
    <t>LOCAL_COORDS</t>
  </si>
  <si>
    <t>PLATE</t>
  </si>
  <si>
    <t>SHELLANDTUBE</t>
  </si>
  <si>
    <t>STEAMINJECTION</t>
  </si>
  <si>
    <t>ADIABATICAIRWASHER</t>
  </si>
  <si>
    <t>ADIABATICPAN</t>
  </si>
  <si>
    <t>ADIABATICWETTEDELEMENT</t>
  </si>
  <si>
    <t>ADIABATICATOMIZING</t>
  </si>
  <si>
    <t>ADIABATICULTRASONIC</t>
  </si>
  <si>
    <t>ADIABATICRIGIDMEDIA</t>
  </si>
  <si>
    <t>ADIABATICCOMPRESSEDAIRNOZZLE</t>
  </si>
  <si>
    <t>ASSISTEDELECTRIC</t>
  </si>
  <si>
    <t>ASSISTEDNATURALGAS</t>
  </si>
  <si>
    <t>ASSISTEDPROPANE</t>
  </si>
  <si>
    <t>ASSISTEDBUTANE</t>
  </si>
  <si>
    <t>ASSISTEDSTEAM</t>
  </si>
  <si>
    <t>INTERNAL</t>
  </si>
  <si>
    <t>EXTERNAL</t>
  </si>
  <si>
    <t>ASSETINVENTORY</t>
  </si>
  <si>
    <t>SPACEINVENTORY</t>
  </si>
  <si>
    <t>FURNITUREINVENTORY</t>
  </si>
  <si>
    <t>COMPACTFLUORESCENT</t>
  </si>
  <si>
    <t>FLUORESCENT</t>
  </si>
  <si>
    <t>HIGHPRESSUREMERCURY</t>
  </si>
  <si>
    <t>HIGHPRESSURESODIUM</t>
  </si>
  <si>
    <t>METALHALIDE</t>
  </si>
  <si>
    <t>TUNGSTENFILAMENT</t>
  </si>
  <si>
    <t>AXIS1</t>
  </si>
  <si>
    <t>AXIS2</t>
  </si>
  <si>
    <t>AXIS3</t>
  </si>
  <si>
    <t>TYPE_A</t>
  </si>
  <si>
    <t>TYPE_B</t>
  </si>
  <si>
    <t>TYPE_C</t>
  </si>
  <si>
    <t>LIGHTEMITTINGDIODE</t>
  </si>
  <si>
    <t>LOWPRESSURESODIUM</t>
  </si>
  <si>
    <t>LOWVOLTAGEHALOGEN</t>
  </si>
  <si>
    <t>MAINVOLTAGEHALOGEN</t>
  </si>
  <si>
    <t>POINTSOURCE</t>
  </si>
  <si>
    <t>DIRECTIONSOURCE</t>
  </si>
  <si>
    <t>LOAD_GROUP</t>
  </si>
  <si>
    <t>LOAD_CASE</t>
  </si>
  <si>
    <t>LOAD_COMBINATION_GROUP</t>
  </si>
  <si>
    <t>LOAD_COMBINATION</t>
  </si>
  <si>
    <t>LOGICALAND</t>
  </si>
  <si>
    <t>LOGICALOR</t>
  </si>
  <si>
    <t>BRACE</t>
  </si>
  <si>
    <t>CHORD</t>
  </si>
  <si>
    <t>COLLAR</t>
  </si>
  <si>
    <t>MEMBER</t>
  </si>
  <si>
    <t>MULLION</t>
  </si>
  <si>
    <t>POST</t>
  </si>
  <si>
    <t>PURLIN</t>
  </si>
  <si>
    <t>RAFTER</t>
  </si>
  <si>
    <t>STRINGER</t>
  </si>
  <si>
    <t>STRUT</t>
  </si>
  <si>
    <t>STUD</t>
  </si>
  <si>
    <t>BELTDRIVE</t>
  </si>
  <si>
    <t>COUPLING</t>
  </si>
  <si>
    <t>DIRECTDRIVE</t>
  </si>
  <si>
    <t>NULL</t>
  </si>
  <si>
    <t>PRODUCT</t>
  </si>
  <si>
    <t>PROCESS</t>
  </si>
  <si>
    <t>CONTROL</t>
  </si>
  <si>
    <t>RESOURCE</t>
  </si>
  <si>
    <t>ACTOR</t>
  </si>
  <si>
    <t>GROUP</t>
  </si>
  <si>
    <t>PROJECT</t>
  </si>
  <si>
    <t>CODECOMPLIANCE</t>
  </si>
  <si>
    <t>DESIGNINTENT</t>
  </si>
  <si>
    <t>HEALTHANDSAFETY</t>
  </si>
  <si>
    <t>REQUIREMENT</t>
  </si>
  <si>
    <t>SPECIFICATION</t>
  </si>
  <si>
    <t>TRIGGERCONDITION</t>
  </si>
  <si>
    <t>ASSIGNEE</t>
  </si>
  <si>
    <t>ASSIGNOR</t>
  </si>
  <si>
    <t>LESSEE</t>
  </si>
  <si>
    <t>LESSOR</t>
  </si>
  <si>
    <t>LETTINGAGENT</t>
  </si>
  <si>
    <t>OWNER</t>
  </si>
  <si>
    <t>TENANT</t>
  </si>
  <si>
    <t>AUDIOVISUALOUTLET</t>
  </si>
  <si>
    <t>COMMUNICATIONSOUTLET</t>
  </si>
  <si>
    <t>POWEROUTLET</t>
  </si>
  <si>
    <t>GRILL</t>
  </si>
  <si>
    <t>LOUVER</t>
  </si>
  <si>
    <t>SCREEN</t>
  </si>
  <si>
    <t>PHYSICAL</t>
  </si>
  <si>
    <t>VIRTUAL</t>
  </si>
  <si>
    <t>CAST_IN_PLACE</t>
  </si>
  <si>
    <t>COMPOSITE</t>
  </si>
  <si>
    <t>PRECAST_CONCRETE</t>
  </si>
  <si>
    <t>PREFAB_STEEL</t>
  </si>
  <si>
    <t>COHESION</t>
  </si>
  <si>
    <t>FRICTION</t>
  </si>
  <si>
    <t>SUPPORT</t>
  </si>
  <si>
    <t>GUTTER</t>
  </si>
  <si>
    <t>SPOOL</t>
  </si>
  <si>
    <t>CURTAIN_PANEL</t>
  </si>
  <si>
    <t>SHEET</t>
  </si>
  <si>
    <t>ADVICE_CAUTION</t>
  </si>
  <si>
    <t>ADVICE_NOTE</t>
  </si>
  <si>
    <t>ADVICE_WARNING</t>
  </si>
  <si>
    <t>CALIBRATION</t>
  </si>
  <si>
    <t>DIAGNOSTIC</t>
  </si>
  <si>
    <t>SHUTDOWN</t>
  </si>
  <si>
    <t>STARTUP</t>
  </si>
  <si>
    <t>CURVE</t>
  </si>
  <si>
    <t>AREA</t>
  </si>
  <si>
    <t>CHANGE</t>
  </si>
  <si>
    <t>MAINTENANCE</t>
  </si>
  <si>
    <t>MOVE</t>
  </si>
  <si>
    <t>PURCHASE</t>
  </si>
  <si>
    <t>WORK</t>
  </si>
  <si>
    <t>CHANGEORDER</t>
  </si>
  <si>
    <t>MAINTENANCEWORKORDER</t>
  </si>
  <si>
    <t>MOVEORDER</t>
  </si>
  <si>
    <t>PURCHASEORDER</t>
  </si>
  <si>
    <t>WORKORDER</t>
  </si>
  <si>
    <t>PROJECTED_LENGTH</t>
  </si>
  <si>
    <t>TRUE_LENGTH</t>
  </si>
  <si>
    <t>DESIGN</t>
  </si>
  <si>
    <t>DESIGNMAXIMUM</t>
  </si>
  <si>
    <t>DESIGNMINIMUM</t>
  </si>
  <si>
    <t>ASBUILT</t>
  </si>
  <si>
    <t>COMMISSIONING</t>
  </si>
  <si>
    <t>NOTKNOWN</t>
  </si>
  <si>
    <t>FUSEDISCONNECTOR</t>
  </si>
  <si>
    <t>CIRCUITBREAKER</t>
  </si>
  <si>
    <t>EARTHFAILUREDEVICE</t>
  </si>
  <si>
    <t>RESIDUALCURRENTCIRCUITBREAKER</t>
  </si>
  <si>
    <t>RESIDUALCURRENTSWITCH</t>
  </si>
  <si>
    <t>VARISTOR</t>
  </si>
  <si>
    <t>CIRCULATOR</t>
  </si>
  <si>
    <t>ENDSUCTION</t>
  </si>
  <si>
    <t>SPLITCASE</t>
  </si>
  <si>
    <t>VERTICALINLINE</t>
  </si>
  <si>
    <t>VERTICALTURBINE</t>
  </si>
  <si>
    <t>HANDRAIL</t>
  </si>
  <si>
    <t>GUARDRAIL</t>
  </si>
  <si>
    <t>BALUSTRADE</t>
  </si>
  <si>
    <t>STRAIGHT</t>
  </si>
  <si>
    <t>SPIRAL</t>
  </si>
  <si>
    <t>STRAIGHT_RUN_RAMP</t>
  </si>
  <si>
    <t>TWO_STRAIGHT_RUN_RAMP</t>
  </si>
  <si>
    <t>QUARTER_TURN_RAMP</t>
  </si>
  <si>
    <t>TWO_QUARTER_TURN_RAMP</t>
  </si>
  <si>
    <t>HALF_TURN_RAMP</t>
  </si>
  <si>
    <t>SPIRAL_RAMP</t>
  </si>
  <si>
    <t>BLINN</t>
  </si>
  <si>
    <t>FLAT</t>
  </si>
  <si>
    <t>GLASS</t>
  </si>
  <si>
    <t>MATT</t>
  </si>
  <si>
    <t>METAL</t>
  </si>
  <si>
    <t>MIRROR</t>
  </si>
  <si>
    <t>PHONG</t>
  </si>
  <si>
    <t>STRAUSS</t>
  </si>
  <si>
    <t>MAIN</t>
  </si>
  <si>
    <t>SHEAR</t>
  </si>
  <si>
    <t>LIGATURE</t>
  </si>
  <si>
    <t>PUNCHING</t>
  </si>
  <si>
    <t>EDGE</t>
  </si>
  <si>
    <t>RING</t>
  </si>
  <si>
    <t>PLAIN</t>
  </si>
  <si>
    <t>TEXTURED</t>
  </si>
  <si>
    <t>CONSUMED</t>
  </si>
  <si>
    <t>PARTIALLYCONSUMED</t>
  </si>
  <si>
    <t>NOTCONSUMED</t>
  </si>
  <si>
    <t>OCCUPIED</t>
  </si>
  <si>
    <t>PARTIALLYOCCUPIED</t>
  </si>
  <si>
    <t>NOTOCCUPIED</t>
  </si>
  <si>
    <t>DIRECTION_X</t>
  </si>
  <si>
    <t>DIRECTION_Y</t>
  </si>
  <si>
    <t>SUPPLIER</t>
  </si>
  <si>
    <t>MANUFACTURER</t>
  </si>
  <si>
    <t>CONTRACTOR</t>
  </si>
  <si>
    <t>SUBCONTRACTOR</t>
  </si>
  <si>
    <t>ARCHITECT</t>
  </si>
  <si>
    <t>STRUCTURALENGINEER</t>
  </si>
  <si>
    <t>COSTENGINEER</t>
  </si>
  <si>
    <t>CLIENT</t>
  </si>
  <si>
    <t>BUILDINGOWNER</t>
  </si>
  <si>
    <t>BUILDINGOPERATOR</t>
  </si>
  <si>
    <t>MECHANICALENGINEER</t>
  </si>
  <si>
    <t>ELECTRICALENGINEER</t>
  </si>
  <si>
    <t>PROJECTMANAGER</t>
  </si>
  <si>
    <t>FACILITIESMANAGER</t>
  </si>
  <si>
    <t>CIVILENGINEER</t>
  </si>
  <si>
    <t>COMISSIONINGENGINEER</t>
  </si>
  <si>
    <t>ENGINEER</t>
  </si>
  <si>
    <t>CONSULTANT</t>
  </si>
  <si>
    <t>CONSTRUCTIONMANAGER</t>
  </si>
  <si>
    <t>FIELDCONSTRUCTIONMANAGER</t>
  </si>
  <si>
    <t>RESELLER</t>
  </si>
  <si>
    <t>FLAT_ROOF</t>
  </si>
  <si>
    <t>SHED_ROOF</t>
  </si>
  <si>
    <t>GABLE_ROOF</t>
  </si>
  <si>
    <t>HIP_ROOF</t>
  </si>
  <si>
    <t>HIPPED_GABLE_ROOF</t>
  </si>
  <si>
    <t>GAMBREL_ROOF</t>
  </si>
  <si>
    <t>MANSARD_ROOF</t>
  </si>
  <si>
    <t>BARREL_ROOF</t>
  </si>
  <si>
    <t>RAINBOW_ROOF</t>
  </si>
  <si>
    <t>BUTTERFLY_ROOF</t>
  </si>
  <si>
    <t>PAVILION_ROOF</t>
  </si>
  <si>
    <t>DOME_ROOF</t>
  </si>
  <si>
    <t>FREEFORM</t>
  </si>
  <si>
    <t>EXA</t>
  </si>
  <si>
    <t>PETA</t>
  </si>
  <si>
    <t>TERA</t>
  </si>
  <si>
    <t>GIGA</t>
  </si>
  <si>
    <t>MEGA</t>
  </si>
  <si>
    <t>KILO</t>
  </si>
  <si>
    <t>HECTO</t>
  </si>
  <si>
    <t>DECA</t>
  </si>
  <si>
    <t>DECI</t>
  </si>
  <si>
    <t>CENTI</t>
  </si>
  <si>
    <t>MILLI</t>
  </si>
  <si>
    <t>MICRO</t>
  </si>
  <si>
    <t>NANO</t>
  </si>
  <si>
    <t>PICO</t>
  </si>
  <si>
    <t>FEMTO</t>
  </si>
  <si>
    <t>ATTO</t>
  </si>
  <si>
    <t>AMPERE</t>
  </si>
  <si>
    <t>BECQUEREL</t>
  </si>
  <si>
    <t>CANDELA</t>
  </si>
  <si>
    <t>COULOMB</t>
  </si>
  <si>
    <t>CUBIC_METRE</t>
  </si>
  <si>
    <t>DEGREE_CELSIUS</t>
  </si>
  <si>
    <t>FARAD</t>
  </si>
  <si>
    <t>GRAM</t>
  </si>
  <si>
    <t>GRAY</t>
  </si>
  <si>
    <t>HENRY</t>
  </si>
  <si>
    <t>HERTZ</t>
  </si>
  <si>
    <t>JOULE</t>
  </si>
  <si>
    <t>KELVIN</t>
  </si>
  <si>
    <t>LUMEN</t>
  </si>
  <si>
    <t>LUX</t>
  </si>
  <si>
    <t>METRE</t>
  </si>
  <si>
    <t>MOLE</t>
  </si>
  <si>
    <t>NEWTON</t>
  </si>
  <si>
    <t>OHM</t>
  </si>
  <si>
    <t>PASCAL</t>
  </si>
  <si>
    <t>RADIAN</t>
  </si>
  <si>
    <t>SECOND</t>
  </si>
  <si>
    <t>SIEMENS</t>
  </si>
  <si>
    <t>SIEVERT</t>
  </si>
  <si>
    <t>SQUARE_METRE</t>
  </si>
  <si>
    <t>STERADIAN</t>
  </si>
  <si>
    <t>TESLA</t>
  </si>
  <si>
    <t>VOLT</t>
  </si>
  <si>
    <t>WATT</t>
  </si>
  <si>
    <t>WEBER</t>
  </si>
  <si>
    <t>BATH</t>
  </si>
  <si>
    <t>BIDET</t>
  </si>
  <si>
    <t>CISTERN</t>
  </si>
  <si>
    <t>SHOWER</t>
  </si>
  <si>
    <t>SANITARYFOUNTAIN</t>
  </si>
  <si>
    <t>TOILETPAN</t>
  </si>
  <si>
    <t>URINAL</t>
  </si>
  <si>
    <t>WASHHANDBASIN</t>
  </si>
  <si>
    <t>WCSEAT</t>
  </si>
  <si>
    <t>UNIFORM</t>
  </si>
  <si>
    <t>TAPERED</t>
  </si>
  <si>
    <t>CO2SENSOR</t>
  </si>
  <si>
    <t>FIRESENSOR</t>
  </si>
  <si>
    <t>FLOWSENSOR</t>
  </si>
  <si>
    <t>GASSENSOR</t>
  </si>
  <si>
    <t>HEATSENSOR</t>
  </si>
  <si>
    <t>HUMIDITYSENSOR</t>
  </si>
  <si>
    <t>LIGHTSENSOR</t>
  </si>
  <si>
    <t>MOISTURESENSOR</t>
  </si>
  <si>
    <t>MOVEMENTSENSOR</t>
  </si>
  <si>
    <t>PRESSURESENSOR</t>
  </si>
  <si>
    <t>SMOKESENSOR</t>
  </si>
  <si>
    <t>SOUNDSENSOR</t>
  </si>
  <si>
    <t>TEMPERATURESENSOR</t>
  </si>
  <si>
    <t>START_START</t>
  </si>
  <si>
    <t>START_FINISH</t>
  </si>
  <si>
    <t>FINISH_START</t>
  </si>
  <si>
    <t>FINISH_FINISH</t>
  </si>
  <si>
    <t>A_QUALITYOFCOMPONENTS</t>
  </si>
  <si>
    <t>B_DESIGNLEVEL</t>
  </si>
  <si>
    <t>C_WORKEXECUTIONLEVEL</t>
  </si>
  <si>
    <t>D_INDOORENVIRONMENT</t>
  </si>
  <si>
    <t>E_OUTDOORENVIRONMENT</t>
  </si>
  <si>
    <t>F_INUSECONDITIONS</t>
  </si>
  <si>
    <t>G_MAINTENANCELEVEL</t>
  </si>
  <si>
    <t>ACTUALSERVICELIFE</t>
  </si>
  <si>
    <t>EXPECTEDSERVICELIFE</t>
  </si>
  <si>
    <t>OPTIMISTICREFERENCESERVICELIFE</t>
  </si>
  <si>
    <t>PESSIMISTICREFERENCESERVICELIFE</t>
  </si>
  <si>
    <t>REFERENCESERVICELIFE</t>
  </si>
  <si>
    <t>FLOOR</t>
  </si>
  <si>
    <t>ROOF</t>
  </si>
  <si>
    <t>LANDING</t>
  </si>
  <si>
    <t>BASESLAB</t>
  </si>
  <si>
    <t>DBA</t>
  </si>
  <si>
    <t>DBB</t>
  </si>
  <si>
    <t>DBC</t>
  </si>
  <si>
    <t>NC</t>
  </si>
  <si>
    <t>NR</t>
  </si>
  <si>
    <t>SECTIONALRADIATOR</t>
  </si>
  <si>
    <t>PANELRADIATOR</t>
  </si>
  <si>
    <t>TUBULARRADIATOR</t>
  </si>
  <si>
    <t>CONVECTOR</t>
  </si>
  <si>
    <t>BASEBOARDHEATER</t>
  </si>
  <si>
    <t>FINNEDTUBEUNIT</t>
  </si>
  <si>
    <t>UNITHEATER</t>
  </si>
  <si>
    <t>BIRDCAGE</t>
  </si>
  <si>
    <t>COWL</t>
  </si>
  <si>
    <t>RAINWATERHOPPER</t>
  </si>
  <si>
    <t>WINDER</t>
  </si>
  <si>
    <t>CURVED</t>
  </si>
  <si>
    <t>STRAIGHT_RUN_STAIR</t>
  </si>
  <si>
    <t>TWO_STRAIGHT_RUN_STAIR</t>
  </si>
  <si>
    <t>QUARTER_WINDING_STAIR</t>
  </si>
  <si>
    <t>QUARTER_TURN_STAIR</t>
  </si>
  <si>
    <t>HALF_WINDING_STAIR</t>
  </si>
  <si>
    <t>HALF_TURN_STAIR</t>
  </si>
  <si>
    <t>TWO_QUARTER_WINDING_STAIR</t>
  </si>
  <si>
    <t>TWO_QUARTER_TURN_STAIR</t>
  </si>
  <si>
    <t>THREE_QUARTER_WINDING_STAIR</t>
  </si>
  <si>
    <t>THREE_QUARTER_TURN_STAIR</t>
  </si>
  <si>
    <t>SPIRAL_STAIR</t>
  </si>
  <si>
    <t>DOUBLE_RETURN_STAIR</t>
  </si>
  <si>
    <t>CURVED_RUN_STAIR</t>
  </si>
  <si>
    <t>TWO_CURVED_RUN_STAIR</t>
  </si>
  <si>
    <t>READWRITE</t>
  </si>
  <si>
    <t>READONLY</t>
  </si>
  <si>
    <t>LOCKED</t>
  </si>
  <si>
    <t>READWRITELOCKED</t>
  </si>
  <si>
    <t>READONLYLOCKED</t>
  </si>
  <si>
    <t>RIGID_JOINED_MEMBER</t>
  </si>
  <si>
    <t>PIN_JOINED_MEMBER</t>
  </si>
  <si>
    <t>CABLE</t>
  </si>
  <si>
    <t>TENSION_MEMBER</t>
  </si>
  <si>
    <t>COMPRESSION_MEMBER</t>
  </si>
  <si>
    <t>BENDING_ELEMENT</t>
  </si>
  <si>
    <t>MEMBRANE_ELEMENT</t>
  </si>
  <si>
    <t>SHELL</t>
  </si>
  <si>
    <t>BOTH</t>
  </si>
  <si>
    <t>BUMP</t>
  </si>
  <si>
    <t>OPACITY</t>
  </si>
  <si>
    <t>REFLECTION</t>
  </si>
  <si>
    <t>SELFILLUMINATION</t>
  </si>
  <si>
    <t>SHININESS</t>
  </si>
  <si>
    <t>SPECULAR</t>
  </si>
  <si>
    <t>TEXTURE</t>
  </si>
  <si>
    <t>TRANSPARENCYMAP</t>
  </si>
  <si>
    <t>CONTACTOR</t>
  </si>
  <si>
    <t>EMERGENCYSTOP</t>
  </si>
  <si>
    <t>STARTER</t>
  </si>
  <si>
    <t>SWITCHDISCONNECTOR</t>
  </si>
  <si>
    <t>TOGGLESWITCH</t>
  </si>
  <si>
    <t>PREFORMED</t>
  </si>
  <si>
    <t>SECTIONAL</t>
  </si>
  <si>
    <t>EXPANSION</t>
  </si>
  <si>
    <t>PRESSUREVESSEL</t>
  </si>
  <si>
    <t>STRAND</t>
  </si>
  <si>
    <t>WIRE</t>
  </si>
  <si>
    <t>BAR</t>
  </si>
  <si>
    <t>COATED</t>
  </si>
  <si>
    <t>UP</t>
  </si>
  <si>
    <t>DOWN</t>
  </si>
  <si>
    <t>PEOPLE</t>
  </si>
  <si>
    <t>LIGHTING</t>
  </si>
  <si>
    <t>EQUIPMENT</t>
  </si>
  <si>
    <t>VENTILATIONINDOORAIR</t>
  </si>
  <si>
    <t>VENTILATIONOUTSIDEAIR</t>
  </si>
  <si>
    <t>RECIRCULATEDAIR</t>
  </si>
  <si>
    <t>EXHAUSTAIR</t>
  </si>
  <si>
    <t>AIREXCHANGERATE</t>
  </si>
  <si>
    <t>DRYBULBTEMPERATURE</t>
  </si>
  <si>
    <t>RELATIVEHUMIDITY</t>
  </si>
  <si>
    <t>INFILTRATION</t>
  </si>
  <si>
    <t>SENSIBLE</t>
  </si>
  <si>
    <t>LATENT</t>
  </si>
  <si>
    <t>RADIANT</t>
  </si>
  <si>
    <t>CONTINUOUS</t>
  </si>
  <si>
    <t>DISCRETE</t>
  </si>
  <si>
    <t>DISCRETEBINARY</t>
  </si>
  <si>
    <t>PIECEWISEBINARY</t>
  </si>
  <si>
    <t>PIECEWISECONSTANT</t>
  </si>
  <si>
    <t>PIECEWISECONTINUOUS</t>
  </si>
  <si>
    <t>ANNUAL</t>
  </si>
  <si>
    <t>MONTHLY</t>
  </si>
  <si>
    <t>WEEKLY</t>
  </si>
  <si>
    <t>DAILY</t>
  </si>
  <si>
    <t>FREQUENCY</t>
  </si>
  <si>
    <t>VOLTAGE</t>
  </si>
  <si>
    <t>DISCONTINUOUS</t>
  </si>
  <si>
    <t>CONTSAMEGRADIENT</t>
  </si>
  <si>
    <t>CONTSAMEGRADIENTSAMECURVATURE</t>
  </si>
  <si>
    <t>ELEVATOR</t>
  </si>
  <si>
    <t>ESCALATOR</t>
  </si>
  <si>
    <t>MOVINGWALKWAY</t>
  </si>
  <si>
    <t>CARTESIAN</t>
  </si>
  <si>
    <t>PARAMETER</t>
  </si>
  <si>
    <t>FINNED</t>
  </si>
  <si>
    <t>ABSORBEDDOSEUNIT</t>
  </si>
  <si>
    <t>AMOUNTOFSUBSTANCEUNIT</t>
  </si>
  <si>
    <t>AREAUNIT</t>
  </si>
  <si>
    <t>DOSEEQUIVALENTUNIT</t>
  </si>
  <si>
    <t>ELECTRICCAPACITANCEUNIT</t>
  </si>
  <si>
    <t>ELECTRICCHARGEUNIT</t>
  </si>
  <si>
    <t>ELECTRICCONDUCTANCEUNIT</t>
  </si>
  <si>
    <t>ELECTRICCURRENTUNIT</t>
  </si>
  <si>
    <t>ELECTRICRESISTANCEUNIT</t>
  </si>
  <si>
    <t>ELECTRICVOLTAGEUNIT</t>
  </si>
  <si>
    <t>ENERGYUNIT</t>
  </si>
  <si>
    <t>FORCEUNIT</t>
  </si>
  <si>
    <t>FREQUENCYUNIT</t>
  </si>
  <si>
    <t>ILLUMINANCEUNIT</t>
  </si>
  <si>
    <t>INDUCTANCEUNIT</t>
  </si>
  <si>
    <t>LENGTHUNIT</t>
  </si>
  <si>
    <t>LUMINOUSFLUXUNIT</t>
  </si>
  <si>
    <t>LUMINOUSINTENSITYUNIT</t>
  </si>
  <si>
    <t>MAGNETICFLUXDENSITYUNIT</t>
  </si>
  <si>
    <t>MAGNETICFLUXUNIT</t>
  </si>
  <si>
    <t>MASSUNIT</t>
  </si>
  <si>
    <t>PLANEANGLEUNIT</t>
  </si>
  <si>
    <t>POWERUNIT</t>
  </si>
  <si>
    <t>PRESSUREUNIT</t>
  </si>
  <si>
    <t>RADIOACTIVITYUNIT</t>
  </si>
  <si>
    <t>SOLIDANGLEUNIT</t>
  </si>
  <si>
    <t>THERMODYNAMICTEMPERATUREUNIT</t>
  </si>
  <si>
    <t>TIMEUNIT</t>
  </si>
  <si>
    <t>VOLUMEUNIT</t>
  </si>
  <si>
    <t>AIRHANDLER</t>
  </si>
  <si>
    <t>AIRCONDITIONINGUNIT</t>
  </si>
  <si>
    <t>SPLITSYSTEM</t>
  </si>
  <si>
    <t>ROOFTOPUNIT</t>
  </si>
  <si>
    <t>AIRRELEASE</t>
  </si>
  <si>
    <t>ANTIVACUUM</t>
  </si>
  <si>
    <t>CHANGEOVER</t>
  </si>
  <si>
    <t>CHECK</t>
  </si>
  <si>
    <t>DIVERTING</t>
  </si>
  <si>
    <t>DRAWOFFCOCK</t>
  </si>
  <si>
    <t>DOUBLECHECK</t>
  </si>
  <si>
    <t>DOUBLEREGULATING</t>
  </si>
  <si>
    <t>FAUCET</t>
  </si>
  <si>
    <t>FLUSHING</t>
  </si>
  <si>
    <t>GASCOCK</t>
  </si>
  <si>
    <t>GASTAP</t>
  </si>
  <si>
    <t>ISOLATING</t>
  </si>
  <si>
    <t>MIXING</t>
  </si>
  <si>
    <t>PRESSUREREDUCING</t>
  </si>
  <si>
    <t>PRESSURERELIEF</t>
  </si>
  <si>
    <t>REGULATING</t>
  </si>
  <si>
    <t>SAFETYCUTOFF</t>
  </si>
  <si>
    <t>STEAMTRAP</t>
  </si>
  <si>
    <t>STOPCOCK</t>
  </si>
  <si>
    <t>COMPRESSION</t>
  </si>
  <si>
    <t>SPRING</t>
  </si>
  <si>
    <t>STANDARD</t>
  </si>
  <si>
    <t>POLYGONAL</t>
  </si>
  <si>
    <t>ELEMENTEDWALL</t>
  </si>
  <si>
    <t>PLUMBINGWALL</t>
  </si>
  <si>
    <t>FLOORTRAP</t>
  </si>
  <si>
    <t>FLOORWASTE</t>
  </si>
  <si>
    <t>GULLYSUMP</t>
  </si>
  <si>
    <t>GULLYTRAP</t>
  </si>
  <si>
    <t>GREASEINTERCEPTOR</t>
  </si>
  <si>
    <t>OILINTERCEPTOR</t>
  </si>
  <si>
    <t>PETROLINTERCEPTOR</t>
  </si>
  <si>
    <t>ROOFDRAIN</t>
  </si>
  <si>
    <t>WASTEDISPOSALUNIT</t>
  </si>
  <si>
    <t>WASTETRAP</t>
  </si>
  <si>
    <t>SIDEHUNGRIGHTHAND</t>
  </si>
  <si>
    <t>SIDEHUNGLEFTHAND</t>
  </si>
  <si>
    <t>TILTANDTURNRIGHTHAND</t>
  </si>
  <si>
    <t>TILTANDTURNLEFTHAND</t>
  </si>
  <si>
    <t>TOPHUNG</t>
  </si>
  <si>
    <t>BOTTOMHUNG</t>
  </si>
  <si>
    <t>PIVOTHORIZONTAL</t>
  </si>
  <si>
    <t>PIVOTVERTICAL</t>
  </si>
  <si>
    <t>SLIDINGHORIZONTAL</t>
  </si>
  <si>
    <t>SLIDINGVERTICAL</t>
  </si>
  <si>
    <t>REMOVABLECASEMENT</t>
  </si>
  <si>
    <t>FIXEDCASEMENT</t>
  </si>
  <si>
    <t>OTHEROPERATION</t>
  </si>
  <si>
    <t>BOTTOM</t>
  </si>
  <si>
    <t>TOP</t>
  </si>
  <si>
    <t>OTHER_CONSTRUCTION</t>
  </si>
  <si>
    <t>SINGLE_PANEL</t>
  </si>
  <si>
    <t>DOUBLE_PANEL_VERTICAL</t>
  </si>
  <si>
    <t>DOUBLE_PANEL_HORIZONTAL</t>
  </si>
  <si>
    <t>TRIPLE_PANEL_VERTICAL</t>
  </si>
  <si>
    <t>TRIPLE_PANEL_BOTTOM</t>
  </si>
  <si>
    <t>TRIPLE_PANEL_TOP</t>
  </si>
  <si>
    <t>TRIPLE_PANEL_LEFT</t>
  </si>
  <si>
    <t>TRIPLE_PANEL_RIGHT</t>
  </si>
  <si>
    <t>TRIPLE_PANEL_HORIZONTAL</t>
  </si>
  <si>
    <t>ACTUAL</t>
  </si>
  <si>
    <t>BASELINE</t>
  </si>
  <si>
    <t>PLANNED</t>
  </si>
  <si>
    <t>actAT_</t>
  </si>
  <si>
    <t>actRE_</t>
  </si>
  <si>
    <t>archPCO_</t>
  </si>
  <si>
    <t>bldACT_</t>
  </si>
  <si>
    <t>bldALT_</t>
  </si>
  <si>
    <t>bldCT_</t>
  </si>
  <si>
    <t>bldFIT_</t>
  </si>
  <si>
    <t>bldST_</t>
  </si>
  <si>
    <t>cstB_</t>
  </si>
  <si>
    <t>cstC_</t>
  </si>
  <si>
    <t>cstLO_</t>
  </si>
  <si>
    <t>cstO_</t>
  </si>
  <si>
    <t>conRC_</t>
  </si>
  <si>
    <t>ctrTSST_</t>
  </si>
  <si>
    <t>cosAO_</t>
  </si>
  <si>
    <t>cosEC_</t>
  </si>
  <si>
    <t>dttAOB_</t>
  </si>
  <si>
    <t>eleEFSDT_</t>
  </si>
  <si>
    <t>eleCCST_</t>
  </si>
  <si>
    <t>eleCCFT_</t>
  </si>
  <si>
    <t>eleCST_</t>
  </si>
  <si>
    <t>eleEAT_</t>
  </si>
  <si>
    <t>eleEDPF_</t>
  </si>
  <si>
    <t>eleEGT_</t>
  </si>
  <si>
    <t>eleEHT_</t>
  </si>
  <si>
    <t>eleEMT_</t>
  </si>
  <si>
    <t>eleETCT_</t>
  </si>
  <si>
    <t>eleJBT_</t>
  </si>
  <si>
    <t>eleLT_</t>
  </si>
  <si>
    <t>eleLFT_</t>
  </si>
  <si>
    <t>eleMCT_</t>
  </si>
  <si>
    <t>eleOT_</t>
  </si>
  <si>
    <t>elePDT_</t>
  </si>
  <si>
    <t>eleSDT_</t>
  </si>
  <si>
    <t>eleTT_</t>
  </si>
  <si>
    <t>extDC_</t>
  </si>
  <si>
    <t>extDS_</t>
  </si>
  <si>
    <t>gmmBO_</t>
  </si>
  <si>
    <t>geoBSCF_</t>
  </si>
  <si>
    <t>geoTC_</t>
  </si>
  <si>
    <t>geoTP_</t>
  </si>
  <si>
    <t>hvacATBT_</t>
  </si>
  <si>
    <t>hvacATT_</t>
  </si>
  <si>
    <t>hvacATART_</t>
  </si>
  <si>
    <t>utlS_</t>
  </si>
  <si>
    <t>utlAC_</t>
  </si>
  <si>
    <t>tisTSDT_</t>
  </si>
  <si>
    <t>tisDO_</t>
  </si>
  <si>
    <t>stcTT_</t>
  </si>
  <si>
    <t>stcPT_</t>
  </si>
  <si>
    <t>stcPC_</t>
  </si>
  <si>
    <t>stcFT_</t>
  </si>
  <si>
    <t>stcSST_</t>
  </si>
  <si>
    <t>stcSCT_</t>
  </si>
  <si>
    <t>stcPOTL_</t>
  </si>
  <si>
    <t>stcLGT_</t>
  </si>
  <si>
    <t>stcATT_</t>
  </si>
  <si>
    <t>stcAMT_</t>
  </si>
  <si>
    <t>stcAT_</t>
  </si>
  <si>
    <t>stcAST_</t>
  </si>
  <si>
    <t>hvacBT_</t>
  </si>
  <si>
    <t>hvacChiT_</t>
  </si>
  <si>
    <t>hvacCoiT_</t>
  </si>
  <si>
    <t>hvacComT_</t>
  </si>
  <si>
    <t>hvacConT_</t>
  </si>
  <si>
    <t>hvacCBT_</t>
  </si>
  <si>
    <t>hvacCTT_</t>
  </si>
  <si>
    <t>hvacDT_</t>
  </si>
  <si>
    <t>hvacDFT_</t>
  </si>
  <si>
    <t>hvacDSeT_</t>
  </si>
  <si>
    <t>hvacDSiT_</t>
  </si>
  <si>
    <t>hvacECT_</t>
  </si>
  <si>
    <t>hvacET_</t>
  </si>
  <si>
    <t>hvacFiT_</t>
  </si>
  <si>
    <t>hvacFaT_</t>
  </si>
  <si>
    <t>hvacFMT_</t>
  </si>
  <si>
    <t>hvacGTT_</t>
  </si>
  <si>
    <t>hvacHET_</t>
  </si>
  <si>
    <t>hvacHT_</t>
  </si>
  <si>
    <t>hvacPFT_</t>
  </si>
  <si>
    <t>hvacPST_</t>
  </si>
  <si>
    <t>hvacPT_</t>
  </si>
  <si>
    <t>hvacSHT_</t>
  </si>
  <si>
    <t>hvacTT_</t>
  </si>
  <si>
    <t>hvacTBT_</t>
  </si>
  <si>
    <t>hvacUET_</t>
  </si>
  <si>
    <t>hvacVaT_</t>
  </si>
  <si>
    <t>hvacViT_</t>
  </si>
  <si>
    <t>krnOT_</t>
  </si>
  <si>
    <t>krnS_</t>
  </si>
  <si>
    <t>matDS_</t>
  </si>
  <si>
    <t>matLSD_</t>
  </si>
  <si>
    <t>mesC_</t>
  </si>
  <si>
    <t>mesDU_</t>
  </si>
  <si>
    <t>mesSIP_</t>
  </si>
  <si>
    <t>mesSIUN_</t>
  </si>
  <si>
    <t>mesU_</t>
  </si>
  <si>
    <t>pfpFSTT_</t>
  </si>
  <si>
    <t>pfpSaTT_</t>
  </si>
  <si>
    <t>pfpStTT_</t>
  </si>
  <si>
    <t>pfpWTT_</t>
  </si>
  <si>
    <t>repNS_</t>
  </si>
  <si>
    <t>repRM_</t>
  </si>
  <si>
    <t>repSS_</t>
  </si>
  <si>
    <t>repST_</t>
  </si>
  <si>
    <t>repTP_</t>
  </si>
  <si>
    <t>repDEU_</t>
  </si>
  <si>
    <t>repLDC_</t>
  </si>
  <si>
    <t>repLES_</t>
  </si>
  <si>
    <t>pocPT_</t>
  </si>
  <si>
    <t>pocWCT_</t>
  </si>
  <si>
    <t>pocAP_</t>
  </si>
  <si>
    <t>pocBEPT_</t>
  </si>
  <si>
    <t>pocCT_</t>
  </si>
  <si>
    <t>pocEAT_</t>
  </si>
  <si>
    <t>pocEC_</t>
  </si>
  <si>
    <t>pocIOE_</t>
  </si>
  <si>
    <t>pocPOV_</t>
  </si>
  <si>
    <t>pocST_</t>
  </si>
  <si>
    <t>pocTET_</t>
  </si>
  <si>
    <t>fpsRBR_</t>
  </si>
  <si>
    <t>fpsRBS_</t>
  </si>
  <si>
    <t>fpsRPD_</t>
  </si>
  <si>
    <t>fpsST_</t>
  </si>
  <si>
    <t>fpsPT_</t>
  </si>
  <si>
    <t>repGP_</t>
  </si>
  <si>
    <t>repGOL_</t>
  </si>
  <si>
    <t>sbeBT_</t>
  </si>
  <si>
    <t>sbeClmT_</t>
  </si>
  <si>
    <t>sbeConT_</t>
  </si>
  <si>
    <t>sbeCWT_</t>
  </si>
  <si>
    <t>sbeDPO_</t>
  </si>
  <si>
    <t>sbeDPP_</t>
  </si>
  <si>
    <t>sbeDSC_</t>
  </si>
  <si>
    <t>sbeDSO_</t>
  </si>
  <si>
    <t>sbeMT_</t>
  </si>
  <si>
    <t>sbePT_</t>
  </si>
  <si>
    <t>sbeRT_</t>
  </si>
  <si>
    <t>sbeRFT_</t>
  </si>
  <si>
    <t>sbeST_</t>
  </si>
  <si>
    <t>sbeSFT_</t>
  </si>
  <si>
    <t>sbeWS_</t>
  </si>
  <si>
    <t>sbeWPO_</t>
  </si>
  <si>
    <t>sbeWPP_</t>
  </si>
  <si>
    <t>sbeWSC_</t>
  </si>
  <si>
    <t>sbeWSO_</t>
  </si>
  <si>
    <t>sbsDCET_</t>
  </si>
  <si>
    <t>sbsEC_</t>
  </si>
  <si>
    <t>sbsES_</t>
  </si>
  <si>
    <t>sbsFD_</t>
  </si>
  <si>
    <t>sbsPS_</t>
  </si>
  <si>
    <t>sbsSS_</t>
  </si>
  <si>
    <t>sbsTLS_</t>
  </si>
  <si>
    <t>sbsTLT_</t>
  </si>
  <si>
    <t>sfmIT_</t>
  </si>
  <si>
    <t>sfmOT_</t>
  </si>
  <si>
    <t>sfmSLFT_</t>
  </si>
  <si>
    <t>sfmSLT_</t>
  </si>
  <si>
    <t>mgmCST_</t>
  </si>
  <si>
    <t>mgmPORT_</t>
  </si>
  <si>
    <t>mgmPOT_</t>
  </si>
  <si>
    <t>Wert</t>
  </si>
  <si>
    <t>EnuDek</t>
  </si>
  <si>
    <t>To STEP</t>
  </si>
  <si>
    <t>From STEP</t>
  </si>
  <si>
    <t>Code</t>
  </si>
  <si>
    <t>File</t>
  </si>
  <si>
    <t>Public Enum IfcActionSourceTypeEnum
  stcAST_DEAD_LOAD_G = 1
  stcAST_COMPLETION_G1 = 2
  stcAST_LIVE_LOAD_Q = 3
  stcAST_SNOW_S = 4
  stcAST_WIND_W = 5
  stcAST_PRESTRESSING_P = 6
  stcAST_SETTLEMENT_U = 7
  stcAST_TEMPERATURE_T = 8
  stcAST_EARTHQUAKE_E = 9
  stcAST_FIRE = 10
  stcAST_IMPULSE = 11
  stcAST_IMPACT = 12
  stcAST_TRANSPORT = 13
  stcAST_ERECTION = 14
  stcAST_PROPPING = 15
  stcAST_SYSTEM_IMPERFECTION = 16
  stcAST_SHRINKAGE = 17
  stcAST_CREEP = 18
  stcAST_LACK_OF_FIT = 19
  stcAST_BUOYANCY = 20
  stcAST_ICE = 21
  stcAST_CURRENT = 22
  stcAST_WAVE = 23
  stcAST_RAIN = 24
  stcAST_BRAKES = 25
  stcAST_USERDEFINED = 26
  stcAST_NOTDEFINED = 27
End Enum
Public Function IfcActionSourceTypeEnum_to_STEP(Wert as IfcActionSourceTypeEnum) As String
  Dim Res as String
  If Wert = stcAST_DEAD_LOAD_G Then Res = ".DEAD_LOAD_G."
  If Wert = stcAST_COMPLETION_G1 Then Res = ".COMPLETION_G1."
  If Wert = stcAST_LIVE_LOAD_Q Then Res = ".LIVE_LOAD_Q."
  If Wert = stcAST_SNOW_S Then Res = ".SNOW_S."
  If Wert = stcAST_WIND_W Then Res = ".WIND_W."
  If Wert = stcAST_PRESTRESSING_P Then Res = ".PRESTRESSING_P."
  If Wert = stcAST_SETTLEMENT_U Then Res = ".SETTLEMENT_U."
  If Wert = stcAST_TEMPERATURE_T Then Res = ".TEMPERATURE_T."
  If Wert = stcAST_EARTHQUAKE_E Then Res = ".EARTHQUAKE_E."
  If Wert = stcAST_FIRE Then Res = ".FIRE."
  If Wert = stcAST_IMPULSE Then Res = ".IMPULSE."
  If Wert = stcAST_IMPACT Then Res = ".IMPACT."
  If Wert = stcAST_TRANSPORT Then Res = ".TRANSPORT."
  If Wert = stcAST_ERECTION Then Res = ".ERECTION."
  If Wert = stcAST_PROPPING Then Res = ".PROPPING."
  If Wert = stcAST_SYSTEM_IMPERFECTION Then Res = ".SYSTEM_IMPERFECTION."
  If Wert = stcAST_SHRINKAGE Then Res = ".SHRINKAGE."
  If Wert = stcAST_CREEP Then Res = ".CREEP."
  If Wert = stcAST_LACK_OF_FIT Then Res = ".LACK_OF_FIT."
  If Wert = stcAST_BUOYANCY Then Res = ".BUOYANCY."
  If Wert = stcAST_ICE Then Res = ".ICE."
  If Wert = stcAST_CURRENT Then Res = ".CURRENT."
  If Wert = stcAST_WAVE Then Res = ".WAVE."
  If Wert = stcAST_RAIN Then Res = ".RAIN."
  If Wert = stcAST_BRAKES Then Res = ".BRAKES."
  If Wert = stcAST_USERDEFINED Then Res = ".USERDEFINED."
  If Wert = stcAST_NOTDEFINED Then Res = ".NOTDEFINED."
  IfcActionSourceTypeEnum_to_STEP = Res
End Function
Public Function STEP_to_IfcActionSourceTypeEnum(Wert as String) As IfcActionSourceTypeEnum
  Dim Res as IfcActionSourceTypeEnum
  If Wert = ".DEAD_LOAD_G." Then Res = stcAST_DEAD_LOAD_G
  If Wert = ".COMPLETION_G1." Then Res = stcAST_COMPLETION_G1
  If Wert = ".LIVE_LOAD_Q." Then Res = stcAST_LIVE_LOAD_Q
  If Wert = ".SNOW_S." Then Res = stcAST_SNOW_S
  If Wert = ".WIND_W." Then Res = stcAST_WIND_W
  If Wert = ".PRESTRESSING_P." Then Res = stcAST_PRESTRESSING_P
  If Wert = ".SETTLEMENT_U." Then Res = stcAST_SETTLEMENT_U
  If Wert = ".TEMPERATURE_T." Then Res = stcAST_TEMPERATURE_T
  If Wert = ".EARTHQUAKE_E." Then Res = stcAST_EARTHQUAKE_E
  If Wert = ".FIRE." Then Res = stcAST_FIRE
  If Wert = ".IMPULSE." Then Res = stcAST_IMPULSE
  If Wert = ".IMPACT." Then Res = stcAST_IMPACT
  If Wert = ".TRANSPORT." Then Res = stcAST_TRANSPORT
  If Wert = ".ERECTION." Then Res = stcAST_ERECTION
  If Wert = ".PROPPING." Then Res = stcAST_PROPPING
  If Wert = ".SYSTEM_IMPERFECTION." Then Res = stcAST_SYSTEM_IMPERFECTION
  If Wert = ".SHRINKAGE." Then Res = stcAST_SHRINKAGE
  If Wert = ".CREEP." Then Res = stcAST_CREEP
  If Wert = ".LACK_OF_FIT." Then Res = stcAST_LACK_OF_FIT
  If Wert = ".BUOYANCY." Then Res = stcAST_BUOYANCY
  If Wert = ".ICE." Then Res = stcAST_ICE
  If Wert = ".CURRENT." Then Res = stcAST_CURRENT
  If Wert = ".WAVE." Then Res = stcAST_WAVE
  If Wert = ".RAIN." Then Res = stcAST_RAIN
  If Wert = ".BRAKES." Then Res = stcAST_BRAKES
  If Wert = ".USERDEFINED." Then Res = stcAST_USERDEFINED
  If Wert = ".NOTDEFINED." Then Res = stcAST_NOTDEFINED
  STEP_to_IfcActionSourceTypeEnum = Res
End Function</t>
  </si>
  <si>
    <t>Public Enum IfcActionTypeEnum
  stcAT_PERMANENT_G = 1
  stcAT_VARIABLE_Q = 2
  stcAT_EXTRAORDINARY_A = 3
  stcAT_USERDEFINED = 4
  stcAT_NOTDEFINED = 5
End Enum
Public Function IfcActionTypeEnum_to_STEP(Wert as IfcActionTypeEnum) As String
  Dim Res as String
  If Wert = stcAT_PERMANENT_G Then Res = ".PERMANENT_G."
  If Wert = stcAT_VARIABLE_Q Then Res = ".VARIABLE_Q."
  If Wert = stcAT_EXTRAORDINARY_A Then Res = ".EXTRAORDINARY_A."
  If Wert = stcAT_USERDEFINED Then Res = ".USERDEFINED."
  If Wert = stcAT_NOTDEFINED Then Res = ".NOTDEFINED."
  IfcActionTypeEnum_to_STEP = Res
End Function
Public Function STEP_to_IfcActionTypeEnum(Wert as String) As IfcActionTypeEnum
  Dim Res as IfcActionTypeEnum
  If Wert = ".PERMANENT_G." Then Res = stcAT_PERMANENT_G
  If Wert = ".VARIABLE_Q." Then Res = stcAT_VARIABLE_Q
  If Wert = ".EXTRAORDINARY_A." Then Res = stcAT_EXTRAORDINARY_A
  If Wert = ".USERDEFINED." Then Res = stcAT_USERDEFINED
  If Wert = ".NOTDEFINED." Then Res = stcAT_NOTDEFINED
  STEP_to_IfcActionTypeEnum = Res
End Function</t>
  </si>
  <si>
    <t>Public Enum IfcActuatorTypeEnum
  bldACT_ELECTRICACTUATOR = 1
  bldACT_HANDOPERATEDACTUATOR = 2
  bldACT_HYDRAULICACTUATOR = 3
  bldACT_PNEUMATICACTUATOR = 4
  bldACT_THERMOSTATICACTUATOR = 5
  bldACT_USERDEFINED = 6
  bldACT_NOTDEFINED = 7
End Enum
Public Function IfcActuatorTypeEnum_to_STEP(Wert as IfcActuatorTypeEnum) As String
  Dim Res as String
  If Wert = bldACT_ELECTRICACTUATOR Then Res = ".ELECTRICACTUATOR."
  If Wert = bldACT_HANDOPERATEDACTUATOR Then Res = ".HANDOPERATEDACTUATOR."
  If Wert = bldACT_HYDRAULICACTUATOR Then Res = ".HYDRAULICACTUATOR."
  If Wert = bldACT_PNEUMATICACTUATOR Then Res = ".PNEUMATICACTUATOR."
  If Wert = bldACT_THERMOSTATICACTUATOR Then Res = ".THERMOSTATICACTUATOR."
  If Wert = bldACT_USERDEFINED Then Res = ".USERDEFINED."
  If Wert = bldACT_NOTDEFINED Then Res = ".NOTDEFINED."
  IfcActuatorTypeEnum_to_STEP = Res
End Function
Public Function STEP_to_IfcActuatorTypeEnum(Wert as String) As IfcActuatorTypeEnum
  Dim Res as IfcActuatorTypeEnum
  If Wert = ".ELECTRICACTUATOR." Then Res = bldACT_ELECTRICACTUATOR
  If Wert = ".HANDOPERATEDACTUATOR." Then Res = bldACT_HANDOPERATEDACTUATOR
  If Wert = ".HYDRAULICACTUATOR." Then Res = bldACT_HYDRAULICACTUATOR
  If Wert = ".PNEUMATICACTUATOR." Then Res = bldACT_PNEUMATICACTUATOR
  If Wert = ".THERMOSTATICACTUATOR." Then Res = bldACT_THERMOSTATICACTUATOR
  If Wert = ".USERDEFINED." Then Res = bldACT_USERDEFINED
  If Wert = ".NOTDEFINED." Then Res = bldACT_NOTDEFINED
  STEP_to_IfcActuatorTypeEnum = Res
End Function</t>
  </si>
  <si>
    <t>Public Enum IfcAddressTypeEnum
  actAT_OFFICE = 1
  actAT_SITE = 2
  actAT_HOME = 3
  actAT_DISTRIBUTIONPOINT = 4
  actAT_USERDEFINED = 5
End Enum
Public Function IfcAddressTypeEnum_to_STEP(Wert as IfcAddressTypeEnum) As String
  Dim Res as String
  If Wert = actAT_OFFICE Then Res = ".OFFICE."
  If Wert = actAT_SITE Then Res = ".SITE."
  If Wert = actAT_HOME Then Res = ".HOME."
  If Wert = actAT_DISTRIBUTIONPOINT Then Res = ".DISTRIBUTIONPOINT."
  If Wert = actAT_USERDEFINED Then Res = ".USERDEFINED."
  IfcAddressTypeEnum_to_STEP = Res
End Function
Public Function STEP_to_IfcAddressTypeEnum(Wert as String) As IfcAddressTypeEnum
  Dim Res as IfcAddressTypeEnum
  If Wert = ".OFFICE." Then Res = actAT_OFFICE
  If Wert = ".SITE." Then Res = actAT_SITE
  If Wert = ".HOME." Then Res = actAT_HOME
  If Wert = ".DISTRIBUTIONPOINT." Then Res = actAT_DISTRIBUTIONPOINT
  If Wert = ".USERDEFINED." Then Res = actAT_USERDEFINED
  STEP_to_IfcAddressTypeEnum = Res
End Function</t>
  </si>
  <si>
    <t>Public Enum IfcAheadOrBehind
  dttAOB_AHEAD = 1
  dttAOB_BEHIND = 2
End Enum
Public Function IfcAheadOrBehind_to_STEP(Wert as IfcAheadOrBehind) As String
  Dim Res as String
  If Wert = dttAOB_AHEAD Then Res = ".AHEAD."
  If Wert = dttAOB_BEHIND Then Res = ".BEHIND."
  IfcAheadOrBehind_to_STEP = Res
End Function
Public Function STEP_to_IfcAheadOrBehind(Wert as String) As IfcAheadOrBehind
  Dim Res as IfcAheadOrBehind
  If Wert = ".AHEAD." Then Res = dttAOB_AHEAD
  If Wert = ".BEHIND." Then Res = dttAOB_BEHIND
  STEP_to_IfcAheadOrBehind = Res
End Function</t>
  </si>
  <si>
    <t>Public Enum IfcAirTerminalBoxTypeEnum
  hvacATBT_CONSTANTFLOW = 1
  hvacATBT_VARIABLEFLOWPRESSUREDEPENDANT = 2
  hvacATBT_VARIABLEFLOWPRESSUREINDEPENDANT = 3
  hvacATBT_USERDEFINED = 4
  hvacATBT_NOTDEFINED = 5
End Enum
Public Function IfcAirTerminalBoxTypeEnum_to_STEP(Wert as IfcAirTerminalBoxTypeEnum) As String
  Dim Res as String
  If Wert = hvacATBT_CONSTANTFLOW Then Res = ".CONSTANTFLOW."
  If Wert = hvacATBT_VARIABLEFLOWPRESSUREDEPENDANT Then Res = ".VARIABLEFLOWPRESSUREDEPENDANT."
  If Wert = hvacATBT_VARIABLEFLOWPRESSUREINDEPENDANT Then Res = ".VARIABLEFLOWPRESSUREINDEPENDANT."
  If Wert = hvacATBT_USERDEFINED Then Res = ".USERDEFINED."
  If Wert = hvacATBT_NOTDEFINED Then Res = ".NOTDEFINED."
  IfcAirTerminalBoxTypeEnum_to_STEP = Res
End Function
Public Function STEP_to_IfcAirTerminalBoxTypeEnum(Wert as String) As IfcAirTerminalBoxTypeEnum
  Dim Res as IfcAirTerminalBoxTypeEnum
  If Wert = ".CONSTANTFLOW." Then Res = hvacATBT_CONSTANTFLOW
  If Wert = ".VARIABLEFLOWPRESSUREDEPENDANT." Then Res = hvacATBT_VARIABLEFLOWPRESSUREDEPENDANT
  If Wert = ".VARIABLEFLOWPRESSUREINDEPENDANT." Then Res = hvacATBT_VARIABLEFLOWPRESSUREINDEPENDANT
  If Wert = ".USERDEFINED." Then Res = hvacATBT_USERDEFINED
  If Wert = ".NOTDEFINED." Then Res = hvacATBT_NOTDEFINED
  STEP_to_IfcAirTerminalBoxTypeEnum = Res
End Function</t>
  </si>
  <si>
    <t>Public Enum IfcAirTerminalTypeEnum
  hvacATT_GRILLE = 1
  hvacATT_REGISTER = 2
  hvacATT_DIFFUSER = 3
  hvacATT_EYEBALL = 4
  hvacATT_IRIS = 5
  hvacATT_LINEARGRILLE = 6
  hvacATT_LINEARDIFFUSER = 7
  hvacATT_USERDEFINED = 8
  hvacATT_NOTDEFINED = 9
End Enum
Public Function IfcAirTerminalTypeEnum_to_STEP(Wert as IfcAirTerminalTypeEnum) As String
  Dim Res as String
  If Wert = hvacATT_GRILLE Then Res = ".GRILLE."
  If Wert = hvacATT_REGISTER Then Res = ".REGISTER."
  If Wert = hvacATT_DIFFUSER Then Res = ".DIFFUSER."
  If Wert = hvacATT_EYEBALL Then Res = ".EYEBALL."
  If Wert = hvacATT_IRIS Then Res = ".IRIS."
  If Wert = hvacATT_LINEARGRILLE Then Res = ".LINEARGRILLE."
  If Wert = hvacATT_LINEARDIFFUSER Then Res = ".LINEARDIFFUSER."
  If Wert = hvacATT_USERDEFINED Then Res = ".USERDEFINED."
  If Wert = hvacATT_NOTDEFINED Then Res = ".NOTDEFINED."
  IfcAirTerminalTypeEnum_to_STEP = Res
End Function
Public Function STEP_to_IfcAirTerminalTypeEnum(Wert as String) As IfcAirTerminalTypeEnum
  Dim Res as IfcAirTerminalTypeEnum
  If Wert = ".GRILLE." Then Res = hvacATT_GRILLE
  If Wert = ".REGISTER." Then Res = hvacATT_REGISTER
  If Wert = ".DIFFUSER." Then Res = hvacATT_DIFFUSER
  If Wert = ".EYEBALL." Then Res = hvacATT_EYEBALL
  If Wert = ".IRIS." Then Res = hvacATT_IRIS
  If Wert = ".LINEARGRILLE." Then Res = hvacATT_LINEARGRILLE
  If Wert = ".LINEARDIFFUSER." Then Res = hvacATT_LINEARDIFFUSER
  If Wert = ".USERDEFINED." Then Res = hvacATT_USERDEFINED
  If Wert = ".NOTDEFINED." Then Res = hvacATT_NOTDEFINED
  STEP_to_IfcAirTerminalTypeEnum = Res
End Function</t>
  </si>
  <si>
    <t>Public Enum IfcAirToAirHeatRecoveryTypeEnum
  hvacATART_FIXEDPLATECOUNTERFLOWEXCHANGER = 1
  hvacATART_FIXEDPLATECROSSFLOWEXCHANGER = 2
  hvacATART_FIXEDPLATEPARALLELFLOWEXCHANGER = 3
  hvacATART_ROTARYWHEEL = 4
  hvacATART_RUNAROUNDCOILLOOP = 5
  hvacATART_HEATPIPE = 6
  hvacATART_TWINTOWERENTHALPYRECOVERYLOOPS = 7
  hvacATART_THERMOSIPHONSEALEDTUBEHEATEXCHANGERS = 8
  hvacATART_THERMOSIPHONCOILTYPEHEATEXCHANGERS = 9
  hvacATART_USERDEFINED = 10
  hvacATART_NOTDEFINED = 11
End Enum
Public Function IfcAirToAirHeatRecoveryTypeEnum_to_STEP(Wert as IfcAirToAirHeatRecoveryTypeEnum) As String
  Dim Res as String
  If Wert = hvacATART_FIXEDPLATECOUNTERFLOWEXCHANGER Then Res = ".FIXEDPLATECOUNTERFLOWEXCHANGER."
  If Wert = hvacATART_FIXEDPLATECROSSFLOWEXCHANGER Then Res = ".FIXEDPLATECROSSFLOWEXCHANGER."
  If Wert = hvacATART_FIXEDPLATEPARALLELFLOWEXCHANGER Then Res = ".FIXEDPLATEPARALLELFLOWEXCHANGER."
  If Wert = hvacATART_ROTARYWHEEL Then Res = ".ROTARYWHEEL."
  If Wert = hvacATART_RUNAROUNDCOILLOOP Then Res = ".RUNAROUNDCOILLOOP."
  If Wert = hvacATART_HEATPIPE Then Res = ".HEATPIPE."
  If Wert = hvacATART_TWINTOWERENTHALPYRECOVERYLOOPS Then Res = ".TWINTOWERENTHALPYRECOVERYLOOPS."
  If Wert = hvacATART_THERMOSIPHONSEALEDTUBEHEATEXCHANGERS Then Res = ".THERMOSIPHONSEALEDTUBEHEATEXCHANGERS."
  If Wert = hvacATART_THERMOSIPHONCOILTYPEHEATEXCHANGERS Then Res = ".THERMOSIPHONCOILTYPEHEATEXCHANGERS."
  If Wert = hvacATART_USERDEFINED Then Res = ".USERDEFINED."
  If Wert = hvacATART_NOTDEFINED Then Res = ".NOTDEFINED."
  IfcAirToAirHeatRecoveryTypeEnum_to_STEP = Res
End Function
Public Function STEP_to_IfcAirToAirHeatRecoveryTypeEnum(Wert as String) As IfcAirToAirHeatRecoveryTypeEnum
  Dim Res as IfcAirToAirHeatRecoveryTypeEnum
  If Wert = ".FIXEDPLATECOUNTERFLOWEXCHANGER." Then Res = hvacATART_FIXEDPLATECOUNTERFLOWEXCHANGER
  If Wert = ".FIXEDPLATECROSSFLOWEXCHANGER." Then Res = hvacATART_FIXEDPLATECROSSFLOWEXCHANGER
  If Wert = ".FIXEDPLATEPARALLELFLOWEXCHANGER." Then Res = hvacATART_FIXEDPLATEPARALLELFLOWEXCHANGER
  If Wert = ".ROTARYWHEEL." Then Res = hvacATART_ROTARYWHEEL
  If Wert = ".RUNAROUNDCOILLOOP." Then Res = hvacATART_RUNAROUNDCOILLOOP
  If Wert = ".HEATPIPE." Then Res = hvacATART_HEATPIPE
  If Wert = ".TWINTOWERENTHALPYRECOVERYLOOPS." Then Res = hvacATART_TWINTOWERENTHALPYRECOVERYLOOPS
  If Wert = ".THERMOSIPHONSEALEDTUBEHEATEXCHANGERS." Then Res = hvacATART_THERMOSIPHONSEALEDTUBEHEATEXCHANGERS
  If Wert = ".THERMOSIPHONCOILTYPEHEATEXCHANGERS." Then Res = hvacATART_THERMOSIPHONCOILTYPEHEATEXCHANGERS
  If Wert = ".USERDEFINED." Then Res = hvacATART_USERDEFINED
  If Wert = ".NOTDEFINED." Then Res = hvacATART_NOTDEFINED
  STEP_to_IfcAirToAirHeatRecoveryTypeEnum = Res
End Function</t>
  </si>
  <si>
    <t>Public Enum IfcAlarmTypeEnum
  bldALT_BELL = 1
  bldALT_BREAKGLASSBUTTON = 2
  bldALT_LIGHT = 3
  bldALT_MANUALPULLBOX = 4
  bldALT_SIREN = 5
  bldALT_WHISTLE = 6
  bldALT_USERDEFINED = 7
  bldALT_NOTDEFINED = 8
End Enum
Public Function IfcAlarmTypeEnum_to_STEP(Wert as IfcAlarmTypeEnum) As String
  Dim Res as String
  If Wert = bldALT_BELL Then Res = ".BELL."
  If Wert = bldALT_BREAKGLASSBUTTON Then Res = ".BREAKGLASSBUTTON."
  If Wert = bldALT_LIGHT Then Res = ".LIGHT."
  If Wert = bldALT_MANUALPULLBOX Then Res = ".MANUALPULLBOX."
  If Wert = bldALT_SIREN Then Res = ".SIREN."
  If Wert = bldALT_WHISTLE Then Res = ".WHISTLE."
  If Wert = bldALT_USERDEFINED Then Res = ".USERDEFINED."
  If Wert = bldALT_NOTDEFINED Then Res = ".NOTDEFINED."
  IfcAlarmTypeEnum_to_STEP = Res
End Function
Public Function STEP_to_IfcAlarmTypeEnum(Wert as String) As IfcAlarmTypeEnum
  Dim Res as IfcAlarmTypeEnum
  If Wert = ".BELL." Then Res = bldALT_BELL
  If Wert = ".BREAKGLASSBUTTON." Then Res = bldALT_BREAKGLASSBUTTON
  If Wert = ".LIGHT." Then Res = bldALT_LIGHT
  If Wert = ".MANUALPULLBOX." Then Res = bldALT_MANUALPULLBOX
  If Wert = ".SIREN." Then Res = bldALT_SIREN
  If Wert = ".WHISTLE." Then Res = bldALT_WHISTLE
  If Wert = ".USERDEFINED." Then Res = bldALT_USERDEFINED
  If Wert = ".NOTDEFINED." Then Res = bldALT_NOTDEFINED
  STEP_to_IfcAlarmTypeEnum = Res
End Function</t>
  </si>
  <si>
    <t>Public Enum IfcAnalysisModelTypeEnum
  stcAMT_IN_PLANE_LOADING_2D = 1
  stcAMT_OUT_PLANE_LOADING_2D = 2
  stcAMT_LOADING_3D = 3
  stcAMT_USERDEFINED = 4
  stcAMT_NOTDEFINED = 5
End Enum
Public Function IfcAnalysisModelTypeEnum_to_STEP(Wert as IfcAnalysisModelTypeEnum) As String
  Dim Res as String
  If Wert = stcAMT_IN_PLANE_LOADING_2D Then Res = ".IN_PLANE_LOADING_2D."
  If Wert = stcAMT_OUT_PLANE_LOADING_2D Then Res = ".OUT_PLANE_LOADING_2D."
  If Wert = stcAMT_LOADING_3D Then Res = ".LOADING_3D."
  If Wert = stcAMT_USERDEFINED Then Res = ".USERDEFINED."
  If Wert = stcAMT_NOTDEFINED Then Res = ".NOTDEFINED."
  IfcAnalysisModelTypeEnum_to_STEP = Res
End Function
Public Function STEP_to_IfcAnalysisModelTypeEnum(Wert as String) As IfcAnalysisModelTypeEnum
  Dim Res as IfcAnalysisModelTypeEnum
  If Wert = ".IN_PLANE_LOADING_2D." Then Res = stcAMT_IN_PLANE_LOADING_2D
  If Wert = ".OUT_PLANE_LOADING_2D." Then Res = stcAMT_OUT_PLANE_LOADING_2D
  If Wert = ".LOADING_3D." Then Res = stcAMT_LOADING_3D
  If Wert = ".USERDEFINED." Then Res = stcAMT_USERDEFINED
  If Wert = ".NOTDEFINED." Then Res = stcAMT_NOTDEFINED
  STEP_to_IfcAnalysisModelTypeEnum = Res
End Function</t>
  </si>
  <si>
    <t>Public Enum IfcAnalysisTheoryTypeEnum
  stcATT_FIRST_ORDER_THEORY = 1
  stcATT_SECOND_ORDER_THEORY = 2
  stcATT_THIRD_ORDER_THEORY = 3
  stcATT_FULL_NONLINEAR_THEORY = 4
  stcATT_USERDEFINED = 5
  stcATT_NOTDEFINED = 6
End Enum
Public Function IfcAnalysisTheoryTypeEnum_to_STEP(Wert as IfcAnalysisTheoryTypeEnum) As String
  Dim Res as String
  If Wert = stcATT_FIRST_ORDER_THEORY Then Res = ".FIRST_ORDER_THEORY."
  If Wert = stcATT_SECOND_ORDER_THEORY Then Res = ".SECOND_ORDER_THEORY."
  If Wert = stcATT_THIRD_ORDER_THEORY Then Res = ".THIRD_ORDER_THEORY."
  If Wert = stcATT_FULL_NONLINEAR_THEORY Then Res = ".FULL_NONLINEAR_THEORY."
  If Wert = stcATT_USERDEFINED Then Res = ".USERDEFINED."
  If Wert = stcATT_NOTDEFINED Then Res = ".NOTDEFINED."
  IfcAnalysisTheoryTypeEnum_to_STEP = Res
End Function
Public Function STEP_to_IfcAnalysisTheoryTypeEnum(Wert as String) As IfcAnalysisTheoryTypeEnum
  Dim Res as IfcAnalysisTheoryTypeEnum
  If Wert = ".FIRST_ORDER_THEORY." Then Res = stcATT_FIRST_ORDER_THEORY
  If Wert = ".SECOND_ORDER_THEORY." Then Res = stcATT_SECOND_ORDER_THEORY
  If Wert = ".THIRD_ORDER_THEORY." Then Res = stcATT_THIRD_ORDER_THEORY
  If Wert = ".FULL_NONLINEAR_THEORY." Then Res = stcATT_FULL_NONLINEAR_THEORY
  If Wert = ".USERDEFINED." Then Res = stcATT_USERDEFINED
  If Wert = ".NOTDEFINED." Then Res = stcATT_NOTDEFINED
  STEP_to_IfcAnalysisTheoryTypeEnum = Res
End Function</t>
  </si>
  <si>
    <t>Public Enum IfcArithmeticOperatorEnum
  cosAO_ADD = 1
  cosAO_DIVIDE = 2
  cosAO_MULTIPLY = 3
  cosAO_SUBTRACT = 4
End Enum
Public Function IfcArithmeticOperatorEnum_to_STEP(Wert as IfcArithmeticOperatorEnum) As String
  Dim Res as String
  If Wert = cosAO_ADD Then Res = ".ADD."
  If Wert = cosAO_DIVIDE Then Res = ".DIVIDE."
  If Wert = cosAO_MULTIPLY Then Res = ".MULTIPLY."
  If Wert = cosAO_SUBTRACT Then Res = ".SUBTRACT."
  IfcArithmeticOperatorEnum_to_STEP = Res
End Function
Public Function STEP_to_IfcArithmeticOperatorEnum(Wert as String) As IfcArithmeticOperatorEnum
  Dim Res as IfcArithmeticOperatorEnum
  If Wert = ".ADD." Then Res = cosAO_ADD
  If Wert = ".DIVIDE." Then Res = cosAO_DIVIDE
  If Wert = ".MULTIPLY." Then Res = cosAO_MULTIPLY
  If Wert = ".SUBTRACT." Then Res = cosAO_SUBTRACT
  STEP_to_IfcArithmeticOperatorEnum = Res
End Function</t>
  </si>
  <si>
    <t>Public Enum IfcAssemblyPlaceEnum
  pocAP_SITE = 1
  pocAP_FACTORY = 2
  pocAP_NOTDEFINED = 3
End Enum
Public Function IfcAssemblyPlaceEnum_to_STEP(Wert as IfcAssemblyPlaceEnum) As String
  Dim Res as String
  If Wert = pocAP_SITE Then Res = ".SITE."
  If Wert = pocAP_FACTORY Then Res = ".FACTORY."
  If Wert = pocAP_NOTDEFINED Then Res = ".NOTDEFINED."
  IfcAssemblyPlaceEnum_to_STEP = Res
End Function
Public Function STEP_to_IfcAssemblyPlaceEnum(Wert as String) As IfcAssemblyPlaceEnum
  Dim Res as IfcAssemblyPlaceEnum
  If Wert = ".SITE." Then Res = pocAP_SITE
  If Wert = ".FACTORY." Then Res = pocAP_FACTORY
  If Wert = ".NOTDEFINED." Then Res = pocAP_NOTDEFINED
  STEP_to_IfcAssemblyPlaceEnum = Res
End Function</t>
  </si>
  <si>
    <t>Public Enum IfcBeamTypeEnum
  sbeBT_BEAM = 1
  sbeBT_JOIST = 2
  sbeBT_LINTEL = 3
  sbeBT_T_BEAM = 4
  sbeBT_USERDEFINED = 5
  sbeBT_NOTDEFINED = 6
End Enum
Public Function IfcBeamTypeEnum_to_STEP(Wert as IfcBeamTypeEnum) As String
  Dim Res as String
  If Wert = sbeBT_BEAM Then Res = ".BEAM."
  If Wert = sbeBT_JOIST Then Res = ".JOIST."
  If Wert = sbeBT_LINTEL Then Res = ".LINTEL."
  If Wert = sbeBT_T_BEAM Then Res = ".T_BEAM."
  If Wert = sbeBT_USERDEFINED Then Res = ".USERDEFINED."
  If Wert = sbeBT_NOTDEFINED Then Res = ".NOTDEFINED."
  IfcBeamTypeEnum_to_STEP = Res
End Function
Public Function STEP_to_IfcBeamTypeEnum(Wert as String) As IfcBeamTypeEnum
  Dim Res as IfcBeamTypeEnum
  If Wert = ".BEAM." Then Res = sbeBT_BEAM
  If Wert = ".JOIST." Then Res = sbeBT_JOIST
  If Wert = ".LINTEL." Then Res = sbeBT_LINTEL
  If Wert = ".T_BEAM." Then Res = sbeBT_T_BEAM
  If Wert = ".USERDEFINED." Then Res = sbeBT_USERDEFINED
  If Wert = ".NOTDEFINED." Then Res = sbeBT_NOTDEFINED
  STEP_to_IfcBeamTypeEnum = Res
End Function</t>
  </si>
  <si>
    <t>Public Enum IfcBenchmarkEnum
  cstB_GREATERTHAN = 1
  cstB_GREATERTHANOREQUALTO = 2
  cstB_LESSTHAN = 3
  cstB_LESSTHANOREQUALTO = 4
  cstB_EQUALTO = 5
  cstB_NOTEQUALTO = 6
End Enum
Public Function IfcBenchmarkEnum_to_STEP(Wert as IfcBenchmarkEnum) As String
  Dim Res as String
  If Wert = cstB_GREATERTHAN Then Res = ".GREATERTHAN."
  If Wert = cstB_GREATERTHANOREQUALTO Then Res = ".GREATERTHANOREQUALTO."
  If Wert = cstB_LESSTHAN Then Res = ".LESSTHAN."
  If Wert = cstB_LESSTHANOREQUALTO Then Res = ".LESSTHANOREQUALTO."
  If Wert = cstB_EQUALTO Then Res = ".EQUALTO."
  If Wert = cstB_NOTEQUALTO Then Res = ".NOTEQUALTO."
  IfcBenchmarkEnum_to_STEP = Res
End Function
Public Function STEP_to_IfcBenchmarkEnum(Wert as String) As IfcBenchmarkEnum
  Dim Res as IfcBenchmarkEnum
  If Wert = ".GREATERTHAN." Then Res = cstB_GREATERTHAN
  If Wert = ".GREATERTHANOREQUALTO." Then Res = cstB_GREATERTHANOREQUALTO
  If Wert = ".LESSTHAN." Then Res = cstB_LESSTHAN
  If Wert = ".LESSTHANOREQUALTO." Then Res = cstB_LESSTHANOREQUALTO
  If Wert = ".EQUALTO." Then Res = cstB_EQUALTO
  If Wert = ".NOTEQUALTO." Then Res = cstB_NOTEQUALTO
  STEP_to_IfcBenchmarkEnum = Res
End Function</t>
  </si>
  <si>
    <t>Public Enum IfcBoilerTypeEnum
  hvacBT_WATER = 1
  hvacBT_STEAM = 2
  hvacBT_USERDEFINED = 3
  hvacBT_NOTDEFINED = 4
End Enum
Public Function IfcBoilerTypeEnum_to_STEP(Wert as IfcBoilerTypeEnum) As String
  Dim Res as String
  If Wert = hvacBT_WATER Then Res = ".WATER."
  If Wert = hvacBT_STEAM Then Res = ".STEAM."
  If Wert = hvacBT_USERDEFINED Then Res = ".USERDEFINED."
  If Wert = hvacBT_NOTDEFINED Then Res = ".NOTDEFINED."
  IfcBoilerTypeEnum_to_STEP = Res
End Function
Public Function STEP_to_IfcBoilerTypeEnum(Wert as String) As IfcBoilerTypeEnum
  Dim Res as IfcBoilerTypeEnum
  If Wert = ".WATER." Then Res = hvacBT_WATER
  If Wert = ".STEAM." Then Res = hvacBT_STEAM
  If Wert = ".USERDEFINED." Then Res = hvacBT_USERDEFINED
  If Wert = ".NOTDEFINED." Then Res = hvacBT_NOTDEFINED
  STEP_to_IfcBoilerTypeEnum = Res
End Function</t>
  </si>
  <si>
    <t>Public Enum IfcBooleanOperator
  gmmBO_UNION = 1
  gmmBO_INTERSECTION = 2
  gmmBO_DIFFERENCE = 3
End Enum
Public Function IfcBooleanOperator_to_STEP(Wert as IfcBooleanOperator) As String
  Dim Res as String
  If Wert = gmmBO_UNION Then Res = ".UNION."
  If Wert = gmmBO_INTERSECTION Then Res = ".INTERSECTION."
  If Wert = gmmBO_DIFFERENCE Then Res = ".DIFFERENCE."
  IfcBooleanOperator_to_STEP = Res
End Function
Public Function STEP_to_IfcBooleanOperator(Wert as String) As IfcBooleanOperator
  Dim Res as IfcBooleanOperator
  If Wert = ".UNION." Then Res = gmmBO_UNION
  If Wert = ".INTERSECTION." Then Res = gmmBO_INTERSECTION
  If Wert = ".DIFFERENCE." Then Res = gmmBO_DIFFERENCE
  STEP_to_IfcBooleanOperator = Res
End Function</t>
  </si>
  <si>
    <t>Public Enum IfcBSplineCurveForm
  geoBSCF_POLYLINE_FORM = 1
  geoBSCF_CIRCULAR_ARC = 2
  geoBSCF_ELLIPTIC_ARC = 3
  geoBSCF_PARABOLIC_ARC = 4
  geoBSCF_HYPERBOLIC_ARC = 5
  geoBSCF_UNSPECIFIED = 6
End Enum
Public Function IfcBSplineCurveForm_to_STEP(Wert as IfcBSplineCurveForm) As String
  Dim Res as String
  If Wert = geoBSCF_POLYLINE_FORM Then Res = ".POLYLINE_FORM."
  If Wert = geoBSCF_CIRCULAR_ARC Then Res = ".CIRCULAR_ARC."
  If Wert = geoBSCF_ELLIPTIC_ARC Then Res = ".ELLIPTIC_ARC."
  If Wert = geoBSCF_PARABOLIC_ARC Then Res = ".PARABOLIC_ARC."
  If Wert = geoBSCF_HYPERBOLIC_ARC Then Res = ".HYPERBOLIC_ARC."
  If Wert = geoBSCF_UNSPECIFIED Then Res = ".UNSPECIFIED."
  IfcBSplineCurveForm_to_STEP = Res
End Function
Public Function STEP_to_IfcBSplineCurveForm(Wert as String) As IfcBSplineCurveForm
  Dim Res as IfcBSplineCurveForm
  If Wert = ".POLYLINE_FORM." Then Res = geoBSCF_POLYLINE_FORM
  If Wert = ".CIRCULAR_ARC." Then Res = geoBSCF_CIRCULAR_ARC
  If Wert = ".ELLIPTIC_ARC." Then Res = geoBSCF_ELLIPTIC_ARC
  If Wert = ".PARABOLIC_ARC." Then Res = geoBSCF_PARABOLIC_ARC
  If Wert = ".HYPERBOLIC_ARC." Then Res = geoBSCF_HYPERBOLIC_ARC
  If Wert = ".UNSPECIFIED." Then Res = geoBSCF_UNSPECIFIED
  STEP_to_IfcBSplineCurveForm = Res
End Function</t>
  </si>
  <si>
    <t>Public Enum IfcBuildingElementProxyTypeEnum
  pocBEPT_USERDEFINED = 1
  pocBEPT_NOTDEFINED = 2
End Enum
Public Function IfcBuildingElementProxyTypeEnum_to_STEP(Wert as IfcBuildingElementProxyTypeEnum) As String
  Dim Res as String
  If Wert = pocBEPT_USERDEFINED Then Res = ".USERDEFINED."
  If Wert = pocBEPT_NOTDEFINED Then Res = ".NOTDEFINED."
  IfcBuildingElementProxyTypeEnum_to_STEP = Res
End Function
Public Function STEP_to_IfcBuildingElementProxyTypeEnum(Wert as String) As IfcBuildingElementProxyTypeEnum
  Dim Res as IfcBuildingElementProxyTypeEnum
  If Wert = ".USERDEFINED." Then Res = pocBEPT_USERDEFINED
  If Wert = ".NOTDEFINED." Then Res = pocBEPT_NOTDEFINED
  STEP_to_IfcBuildingElementProxyTypeEnum = Res
End Function</t>
  </si>
  <si>
    <t>Public Enum IfcCableCarrierFittingTypeEnum
  eleCCFT_BEND = 1
  eleCCFT_CROSS = 2
  eleCCFT_REDUCER = 3
  eleCCFT_TEE = 4
  eleCCFT_USERDEFINED = 5
  eleCCFT_NOTDEFINED = 6
End Enum
Public Function IfcCableCarrierFittingTypeEnum_to_STEP(Wert as IfcCableCarrierFittingTypeEnum) As String
  Dim Res as String
  If Wert = eleCCFT_BEND Then Res = ".BEND."
  If Wert = eleCCFT_CROSS Then Res = ".CROSS."
  If Wert = eleCCFT_REDUCER Then Res = ".REDUCER."
  If Wert = eleCCFT_TEE Then Res = ".TEE."
  If Wert = eleCCFT_USERDEFINED Then Res = ".USERDEFINED."
  If Wert = eleCCFT_NOTDEFINED Then Res = ".NOTDEFINED."
  IfcCableCarrierFittingTypeEnum_to_STEP = Res
End Function
Public Function STEP_to_IfcCableCarrierFittingTypeEnum(Wert as String) As IfcCableCarrierFittingTypeEnum
  Dim Res as IfcCableCarrierFittingTypeEnum
  If Wert = ".BEND." Then Res = eleCCFT_BEND
  If Wert = ".CROSS." Then Res = eleCCFT_CROSS
  If Wert = ".REDUCER." Then Res = eleCCFT_REDUCER
  If Wert = ".TEE." Then Res = eleCCFT_TEE
  If Wert = ".USERDEFINED." Then Res = eleCCFT_USERDEFINED
  If Wert = ".NOTDEFINED." Then Res = eleCCFT_NOTDEFINED
  STEP_to_IfcCableCarrierFittingTypeEnum = Res
End Function</t>
  </si>
  <si>
    <t>Public Enum IfcCableCarrierSegmentTypeEnum
  eleCCST_CABLELADDERSEGMENT = 1
  eleCCST_CABLETRAYSEGMENT = 2
  eleCCST_CABLETRUNKINGSEGMENT = 3
  eleCCST_CONDUITSEGMENT = 4
  eleCCST_USERDEFINED = 5
  eleCCST_NOTDEFINED = 6
End Enum
Public Function IfcCableCarrierSegmentTypeEnum_to_STEP(Wert as IfcCableCarrierSegmentTypeEnum) As String
  Dim Res as String
  If Wert = eleCCST_CABLELADDERSEGMENT Then Res = ".CABLELADDERSEGMENT."
  If Wert = eleCCST_CABLETRAYSEGMENT Then Res = ".CABLETRAYSEGMENT."
  If Wert = eleCCST_CABLETRUNKINGSEGMENT Then Res = ".CABLETRUNKINGSEGMENT."
  If Wert = eleCCST_CONDUITSEGMENT Then Res = ".CONDUITSEGMENT."
  If Wert = eleCCST_USERDEFINED Then Res = ".USERDEFINED."
  If Wert = eleCCST_NOTDEFINED Then Res = ".NOTDEFINED."
  IfcCableCarrierSegmentTypeEnum_to_STEP = Res
End Function
Public Function STEP_to_IfcCableCarrierSegmentTypeEnum(Wert as String) As IfcCableCarrierSegmentTypeEnum
  Dim Res as IfcCableCarrierSegmentTypeEnum
  If Wert = ".CABLELADDERSEGMENT." Then Res = eleCCST_CABLELADDERSEGMENT
  If Wert = ".CABLETRAYSEGMENT." Then Res = eleCCST_CABLETRAYSEGMENT
  If Wert = ".CABLETRUNKINGSEGMENT." Then Res = eleCCST_CABLETRUNKINGSEGMENT
  If Wert = ".CONDUITSEGMENT." Then Res = eleCCST_CONDUITSEGMENT
  If Wert = ".USERDEFINED." Then Res = eleCCST_USERDEFINED
  If Wert = ".NOTDEFINED." Then Res = eleCCST_NOTDEFINED
  STEP_to_IfcCableCarrierSegmentTypeEnum = Res
End Function</t>
  </si>
  <si>
    <t>Public Enum IfcCableSegmentTypeEnum
  eleCST_CABLESEGMENT = 1
  eleCST_CONDUCTORSEGMENT = 2
  eleCST_USERDEFINED = 3
  eleCST_NOTDEFINED = 4
End Enum
Public Function IfcCableSegmentTypeEnum_to_STEP(Wert as IfcCableSegmentTypeEnum) As String
  Dim Res as String
  If Wert = eleCST_CABLESEGMENT Then Res = ".CABLESEGMENT."
  If Wert = eleCST_CONDUCTORSEGMENT Then Res = ".CONDUCTORSEGMENT."
  If Wert = eleCST_USERDEFINED Then Res = ".USERDEFINED."
  If Wert = eleCST_NOTDEFINED Then Res = ".NOTDEFINED."
  IfcCableSegmentTypeEnum_to_STEP = Res
End Function
Public Function STEP_to_IfcCableSegmentTypeEnum(Wert as String) As IfcCableSegmentTypeEnum
  Dim Res as IfcCableSegmentTypeEnum
  If Wert = ".CABLESEGMENT." Then Res = eleCST_CABLESEGMENT
  If Wert = ".CONDUCTORSEGMENT." Then Res = eleCST_CONDUCTORSEGMENT
  If Wert = ".USERDEFINED." Then Res = eleCST_USERDEFINED
  If Wert = ".NOTDEFINED." Then Res = eleCST_NOTDEFINED
  STEP_to_IfcCableSegmentTypeEnum = Res
End Function</t>
  </si>
  <si>
    <t>Public Enum IfcChangeActionEnum
  utlAC_NOCHANGE = 1
  utlAC_MODIFIED = 2
  utlAC_ADDED = 3
  utlAC_DELETED = 4
  utlAC_MODIFIEDADDED = 5
  utlAC_MODIFIEDDELETED = 6
End Enum
Public Function IfcChangeActionEnum_to_STEP(Wert as IfcChangeActionEnum) As String
  Dim Res as String
  If Wert = utlAC_NOCHANGE Then Res = ".NOCHANGE."
  If Wert = utlAC_MODIFIED Then Res = ".MODIFIED."
  If Wert = utlAC_ADDED Then Res = ".ADDED."
  If Wert = utlAC_DELETED Then Res = ".DELETED."
  If Wert = utlAC_MODIFIEDADDED Then Res = ".MODIFIEDADDED."
  If Wert = utlAC_MODIFIEDDELETED Then Res = ".MODIFIEDDELETED."
  IfcChangeActionEnum_to_STEP = Res
End Function
Public Function STEP_to_IfcChangeActionEnum(Wert as String) As IfcChangeActionEnum
  Dim Res as IfcChangeActionEnum
  If Wert = ".NOCHANGE." Then Res = utlAC_NOCHANGE
  If Wert = ".MODIFIED." Then Res = utlAC_MODIFIED
  If Wert = ".ADDED." Then Res = utlAC_ADDED
  If Wert = ".DELETED." Then Res = utlAC_DELETED
  If Wert = ".MODIFIEDADDED." Then Res = utlAC_MODIFIEDADDED
  If Wert = ".MODIFIEDDELETED." Then Res = utlAC_MODIFIEDDELETED
  STEP_to_IfcChangeActionEnum = Res
End Function</t>
  </si>
  <si>
    <t>Public Enum IfcChillerTypeEnum
  hvacChiT_AIRCOOLED = 1
  hvacChiT_WATERCOOLED = 2
  hvacChiT_HEATRECOVERY = 3
  hvacChiT_USERDEFINED = 4
  hvacChiT_NOTDEFINED = 5
End Enum
Public Function IfcChillerTypeEnum_to_STEP(Wert as IfcChillerTypeEnum) As String
  Dim Res as String
  If Wert = hvacChiT_AIRCOOLED Then Res = ".AIRCOOLED."
  If Wert = hvacChiT_WATERCOOLED Then Res = ".WATERCOOLED."
  If Wert = hvacChiT_HEATRECOVERY Then Res = ".HEATRECOVERY."
  If Wert = hvacChiT_USERDEFINED Then Res = ".USERDEFINED."
  If Wert = hvacChiT_NOTDEFINED Then Res = ".NOTDEFINED."
  IfcChillerTypeEnum_to_STEP = Res
End Function
Public Function STEP_to_IfcChillerTypeEnum(Wert as String) As IfcChillerTypeEnum
  Dim Res as IfcChillerTypeEnum
  If Wert = ".AIRCOOLED." Then Res = hvacChiT_AIRCOOLED
  If Wert = ".WATERCOOLED." Then Res = hvacChiT_WATERCOOLED
  If Wert = ".HEATRECOVERY." Then Res = hvacChiT_HEATRECOVERY
  If Wert = ".USERDEFINED." Then Res = hvacChiT_USERDEFINED
  If Wert = ".NOTDEFINED." Then Res = hvacChiT_NOTDEFINED
  STEP_to_IfcChillerTypeEnum = Res
End Function</t>
  </si>
  <si>
    <t>Public Enum IfcCoilTypeEnum
  hvacCoiT_DXCOOLINGCOIL = 1
  hvacCoiT_WATERCOOLINGCOIL = 2
  hvacCoiT_STEAMHEATINGCOIL = 3
  hvacCoiT_WATERHEATINGCOIL = 4
  hvacCoiT_ELECTRICHEATINGCOIL = 5
  hvacCoiT_GASHEATINGCOIL = 6
  hvacCoiT_USERDEFINED = 7
  hvacCoiT_NOTDEFINED = 8
End Enum
Public Function IfcCoilTypeEnum_to_STEP(Wert as IfcCoilTypeEnum) As String
  Dim Res as String
  If Wert = hvacCoiT_DXCOOLINGCOIL Then Res = ".DXCOOLINGCOIL."
  If Wert = hvacCoiT_WATERCOOLINGCOIL Then Res = ".WATERCOOLINGCOIL."
  If Wert = hvacCoiT_STEAMHEATINGCOIL Then Res = ".STEAMHEATINGCOIL."
  If Wert = hvacCoiT_WATERHEATINGCOIL Then Res = ".WATERHEATINGCOIL."
  If Wert = hvacCoiT_ELECTRICHEATINGCOIL Then Res = ".ELECTRICHEATINGCOIL."
  If Wert = hvacCoiT_GASHEATINGCOIL Then Res = ".GASHEATINGCOIL."
  If Wert = hvacCoiT_USERDEFINED Then Res = ".USERDEFINED."
  If Wert = hvacCoiT_NOTDEFINED Then Res = ".NOTDEFINED."
  IfcCoilTypeEnum_to_STEP = Res
End Function
Public Function STEP_to_IfcCoilTypeEnum(Wert as String) As IfcCoilTypeEnum
  Dim Res as IfcCoilTypeEnum
  If Wert = ".DXCOOLINGCOIL." Then Res = hvacCoiT_DXCOOLINGCOIL
  If Wert = ".WATERCOOLINGCOIL." Then Res = hvacCoiT_WATERCOOLINGCOIL
  If Wert = ".STEAMHEATINGCOIL." Then Res = hvacCoiT_STEAMHEATINGCOIL
  If Wert = ".WATERHEATINGCOIL." Then Res = hvacCoiT_WATERHEATINGCOIL
  If Wert = ".ELECTRICHEATINGCOIL." Then Res = hvacCoiT_ELECTRICHEATINGCOIL
  If Wert = ".GASHEATINGCOIL." Then Res = hvacCoiT_GASHEATINGCOIL
  If Wert = ".USERDEFINED." Then Res = hvacCoiT_USERDEFINED
  If Wert = ".NOTDEFINED." Then Res = hvacCoiT_NOTDEFINED
  STEP_to_IfcCoilTypeEnum = Res
End Function</t>
  </si>
  <si>
    <t>Public Enum IfcColumnTypeEnum
  sbeClmT_COLUMN = 1
  sbeClmT_USERDEFINED = 2
  sbeClmT_NOTDEFINED = 3
End Enum
Public Function IfcColumnTypeEnum_to_STEP(Wert as IfcColumnTypeEnum) As String
  Dim Res as String
  If Wert = sbeClmT_COLUMN Then Res = ".COLUMN."
  If Wert = sbeClmT_USERDEFINED Then Res = ".USERDEFINED."
  If Wert = sbeClmT_NOTDEFINED Then Res = ".NOTDEFINED."
  IfcColumnTypeEnum_to_STEP = Res
End Function
Public Function STEP_to_IfcColumnTypeEnum(Wert as String) As IfcColumnTypeEnum
  Dim Res as IfcColumnTypeEnum
  If Wert = ".COLUMN." Then Res = sbeClmT_COLUMN
  If Wert = ".USERDEFINED." Then Res = sbeClmT_USERDEFINED
  If Wert = ".NOTDEFINED." Then Res = sbeClmT_NOTDEFINED
  STEP_to_IfcColumnTypeEnum = Res
End Function</t>
  </si>
  <si>
    <t>Public Enum IfcCompressorTypeEnum
  hvacComT_DYNAMIC = 1
  hvacComT_RECIPROCATING = 2
  hvacComT_ROTARY = 3
  hvacComT_SCROLL = 4
  hvacComT_TROCHOIDAL = 5
  hvacComT_SINGLESTAGE = 6
  hvacComT_BOOSTER = 7
  hvacComT_OPENTYPE = 8
  hvacComT_HERMETIC = 9
  hvacComT_SEMIHERMETIC = 10
  hvacComT_WELDEDSHELLHERMETIC = 11
  hvacComT_ROLLINGPISTON = 12
  hvacComT_ROTARYVANE = 13
  hvacComT_SINGLESCREW = 14
  hvacComT_TWINSCREW = 15
  hvacComT_USERDEFINED = 16
  hvacComT_NOTDEFINED = 17
End Enum
Public Function IfcCompressorTypeEnum_to_STEP(Wert as IfcCompressorTypeEnum) As String
  Dim Res as String
  If Wert = hvacComT_DYNAMIC Then Res = ".DYNAMIC."
  If Wert = hvacComT_RECIPROCATING Then Res = ".RECIPROCATING."
  If Wert = hvacComT_ROTARY Then Res = ".ROTARY."
  If Wert = hvacComT_SCROLL Then Res = ".SCROLL."
  If Wert = hvacComT_TROCHOIDAL Then Res = ".TROCHOIDAL."
  If Wert = hvacComT_SINGLESTAGE Then Res = ".SINGLESTAGE."
  If Wert = hvacComT_BOOSTER Then Res = ".BOOSTER."
  If Wert = hvacComT_OPENTYPE Then Res = ".OPENTYPE."
  If Wert = hvacComT_HERMETIC Then Res = ".HERMETIC."
  If Wert = hvacComT_SEMIHERMETIC Then Res = ".SEMIHERMETIC."
  If Wert = hvacComT_WELDEDSHELLHERMETIC Then Res = ".WELDEDSHELLHERMETIC."
  If Wert = hvacComT_ROLLINGPISTON Then Res = ".ROLLINGPISTON."
  If Wert = hvacComT_ROTARYVANE Then Res = ".ROTARYVANE."
  If Wert = hvacComT_SINGLESCREW Then Res = ".SINGLESCREW."
  If Wert = hvacComT_TWINSCREW Then Res = ".TWINSCREW."
  If Wert = hvacComT_USERDEFINED Then Res = ".USERDEFINED."
  If Wert = hvacComT_NOTDEFINED Then Res = ".NOTDEFINED."
  IfcCompressorTypeEnum_to_STEP = Res
End Function
Public Function STEP_to_IfcCompressorTypeEnum(Wert as String) As IfcCompressorTypeEnum
  Dim Res as IfcCompressorTypeEnum
  If Wert = ".DYNAMIC." Then Res = hvacComT_DYNAMIC
  If Wert = ".RECIPROCATING." Then Res = hvacComT_RECIPROCATING
  If Wert = ".ROTARY." Then Res = hvacComT_ROTARY
  If Wert = ".SCROLL." Then Res = hvacComT_SCROLL
  If Wert = ".TROCHOIDAL." Then Res = hvacComT_TROCHOIDAL
  If Wert = ".SINGLESTAGE." Then Res = hvacComT_SINGLESTAGE
  If Wert = ".BOOSTER." Then Res = hvacComT_BOOSTER
  If Wert = ".OPENTYPE." Then Res = hvacComT_OPENTYPE
  If Wert = ".HERMETIC." Then Res = hvacComT_HERMETIC
  If Wert = ".SEMIHERMETIC." Then Res = hvacComT_SEMIHERMETIC
  If Wert = ".WELDEDSHELLHERMETIC." Then Res = hvacComT_WELDEDSHELLHERMETIC
  If Wert = ".ROLLINGPISTON." Then Res = hvacComT_ROLLINGPISTON
  If Wert = ".ROTARYVANE." Then Res = hvacComT_ROTARYVANE
  If Wert = ".SINGLESCREW." Then Res = hvacComT_SINGLESCREW
  If Wert = ".TWINSCREW." Then Res = hvacComT_TWINSCREW
  If Wert = ".USERDEFINED." Then Res = hvacComT_USERDEFINED
  If Wert = ".NOTDEFINED." Then Res = hvacComT_NOTDEFINED
  STEP_to_IfcCompressorTypeEnum = Res
End Function</t>
  </si>
  <si>
    <t>Public Enum IfcCondenserTypeEnum
  hvacConT_WATERCOOLEDSHELLTUBE = 1
  hvacConT_WATERCOOLEDSHELLCOIL = 2
  hvacConT_WATERCOOLEDTUBEINTUBE = 3
  hvacConT_WATERCOOLEDBRAZEDPLATE = 4
  hvacConT_AIRCOOLED = 5
  hvacConT_EVAPORATIVECOOLED = 6
  hvacConT_USERDEFINED = 7
  hvacConT_NOTDEFINED = 8
End Enum
Public Function IfcCondenserTypeEnum_to_STEP(Wert as IfcCondenserTypeEnum) As String
  Dim Res as String
  If Wert = hvacConT_WATERCOOLEDSHELLTUBE Then Res = ".WATERCOOLEDSHELLTUBE."
  If Wert = hvacConT_WATERCOOLEDSHELLCOIL Then Res = ".WATERCOOLEDSHELLCOIL."
  If Wert = hvacConT_WATERCOOLEDTUBEINTUBE Then Res = ".WATERCOOLEDTUBEINTUBE."
  If Wert = hvacConT_WATERCOOLEDBRAZEDPLATE Then Res = ".WATERCOOLEDBRAZEDPLATE."
  If Wert = hvacConT_AIRCOOLED Then Res = ".AIRCOOLED."
  If Wert = hvacConT_EVAPORATIVECOOLED Then Res = ".EVAPORATIVECOOLED."
  If Wert = hvacConT_USERDEFINED Then Res = ".USERDEFINED."
  If Wert = hvacConT_NOTDEFINED Then Res = ".NOTDEFINED."
  IfcCondenserTypeEnum_to_STEP = Res
End Function
Public Function STEP_to_IfcCondenserTypeEnum(Wert as String) As IfcCondenserTypeEnum
  Dim Res as IfcCondenserTypeEnum
  If Wert = ".WATERCOOLEDSHELLTUBE." Then Res = hvacConT_WATERCOOLEDSHELLTUBE
  If Wert = ".WATERCOOLEDSHELLCOIL." Then Res = hvacConT_WATERCOOLEDSHELLCOIL
  If Wert = ".WATERCOOLEDTUBEINTUBE." Then Res = hvacConT_WATERCOOLEDTUBEINTUBE
  If Wert = ".WATERCOOLEDBRAZEDPLATE." Then Res = hvacConT_WATERCOOLEDBRAZEDPLATE
  If Wert = ".AIRCOOLED." Then Res = hvacConT_AIRCOOLED
  If Wert = ".EVAPORATIVECOOLED." Then Res = hvacConT_EVAPORATIVECOOLED
  If Wert = ".USERDEFINED." Then Res = hvacConT_USERDEFINED
  If Wert = ".NOTDEFINED." Then Res = hvacConT_NOTDEFINED
  STEP_to_IfcCondenserTypeEnum = Res
End Function</t>
  </si>
  <si>
    <t>Public Enum IfcConnectionTypeEnum
  sbeConT_ATPATH = 1
  sbeConT_ATSTART = 2
  sbeConT_ATEND = 3
  sbeConT_NOTDEFINED = 4
End Enum
Public Function IfcConnectionTypeEnum_to_STEP(Wert as IfcConnectionTypeEnum) As String
  Dim Res as String
  If Wert = sbeConT_ATPATH Then Res = ".ATPATH."
  If Wert = sbeConT_ATSTART Then Res = ".ATSTART."
  If Wert = sbeConT_ATEND Then Res = ".ATEND."
  If Wert = sbeConT_NOTDEFINED Then Res = ".NOTDEFINED."
  IfcConnectionTypeEnum_to_STEP = Res
End Function
Public Function STEP_to_IfcConnectionTypeEnum(Wert as String) As IfcConnectionTypeEnum
  Dim Res as IfcConnectionTypeEnum
  If Wert = ".ATPATH." Then Res = sbeConT_ATPATH
  If Wert = ".ATSTART." Then Res = sbeConT_ATSTART
  If Wert = ".ATEND." Then Res = sbeConT_ATEND
  If Wert = ".NOTDEFINED." Then Res = sbeConT_NOTDEFINED
  STEP_to_IfcConnectionTypeEnum = Res
End Function</t>
  </si>
  <si>
    <t>Public Enum IfcConstraintEnum
  cstC_HARD = 1
  cstC_SOFT = 2
  cstC_ADVISORY = 3
  cstC_USERDEFINED = 4
  cstC_NOTDEFINED = 5
End Enum
Public Function IfcConstraintEnum_to_STEP(Wert as IfcConstraintEnum) As String
  Dim Res as String
  If Wert = cstC_HARD Then Res = ".HARD."
  If Wert = cstC_SOFT Then Res = ".SOFT."
  If Wert = cstC_ADVISORY Then Res = ".ADVISORY."
  If Wert = cstC_USERDEFINED Then Res = ".USERDEFINED."
  If Wert = cstC_NOTDEFINED Then Res = ".NOTDEFINED."
  IfcConstraintEnum_to_STEP = Res
End Function
Public Function STEP_to_IfcConstraintEnum(Wert as String) As IfcConstraintEnum
  Dim Res as IfcConstraintEnum
  If Wert = ".HARD." Then Res = cstC_HARD
  If Wert = ".SOFT." Then Res = cstC_SOFT
  If Wert = ".ADVISORY." Then Res = cstC_ADVISORY
  If Wert = ".USERDEFINED." Then Res = cstC_USERDEFINED
  If Wert = ".NOTDEFINED." Then Res = cstC_NOTDEFINED
  STEP_to_IfcConstraintEnum = Res
End Function</t>
  </si>
  <si>
    <t>Public Enum IfcControllerTypeEnum
  bldCT_FLOATING = 1
  bldCT_PROPORTIONAL = 2
  bldCT_PROPORTIONALINTEGRAL = 3
  bldCT_PROPORTIONALINTEGRALDERIVATIVE = 4
  bldCT_TIMEDTWOPOSITION = 5
  bldCT_TWOPOSITION = 6
  bldCT_USERDEFINED = 7
  bldCT_NOTDEFINED = 8
End Enum
Public Function IfcControllerTypeEnum_to_STEP(Wert as IfcControllerTypeEnum) As String
  Dim Res as String
  If Wert = bldCT_FLOATING Then Res = ".FLOATING."
  If Wert = bldCT_PROPORTIONAL Then Res = ".PROPORTIONAL."
  If Wert = bldCT_PROPORTIONALINTEGRAL Then Res = ".PROPORTIONALINTEGRAL."
  If Wert = bldCT_PROPORTIONALINTEGRALDERIVATIVE Then Res = ".PROPORTIONALINTEGRALDERIVATIVE."
  If Wert = bldCT_TIMEDTWOPOSITION Then Res = ".TIMEDTWOPOSITION."
  If Wert = bldCT_TWOPOSITION Then Res = ".TWOPOSITION."
  If Wert = bldCT_USERDEFINED Then Res = ".USERDEFINED."
  If Wert = bldCT_NOTDEFINED Then Res = ".NOTDEFINED."
  IfcControllerTypeEnum_to_STEP = Res
End Function
Public Function STEP_to_IfcControllerTypeEnum(Wert as String) As IfcControllerTypeEnum
  Dim Res as IfcControllerTypeEnum
  If Wert = ".FLOATING." Then Res = bldCT_FLOATING
  If Wert = ".PROPORTIONAL." Then Res = bldCT_PROPORTIONAL
  If Wert = ".PROPORTIONALINTEGRAL." Then Res = bldCT_PROPORTIONALINTEGRAL
  If Wert = ".PROPORTIONALINTEGRALDERIVATIVE." Then Res = bldCT_PROPORTIONALINTEGRALDERIVATIVE
  If Wert = ".TIMEDTWOPOSITION." Then Res = bldCT_TIMEDTWOPOSITION
  If Wert = ".TWOPOSITION." Then Res = bldCT_TWOPOSITION
  If Wert = ".USERDEFINED." Then Res = bldCT_USERDEFINED
  If Wert = ".NOTDEFINED." Then Res = bldCT_NOTDEFINED
  STEP_to_IfcControllerTypeEnum = Res
End Function</t>
  </si>
  <si>
    <t>Public Enum IfcCooledBeamTypeEnum
  hvacCBT_ACTIVE = 1
  hvacCBT_PASSIVE = 2
  hvacCBT_USERDEFINED = 3
  hvacCBT_NOTDEFINED = 4
End Enum
Public Function IfcCooledBeamTypeEnum_to_STEP(Wert as IfcCooledBeamTypeEnum) As String
  Dim Res as String
  If Wert = hvacCBT_ACTIVE Then Res = ".ACTIVE."
  If Wert = hvacCBT_PASSIVE Then Res = ".PASSIVE."
  If Wert = hvacCBT_USERDEFINED Then Res = ".USERDEFINED."
  If Wert = hvacCBT_NOTDEFINED Then Res = ".NOTDEFINED."
  IfcCooledBeamTypeEnum_to_STEP = Res
End Function
Public Function STEP_to_IfcCooledBeamTypeEnum(Wert as String) As IfcCooledBeamTypeEnum
  Dim Res as IfcCooledBeamTypeEnum
  If Wert = ".ACTIVE." Then Res = hvacCBT_ACTIVE
  If Wert = ".PASSIVE." Then Res = hvacCBT_PASSIVE
  If Wert = ".USERDEFINED." Then Res = hvacCBT_USERDEFINED
  If Wert = ".NOTDEFINED." Then Res = hvacCBT_NOTDEFINED
  STEP_to_IfcCooledBeamTypeEnum = Res
End Function</t>
  </si>
  <si>
    <t>Public Enum IfcCoolingTowerTypeEnum
  hvacCTT_NATURALDRAFT = 1
  hvacCTT_MECHANICALINDUCEDDRAFT = 2
  hvacCTT_MECHANICALFORCEDDRAFT = 3
  hvacCTT_USERDEFINED = 4
  hvacCTT_NOTDEFINED = 5
End Enum
Public Function IfcCoolingTowerTypeEnum_to_STEP(Wert as IfcCoolingTowerTypeEnum) As String
  Dim Res as String
  If Wert = hvacCTT_NATURALDRAFT Then Res = ".NATURALDRAFT."
  If Wert = hvacCTT_MECHANICALINDUCEDDRAFT Then Res = ".MECHANICALINDUCEDDRAFT."
  If Wert = hvacCTT_MECHANICALFORCEDDRAFT Then Res = ".MECHANICALFORCEDDRAFT."
  If Wert = hvacCTT_USERDEFINED Then Res = ".USERDEFINED."
  If Wert = hvacCTT_NOTDEFINED Then Res = ".NOTDEFINED."
  IfcCoolingTowerTypeEnum_to_STEP = Res
End Function
Public Function STEP_to_IfcCoolingTowerTypeEnum(Wert as String) As IfcCoolingTowerTypeEnum
  Dim Res as IfcCoolingTowerTypeEnum
  If Wert = ".NATURALDRAFT." Then Res = hvacCTT_NATURALDRAFT
  If Wert = ".MECHANICALINDUCEDDRAFT." Then Res = hvacCTT_MECHANICALINDUCEDDRAFT
  If Wert = ".MECHANICALFORCEDDRAFT." Then Res = hvacCTT_MECHANICALFORCEDDRAFT
  If Wert = ".USERDEFINED." Then Res = hvacCTT_USERDEFINED
  If Wert = ".NOTDEFINED." Then Res = hvacCTT_NOTDEFINED
  STEP_to_IfcCoolingTowerTypeEnum = Res
End Function</t>
  </si>
  <si>
    <t>Public Enum IfcCostScheduleTypeEnum
  mgmCST_BUDGET = 1
  mgmCST_COSTPLAN = 2
  mgmCST_ESTIMATE = 3
  mgmCST_TENDER = 4
  mgmCST_PRICEDBILLOFQUANTITIES = 5
  mgmCST_UNPRICEDBILLOFQUANTITIES = 6
  mgmCST_SCHEDULEOFRATES = 7
  mgmCST_USERDEFINED = 8
  mgmCST_NOTDEFINED = 9
End Enum
Public Function IfcCostScheduleTypeEnum_to_STEP(Wert as IfcCostScheduleTypeEnum) As String
  Dim Res as String
  If Wert = mgmCST_BUDGET Then Res = ".BUDGET."
  If Wert = mgmCST_COSTPLAN Then Res = ".COSTPLAN."
  If Wert = mgmCST_ESTIMATE Then Res = ".ESTIMATE."
  If Wert = mgmCST_TENDER Then Res = ".TENDER."
  If Wert = mgmCST_PRICEDBILLOFQUANTITIES Then Res = ".PRICEDBILLOFQUANTITIES."
  If Wert = mgmCST_UNPRICEDBILLOFQUANTITIES Then Res = ".UNPRICEDBILLOFQUANTITIES."
  If Wert = mgmCST_SCHEDULEOFRATES Then Res = ".SCHEDULEOFRATES."
  If Wert = mgmCST_USERDEFINED Then Res = ".USERDEFINED."
  If Wert = mgmCST_NOTDEFINED Then Res = ".NOTDEFINED."
  IfcCostScheduleTypeEnum_to_STEP = Res
End Function
Public Function STEP_to_IfcCostScheduleTypeEnum(Wert as String) As IfcCostScheduleTypeEnum
  Dim Res as IfcCostScheduleTypeEnum
  If Wert = ".BUDGET." Then Res = mgmCST_BUDGET
  If Wert = ".COSTPLAN." Then Res = mgmCST_COSTPLAN
  If Wert = ".ESTIMATE." Then Res = mgmCST_ESTIMATE
  If Wert = ".TENDER." Then Res = mgmCST_TENDER
  If Wert = ".PRICEDBILLOFQUANTITIES." Then Res = mgmCST_PRICEDBILLOFQUANTITIES
  If Wert = ".UNPRICEDBILLOFQUANTITIES." Then Res = mgmCST_UNPRICEDBILLOFQUANTITIES
  If Wert = ".SCHEDULEOFRATES." Then Res = mgmCST_SCHEDULEOFRATES
  If Wert = ".USERDEFINED." Then Res = mgmCST_USERDEFINED
  If Wert = ".NOTDEFINED." Then Res = mgmCST_NOTDEFINED
  STEP_to_IfcCostScheduleTypeEnum = Res
End Function</t>
  </si>
  <si>
    <t>Public Enum IfcCoveringTypeEnum
  pocCT_CEILING = 1
  pocCT_FLOORING = 2
  pocCT_CLADDING = 3
  pocCT_ROOFING = 4
  pocCT_INSULATION = 5
  pocCT_MEMBRANE = 6
  pocCT_SLEEVING = 7
  pocCT_WRAPPING = 8
  pocCT_USERDEFINED = 9
  pocCT_NOTDEFINED = 10
End Enum
Public Function IfcCoveringTypeEnum_to_STEP(Wert as IfcCoveringTypeEnum) As String
  Dim Res as String
  If Wert = pocCT_CEILING Then Res = ".CEILING."
  If Wert = pocCT_FLOORING Then Res = ".FLOORING."
  If Wert = pocCT_CLADDING Then Res = ".CLADDING."
  If Wert = pocCT_ROOFING Then Res = ".ROOFING."
  If Wert = pocCT_INSULATION Then Res = ".INSULATION."
  If Wert = pocCT_MEMBRANE Then Res = ".MEMBRANE."
  If Wert = pocCT_SLEEVING Then Res = ".SLEEVING."
  If Wert = pocCT_WRAPPING Then Res = ".WRAPPING."
  If Wert = pocCT_USERDEFINED Then Res = ".USERDEFINED."
  If Wert = pocCT_NOTDEFINED Then Res = ".NOTDEFINED."
  IfcCoveringTypeEnum_to_STEP = Res
End Function
Public Function STEP_to_IfcCoveringTypeEnum(Wert as String) As IfcCoveringTypeEnum
  Dim Res as IfcCoveringTypeEnum
  If Wert = ".CEILING." Then Res = pocCT_CEILING
  If Wert = ".FLOORING." Then Res = pocCT_FLOORING
  If Wert = ".CLADDING." Then Res = pocCT_CLADDING
  If Wert = ".ROOFING." Then Res = pocCT_ROOFING
  If Wert = ".INSULATION." Then Res = pocCT_INSULATION
  If Wert = ".MEMBRANE." Then Res = pocCT_MEMBRANE
  If Wert = ".SLEEVING." Then Res = pocCT_SLEEVING
  If Wert = ".WRAPPING." Then Res = pocCT_WRAPPING
  If Wert = ".USERDEFINED." Then Res = pocCT_USERDEFINED
  If Wert = ".NOTDEFINED." Then Res = pocCT_NOTDEFINED
  STEP_to_IfcCoveringTypeEnum = Res
End Function</t>
  </si>
  <si>
    <t>Public Enum IfcCurrencyEnum
  mesC_AED = 1
  mesC_AES = 2
  mesC_ATS = 3
  mesC_AUD = 4
  mesC_BBD = 5
  mesC_BEG = 6
  mesC_BGL = 7
  mesC_BHD = 8
  mesC_BMD = 9
  mesC_BND = 10
  mesC_BRL = 11
  mesC_BSD = 12
  mesC_BWP = 13
  mesC_BZD = 14
  mesC_CAD = 15
  mesC_CBD = 16
  mesC_CHF = 17
  mesC_CLP = 18
  mesC_CNY = 19
  mesC_CYS = 20
  mesC_CZK = 21
  mesC_DDP = 22
  mesC_DEM = 23
  mesC_DKK = 24
  mesC_EGL = 25
  mesC_EST = 26
  mesC_EUR = 27
  mesC_FAK = 28
  mesC_FIM = 29
  mesC_FJD = 30
  mesC_FKP = 31
  mesC_FRF = 32
  mesC_GBP = 33
  mesC_GIP = 34
  mesC_GMD = 35
  mesC_GRX = 36
  mesC_HKD = 37
  mesC_HUF = 38
  mesC_ICK = 39
  mesC_IDR = 40
  mesC_ILS = 41
  mesC_INR = 42
  mesC_IRP = 43
  mesC_ITL = 44
  mesC_JMD = 45
  mesC_JOD = 46
  mesC_JPY = 47
  mesC_KES = 48
  mesC_KRW = 49
  mesC_KWD = 50
  mesC_KYD = 51
  mesC_LKR = 52
  mesC_LUF = 53
  mesC_MTL = 54
  mesC_MUR = 55
  mesC_MXN = 56
  mesC_MYR = 57
  mesC_NLG = 58
  mesC_NZD = 59
  mesC_OMR = 60
  mesC_PGK = 61
  mesC_PHP = 62
  mesC_PKR = 63
  mesC_PLN = 64
  mesC_PTN = 65
  mesC_QAR = 66
  mesC_RUR = 67
  mesC_SAR = 68
  mesC_SCR = 69
  mesC_SEK = 70
  mesC_SGD = 71
  mesC_SKP = 72
  mesC_THB = 73
  mesC_TRL = 74
  mesC_TTD = 75
  mesC_TWD = 76
  mesC_USD = 77
  mesC_VEB = 78
  mesC_VND = 79
  mesC_XEU = 80
  mesC_ZAR = 81
  mesC_ZWD = 82
  mesC_NOK = 83
End Enum
Public Function IfcCurrencyEnum_to_STEP(Wert as IfcCurrencyEnum) As String
  Dim Res as String
  If Wert = mesC_AED Then Res = ".AED."
  If Wert = mesC_AES Then Res = ".AES."
  If Wert = mesC_ATS Then Res = ".ATS."
  If Wert = mesC_AUD Then Res = ".AUD."
  If Wert = mesC_BBD Then Res = ".BBD."
  If Wert = mesC_BEG Then Res = ".BEG."
  If Wert = mesC_BGL Then Res = ".BGL."
  If Wert = mesC_BHD Then Res = ".BHD."
  If Wert = mesC_BMD Then Res = ".BMD."
  If Wert = mesC_BND Then Res = ".BND."
  If Wert = mesC_BRL Then Res = ".BRL."
  If Wert = mesC_BSD Then Res = ".BSD."
  If Wert = mesC_BWP Then Res = ".BWP."
  If Wert = mesC_BZD Then Res = ".BZD."
  If Wert = mesC_CAD Then Res = ".CAD."
  If Wert = mesC_CBD Then Res = ".CBD."
  If Wert = mesC_CHF Then Res = ".CHF."
  If Wert = mesC_CLP Then Res = ".CLP."
  If Wert = mesC_CNY Then Res = ".CNY."
  If Wert = mesC_CYS Then Res = ".CYS."
  If Wert = mesC_CZK Then Res = ".CZK."
  If Wert = mesC_DDP Then Res = ".DDP."
  If Wert = mesC_DEM Then Res = ".DEM."
  If Wert = mesC_DKK Then Res = ".DKK."
  If Wert = mesC_EGL Then Res = ".EGL."
  If Wert = mesC_EST Then Res = ".EST."
  If Wert = mesC_EUR Then Res = ".EUR."
  If Wert = mesC_FAK Then Res = ".FAK."
  If Wert = mesC_FIM Then Res = ".FIM."
  If Wert = mesC_FJD Then Res = ".FJD."
  If Wert = mesC_FKP Then Res = ".FKP."
  If Wert = mesC_FRF Then Res = ".FRF."
  If Wert = mesC_GBP Then Res = ".GBP."
  If Wert = mesC_GIP Then Res = ".GIP."
  If Wert = mesC_GMD Then Res = ".GMD."
  If Wert = mesC_GRX Then Res = ".GRX."
  If Wert = mesC_HKD Then Res = ".HKD."
  If Wert = mesC_HUF Then Res = ".HUF."
  If Wert = mesC_ICK Then Res = ".ICK."
  If Wert = mesC_IDR Then Res = ".IDR."
  If Wert = mesC_ILS Then Res = ".ILS."
  If Wert = mesC_INR Then Res = ".INR."
  If Wert = mesC_IRP Then Res = ".IRP."
  If Wert = mesC_ITL Then Res = ".ITL."
  If Wert = mesC_JMD Then Res = ".JMD."
  If Wert = mesC_JOD Then Res = ".JOD."
  If Wert = mesC_JPY Then Res = ".JPY."
  If Wert = mesC_KES Then Res = ".KES."
  If Wert = mesC_KRW Then Res = ".KRW."
  If Wert = mesC_KWD Then Res = ".KWD."
  If Wert = mesC_KYD Then Res = ".KYD."
  If Wert = mesC_LKR Then Res = ".LKR."
  If Wert = mesC_LUF Then Res = ".LUF."
  If Wert = mesC_MTL Then Res = ".MTL."
  If Wert = mesC_MUR Then Res = ".MUR."
  If Wert = mesC_MXN Then Res = ".MXN."
  If Wert = mesC_MYR Then Res = ".MYR."
  If Wert = mesC_NLG Then Res = ".NLG."
  If Wert = mesC_NZD Then Res = ".NZD."
  If Wert = mesC_OMR Then Res = ".OMR."
  If Wert = mesC_PGK Then Res = ".PGK."
  If Wert = mesC_PHP Then Res = ".PHP."
  If Wert = mesC_PKR Then Res = ".PKR."
  If Wert = mesC_PLN Then Res = ".PLN."
  If Wert = mesC_PTN Then Res = ".PTN."
  If Wert = mesC_QAR Then Res = ".QAR."
  If Wert = mesC_RUR Then Res = ".RUR."
  If Wert = mesC_SAR Then Res = ".SAR."
  If Wert = mesC_SCR Then Res = ".SCR."
  If Wert = mesC_SEK Then Res = ".SEK."
  If Wert = mesC_SGD Then Res = ".SGD."
  If Wert = mesC_SKP Then Res = ".SKP."
  If Wert = mesC_THB Then Res = ".THB."
  If Wert = mesC_TRL Then Res = ".TRL."
  If Wert = mesC_TTD Then Res = ".TTD."
  If Wert = mesC_TWD Then Res = ".TWD."
  If Wert = mesC_USD Then Res = ".USD."
  If Wert = mesC_VEB Then Res = ".VEB."
  If Wert = mesC_VND Then Res = ".VND."
  If Wert = mesC_XEU Then Res = ".XEU."
  If Wert = mesC_ZAR Then Res = ".ZAR."
  If Wert = mesC_ZWD Then Res = ".ZWD."
  If Wert = mesC_NOK Then Res = ".NOK."
  IfcCurrencyEnum_to_STEP = Res
End Function
Public Function STEP_to_IfcCurrencyEnum(Wert as String) As IfcCurrencyEnum
  Dim Res as IfcCurrencyEnum
  If Wert = ".AED." Then Res = mesC_AED
  If Wert = ".AES." Then Res = mesC_AES
  If Wert = ".ATS." Then Res = mesC_ATS
  If Wert = ".AUD." Then Res = mesC_AUD
  If Wert = ".BBD." Then Res = mesC_BBD
  If Wert = ".BEG." Then Res = mesC_BEG
  If Wert = ".BGL." Then Res = mesC_BGL
  If Wert = ".BHD." Then Res = mesC_BHD
  If Wert = ".BMD." Then Res = mesC_BMD
  If Wert = ".BND." Then Res = mesC_BND
  If Wert = ".BRL." Then Res = mesC_BRL
  If Wert = ".BSD." Then Res = mesC_BSD
  If Wert = ".BWP." Then Res = mesC_BWP
  If Wert = ".BZD." Then Res = mesC_BZD
  If Wert = ".CAD." Then Res = mesC_CAD
  If Wert = ".CBD." Then Res = mesC_CBD
  If Wert = ".CHF." Then Res = mesC_CHF
  If Wert = ".CLP." Then Res = mesC_CLP
  If Wert = ".CNY." Then Res = mesC_CNY
  If Wert = ".CYS." Then Res = mesC_CYS
  If Wert = ".CZK." Then Res = mesC_CZK
  If Wert = ".DDP." Then Res = mesC_DDP
  If Wert = ".DEM." Then Res = mesC_DEM
  If Wert = ".DKK." Then Res = mesC_DKK
  If Wert = ".EGL." Then Res = mesC_EGL
  If Wert = ".EST." Then Res = mesC_EST
  If Wert = ".EUR." Then Res = mesC_EUR
  If Wert = ".FAK." Then Res = mesC_FAK
  If Wert = ".FIM." Then Res = mesC_FIM
  If Wert = ".FJD." Then Res = mesC_FJD
  If Wert = ".FKP." Then Res = mesC_FKP
  If Wert = ".FRF." Then Res = mesC_FRF
  If Wert = ".GBP." Then Res = mesC_GBP
  If Wert = ".GIP." Then Res = mesC_GIP
  If Wert = ".GMD." Then Res = mesC_GMD
  If Wert = ".GRX." Then Res = mesC_GRX
  If Wert = ".HKD." Then Res = mesC_HKD
  If Wert = ".HUF." Then Res = mesC_HUF
  If Wert = ".ICK." Then Res = mesC_ICK
  If Wert = ".IDR." Then Res = mesC_IDR
  If Wert = ".ILS." Then Res = mesC_ILS
  If Wert = ".INR." Then Res = mesC_INR
  If Wert = ".IRP." Then Res = mesC_IRP
  If Wert = ".ITL." Then Res = mesC_ITL
  If Wert = ".JMD." Then Res = mesC_JMD
  If Wert = ".JOD." Then Res = mesC_JOD
  If Wert = ".JPY." Then Res = mesC_JPY
  If Wert = ".KES." Then Res = mesC_KES
  If Wert = ".KRW." Then Res = mesC_KRW
  If Wert = ".KWD." Then Res = mesC_KWD
  If Wert = ".KYD." Then Res = mesC_KYD
  If Wert = ".LKR." Then Res = mesC_LKR
  If Wert = ".LUF." Then Res = mesC_LUF
  If Wert = ".MTL." Then Res = mesC_MTL
  If Wert = ".MUR." Then Res = mesC_MUR
  If Wert = ".MXN." Then Res = mesC_MXN
  If Wert = ".MYR." Then Res = mesC_MYR
  If Wert = ".NLG." Then Res = mesC_NLG
  If Wert = ".NZD." Then Res = mesC_NZD
  If Wert = ".OMR." Then Res = mesC_OMR
  If Wert = ".PGK." Then Res = mesC_PGK
  If Wert = ".PHP." Then Res = mesC_PHP
  If Wert = ".PKR." Then Res = mesC_PKR
  If Wert = ".PLN." Then Res = mesC_PLN
  If Wert = ".PTN." Then Res = mesC_PTN
  If Wert = ".QAR." Then Res = mesC_QAR
  If Wert = ".RUR." Then Res = mesC_RUR
  If Wert = ".SAR." Then Res = mesC_SAR
  If Wert = ".SCR." Then Res = mesC_SCR
  If Wert = ".SEK." Then Res = mesC_SEK
  If Wert = ".SGD." Then Res = mesC_SGD
  If Wert = ".SKP." Then Res = mesC_SKP
  If Wert = ".THB." Then Res = mesC_THB
  If Wert = ".TRL." Then Res = mesC_TRL
  If Wert = ".TTD." Then Res = mesC_TTD
  If Wert = ".TWD." Then Res = mesC_TWD
  If Wert = ".USD." Then Res = mesC_USD
  If Wert = ".VEB." Then Res = mesC_VEB
  If Wert = ".VND." Then Res = mesC_VND
  If Wert = ".XEU." Then Res = mesC_XEU
  If Wert = ".ZAR." Then Res = mesC_ZAR
  If Wert = ".ZWD." Then Res = mesC_ZWD
  If Wert = ".NOK." Then Res = mesC_NOK
  STEP_to_IfcCurrencyEnum = Res
End Function</t>
  </si>
  <si>
    <t>Public Enum IfcCurtainWallTypeEnum
  sbeCWT_USERDEFINED = 1
  sbeCWT_NOTDEFINED = 2
End Enum
Public Function IfcCurtainWallTypeEnum_to_STEP(Wert as IfcCurtainWallTypeEnum) As String
  Dim Res as String
  If Wert = sbeCWT_USERDEFINED Then Res = ".USERDEFINED."
  If Wert = sbeCWT_NOTDEFINED Then Res = ".NOTDEFINED."
  IfcCurtainWallTypeEnum_to_STEP = Res
End Function
Public Function STEP_to_IfcCurtainWallTypeEnum(Wert as String) As IfcCurtainWallTypeEnum
  Dim Res as IfcCurtainWallTypeEnum
  If Wert = ".USERDEFINED." Then Res = sbeCWT_USERDEFINED
  If Wert = ".NOTDEFINED." Then Res = sbeCWT_NOTDEFINED
  STEP_to_IfcCurtainWallTypeEnum = Res
End Function</t>
  </si>
  <si>
    <t>Public Enum IfcDamperTypeEnum
  hvacDT_CONTROLDAMPER = 1
  hvacDT_FIREDAMPER = 2
  hvacDT_SMOKEDAMPER = 3
  hvacDT_FIRESMOKEDAMPER = 4
  hvacDT_BACKDRAFTDAMPER = 5
  hvacDT_RELIEFDAMPER = 6
  hvacDT_BLASTDAMPER = 7
  hvacDT_GRAVITYDAMPER = 8
  hvacDT_GRAVITYRELIEFDAMPER = 9
  hvacDT_BALANCINGDAMPER = 10
  hvacDT_FUMEHOODEXHAUST = 11
  hvacDT_USERDEFINED = 12
  hvacDT_NOTDEFINED = 13
End Enum
Public Function IfcDamperTypeEnum_to_STEP(Wert as IfcDamperTypeEnum) As String
  Dim Res as String
  If Wert = hvacDT_CONTROLDAMPER Then Res = ".CONTROLDAMPER."
  If Wert = hvacDT_FIREDAMPER Then Res = ".FIREDAMPER."
  If Wert = hvacDT_SMOKEDAMPER Then Res = ".SMOKEDAMPER."
  If Wert = hvacDT_FIRESMOKEDAMPER Then Res = ".FIRESMOKEDAMPER."
  If Wert = hvacDT_BACKDRAFTDAMPER Then Res = ".BACKDRAFTDAMPER."
  If Wert = hvacDT_RELIEFDAMPER Then Res = ".RELIEFDAMPER."
  If Wert = hvacDT_BLASTDAMPER Then Res = ".BLASTDAMPER."
  If Wert = hvacDT_GRAVITYDAMPER Then Res = ".GRAVITYDAMPER."
  If Wert = hvacDT_GRAVITYRELIEFDAMPER Then Res = ".GRAVITYRELIEFDAMPER."
  If Wert = hvacDT_BALANCINGDAMPER Then Res = ".BALANCINGDAMPER."
  If Wert = hvacDT_FUMEHOODEXHAUST Then Res = ".FUMEHOODEXHAUST."
  If Wert = hvacDT_USERDEFINED Then Res = ".USERDEFINED."
  If Wert = hvacDT_NOTDEFINED Then Res = ".NOTDEFINED."
  IfcDamperTypeEnum_to_STEP = Res
End Function
Public Function STEP_to_IfcDamperTypeEnum(Wert as String) As IfcDamperTypeEnum
  Dim Res as IfcDamperTypeEnum
  If Wert = ".CONTROLDAMPER." Then Res = hvacDT_CONTROLDAMPER
  If Wert = ".FIREDAMPER." Then Res = hvacDT_FIREDAMPER
  If Wert = ".SMOKEDAMPER." Then Res = hvacDT_SMOKEDAMPER
  If Wert = ".FIRESMOKEDAMPER." Then Res = hvacDT_FIRESMOKEDAMPER
  If Wert = ".BACKDRAFTDAMPER." Then Res = hvacDT_BACKDRAFTDAMPER
  If Wert = ".RELIEFDAMPER." Then Res = hvacDT_RELIEFDAMPER
  If Wert = ".BLASTDAMPER." Then Res = hvacDT_BLASTDAMPER
  If Wert = ".GRAVITYDAMPER." Then Res = hvacDT_GRAVITYDAMPER
  If Wert = ".GRAVITYRELIEFDAMPER." Then Res = hvacDT_GRAVITYRELIEFDAMPER
  If Wert = ".BALANCINGDAMPER." Then Res = hvacDT_BALANCINGDAMPER
  If Wert = ".FUMEHOODEXHAUST." Then Res = hvacDT_FUMEHOODEXHAUST
  If Wert = ".USERDEFINED." Then Res = hvacDT_USERDEFINED
  If Wert = ".NOTDEFINED." Then Res = hvacDT_NOTDEFINED
  STEP_to_IfcDamperTypeEnum = Res
End Function</t>
  </si>
  <si>
    <t>Public Enum IfcDataOriginEnum
  tisDO_MEASURED = 1
  tisDO_PREDICTED = 2
  tisDO_SIMULATED = 3
  tisDO_USERDEFINED = 4
  tisDO_NOTDEFINED = 5
End Enum
Public Function IfcDataOriginEnum_to_STEP(Wert as IfcDataOriginEnum) As String
  Dim Res as String
  If Wert = tisDO_MEASURED Then Res = ".MEASURED."
  If Wert = tisDO_PREDICTED Then Res = ".PREDICTED."
  If Wert = tisDO_SIMULATED Then Res = ".SIMULATED."
  If Wert = tisDO_USERDEFINED Then Res = ".USERDEFINED."
  If Wert = tisDO_NOTDEFINED Then Res = ".NOTDEFINED."
  IfcDataOriginEnum_to_STEP = Res
End Function
Public Function STEP_to_IfcDataOriginEnum(Wert as String) As IfcDataOriginEnum
  Dim Res as IfcDataOriginEnum
  If Wert = ".MEASURED." Then Res = tisDO_MEASURED
  If Wert = ".PREDICTED." Then Res = tisDO_PREDICTED
  If Wert = ".SIMULATED." Then Res = tisDO_SIMULATED
  If Wert = ".USERDEFINED." Then Res = tisDO_USERDEFINED
  If Wert = ".NOTDEFINED." Then Res = tisDO_NOTDEFINED
  STEP_to_IfcDataOriginEnum = Res
End Function</t>
  </si>
  <si>
    <t>Public Enum IfcDerivedUnitEnum
  mesDU_ANGULARVELOCITYUNIT = 1
  mesDU_COMPOUNDPLANEANGLEUNIT = 2
  mesDU_DYNAMICVISCOSITYUNIT = 3
  mesDU_HEATFLUXDENSITYUNIT = 4
  mesDU_INTEGERCOUNTRATEUNIT = 5
  mesDU_ISOTHERMALMOISTURECAPACITYUNIT = 6
  mesDU_KINEMATICVISCOSITYUNIT = 7
  mesDU_LINEARVELOCITYUNIT = 8
  mesDU_MASSDENSITYUNIT = 9
  mesDU_MASSFLOWRATEUNIT = 10
  mesDU_MOISTUREDIFFUSIVITYUNIT = 11
  mesDU_MOLECULARWEIGHTUNIT = 12
  mesDU_SPECIFICHEATCAPACITYUNIT = 13
  mesDU_THERMALADMITTANCEUNIT = 14
  mesDU_THERMALCONDUCTANCEUNIT = 15
  mesDU_THERMALRESISTANCEUNIT = 16
  mesDU_THERMALTRANSMITTANCEUNIT = 17
  mesDU_VAPORPERMEABILITYUNIT = 18
  mesDU_VOLUMETRICFLOWRATEUNIT = 19
  mesDU_ROTATIONALFREQUENCYUNIT = 20
  mesDU_TORQUEUNIT = 21
  mesDU_MOMENTOFINERTIAUNIT = 22
  mesDU_LINEARMOMENTUNIT = 23
  mesDU_LINEARFORCEUNIT = 24
  mesDU_PLANARFORCEUNIT = 25
  mesDU_MODULUSOFELASTICITYUNIT = 26
  mesDU_SHEARMODULUSUNIT = 27
  mesDU_LINEARSTIFFNESSUNIT = 28
  mesDU_ROTATIONALSTIFFNESSUNIT = 29
  mesDU_MODULUSOFSUBGRADEREACTIONUNIT = 30
  mesDU_ACCELERATIONUNIT = 31
  mesDU_CURVATUREUNIT = 32
  mesDU_HEATINGVALUEUNIT = 33
  mesDU_IONCONCENTRATIONUNIT = 34
  mesDU_LUMINOUSINTENSITYDISTRIBUTIONUNIT = 35
  mesDU_MASSPERLENGTHUNIT = 36
  mesDU_MODULUSOFLINEARSUBGRADEREACTIONUNIT = 37
  mesDU_MODULUSOFROTATIONALSUBGRADEREACTIONUNIT = 38
  mesDU_PHUNIT = 39
  mesDU_ROTATIONALMASSUNIT = 40
  mesDU_SECTIONAREAINTEGRALUNIT = 41
  mesDU_SECTIONMODULUSUNIT = 42
  mesDU_SOUNDPOWERUNIT = 43
  mesDU_SOUNDPRESSUREUNIT = 44
  mesDU_TEMPERATUREGRADIENTUNIT = 45
  mesDU_THERMALEXPANSIONCOEFFICIENTUNIT = 46
  mesDU_WARPINGCONSTANTUNIT = 47
  mesDU_WARPINGMOMENTUNIT = 48
  mesDU_USERDEFINED = 49
End Enum
Public Function IfcDerivedUnitEnum_to_STEP(Wert as IfcDerivedUnitEnum) As String
  Dim Res as String
  If Wert = mesDU_ANGULARVELOCITYUNIT Then Res = ".ANGULARVELOCITYUNIT."
  If Wert = mesDU_COMPOUNDPLANEANGLEUNIT Then Res = ".COMPOUNDPLANEANGLEUNIT."
  If Wert = mesDU_DYNAMICVISCOSITYUNIT Then Res = ".DYNAMICVISCOSITYUNIT."
  If Wert = mesDU_HEATFLUXDENSITYUNIT Then Res = ".HEATFLUXDENSITYUNIT."
  If Wert = mesDU_INTEGERCOUNTRATEUNIT Then Res = ".INTEGERCOUNTRATEUNIT."
  If Wert = mesDU_ISOTHERMALMOISTURECAPACITYUNIT Then Res = ".ISOTHERMALMOISTURECAPACITYUNIT."
  If Wert = mesDU_KINEMATICVISCOSITYUNIT Then Res = ".KINEMATICVISCOSITYUNIT."
  If Wert = mesDU_LINEARVELOCITYUNIT Then Res = ".LINEARVELOCITYUNIT."
  If Wert = mesDU_MASSDENSITYUNIT Then Res = ".MASSDENSITYUNIT."
  If Wert = mesDU_MASSFLOWRATEUNIT Then Res = ".MASSFLOWRATEUNIT."
  If Wert = mesDU_MOISTUREDIFFUSIVITYUNIT Then Res = ".MOISTUREDIFFUSIVITYUNIT."
  If Wert = mesDU_MOLECULARWEIGHTUNIT Then Res = ".MOLECULARWEIGHTUNIT."
  If Wert = mesDU_SPECIFICHEATCAPACITYUNIT Then Res = ".SPECIFICHEATCAPACITYUNIT."
  If Wert = mesDU_THERMALADMITTANCEUNIT Then Res = ".THERMALADMITTANCEUNIT."
  If Wert = mesDU_THERMALCONDUCTANCEUNIT Then Res = ".THERMALCONDUCTANCEUNIT."
  If Wert = mesDU_THERMALRESISTANCEUNIT Then Res = ".THERMALRESISTANCEUNIT."
  If Wert = mesDU_THERMALTRANSMITTANCEUNIT Then Res = ".THERMALTRANSMITTANCEUNIT."
  If Wert = mesDU_VAPORPERMEABILITYUNIT Then Res = ".VAPORPERMEABILITYUNIT."
  If Wert = mesDU_VOLUMETRICFLOWRATEUNIT Then Res = ".VOLUMETRICFLOWRATEUNIT."
  If Wert = mesDU_ROTATIONALFREQUENCYUNIT Then Res = ".ROTATIONALFREQUENCYUNIT."
  If Wert = mesDU_TORQUEUNIT Then Res = ".TORQUEUNIT."
  If Wert = mesDU_MOMENTOFINERTIAUNIT Then Res = ".MOMENTOFINERTIAUNIT."
  If Wert = mesDU_LINEARMOMENTUNIT Then Res = ".LINEARMOMENTUNIT."
  If Wert = mesDU_LINEARFORCEUNIT Then Res = ".LINEARFORCEUNIT."
  If Wert = mesDU_PLANARFORCEUNIT Then Res = ".PLANARFORCEUNIT."
  If Wert = mesDU_MODULUSOFELASTICITYUNIT Then Res = ".MODULUSOFELASTICITYUNIT."
  If Wert = mesDU_SHEARMODULUSUNIT Then Res = ".SHEARMODULUSUNIT."
  If Wert = mesDU_LINEARSTIFFNESSUNIT Then Res = ".LINEARSTIFFNESSUNIT."
  If Wert = mesDU_ROTATIONALSTIFFNESSUNIT Then Res = ".ROTATIONALSTIFFNESSUNIT."
  If Wert = mesDU_MODULUSOFSUBGRADEREACTIONUNIT Then Res = ".MODULUSOFSUBGRADEREACTIONUNIT."
  If Wert = mesDU_ACCELERATIONUNIT Then Res = ".ACCELERATIONUNIT."
  If Wert = mesDU_CURVATUREUNIT Then Res = ".CURVATUREUNIT."
  If Wert = mesDU_HEATINGVALUEUNIT Then Res = ".HEATINGVALUEUNIT."
  If Wert = mesDU_IONCONCENTRATIONUNIT Then Res = ".IONCONCENTRATIONUNIT."
  If Wert = mesDU_LUMINOUSINTENSITYDISTRIBUTIONUNIT Then Res = ".LUMINOUSINTENSITYDISTRIBUTIONUNIT."
  If Wert = mesDU_MASSPERLENGTHUNIT Then Res = ".MASSPERLENGTHUNIT."
  If Wert = mesDU_MODULUSOFLINEARSUBGRADEREACTIONUNIT Then Res = ".MODULUSOFLINEARSUBGRADEREACTIONUNIT."
  If Wert = mesDU_MODULUSOFROTATIONALSUBGRADEREACTIONUNIT Then Res = ".MODULUSOFROTATIONALSUBGRADEREACTIONUNIT."
  If Wert = mesDU_PHUNIT Then Res = ".PHUNIT."
  If Wert = mesDU_ROTATIONALMASSUNIT Then Res = ".ROTATIONALMASSUNIT."
  If Wert = mesDU_SECTIONAREAINTEGRALUNIT Then Res = ".SECTIONAREAINTEGRALUNIT."
  If Wert = mesDU_SECTIONMODULUSUNIT Then Res = ".SECTIONMODULUSUNIT."
  If Wert = mesDU_SOUNDPOWERUNIT Then Res = ".SOUNDPOWERUNIT."
  If Wert = mesDU_SOUNDPRESSUREUNIT Then Res = ".SOUNDPRESSUREUNIT."
  If Wert = mesDU_TEMPERATUREGRADIENTUNIT Then Res = ".TEMPERATUREGRADIENTUNIT."
  If Wert = mesDU_THERMALEXPANSIONCOEFFICIENTUNIT Then Res = ".THERMALEXPANSIONCOEFFICIENTUNIT."
  If Wert = mesDU_WARPINGCONSTANTUNIT Then Res = ".WARPINGCONSTANTUNIT."
  If Wert = mesDU_WARPINGMOMENTUNIT Then Res = ".WARPINGMOMENTUNIT."
  If Wert = mesDU_USERDEFINED Then Res = ".USERDEFINED."
  IfcDerivedUnitEnum_to_STEP = Res
End Function
Public Function STEP_to_IfcDerivedUnitEnum(Wert as String) As IfcDerivedUnitEnum
  Dim Res as IfcDerivedUnitEnum
  If Wert = ".ANGULARVELOCITYUNIT." Then Res = mesDU_ANGULARVELOCITYUNIT
  If Wert = ".COMPOUNDPLANEANGLEUNIT." Then Res = mesDU_COMPOUNDPLANEANGLEUNIT
  If Wert = ".DYNAMICVISCOSITYUNIT." Then Res = mesDU_DYNAMICVISCOSITYUNIT
  If Wert = ".HEATFLUXDENSITYUNIT." Then Res = mesDU_HEATFLUXDENSITYUNIT
  If Wert = ".INTEGERCOUNTRATEUNIT." Then Res = mesDU_INTEGERCOUNTRATEUNIT
  If Wert = ".ISOTHERMALMOISTURECAPACITYUNIT." Then Res = mesDU_ISOTHERMALMOISTURECAPACITYUNIT
  If Wert = ".KINEMATICVISCOSITYUNIT." Then Res = mesDU_KINEMATICVISCOSITYUNIT
  If Wert = ".LINEARVELOCITYUNIT." Then Res = mesDU_LINEARVELOCITYUNIT
  If Wert = ".MASSDENSITYUNIT." Then Res = mesDU_MASSDENSITYUNIT
  If Wert = ".MASSFLOWRATEUNIT." Then Res = mesDU_MASSFLOWRATEUNIT
  If Wert = ".MOISTUREDIFFUSIVITYUNIT." Then Res = mesDU_MOISTUREDIFFUSIVITYUNIT
  If Wert = ".MOLECULARWEIGHTUNIT." Then Res = mesDU_MOLECULARWEIGHTUNIT
  If Wert = ".SPECIFICHEATCAPACITYUNIT." Then Res = mesDU_SPECIFICHEATCAPACITYUNIT
  If Wert = ".THERMALADMITTANCEUNIT." Then Res = mesDU_THERMALADMITTANCEUNIT
  If Wert = ".THERMALCONDUCTANCEUNIT." Then Res = mesDU_THERMALCONDUCTANCEUNIT
  If Wert = ".THERMALRESISTANCEUNIT." Then Res = mesDU_THERMALRESISTANCEUNIT
  If Wert = ".THERMALTRANSMITTANCEUNIT." Then Res = mesDU_THERMALTRANSMITTANCEUNIT
  If Wert = ".VAPORPERMEABILITYUNIT." Then Res = mesDU_VAPORPERMEABILITYUNIT
  If Wert = ".VOLUMETRICFLOWRATEUNIT." Then Res = mesDU_VOLUMETRICFLOWRATEUNIT
  If Wert = ".ROTATIONALFREQUENCYUNIT." Then Res = mesDU_ROTATIONALFREQUENCYUNIT
  If Wert = ".TORQUEUNIT." Then Res = mesDU_TORQUEUNIT
  If Wert = ".MOMENTOFINERTIAUNIT." Then Res = mesDU_MOMENTOFINERTIAUNIT
  If Wert = ".LINEARMOMENTUNIT." Then Res = mesDU_LINEARMOMENTUNIT
  If Wert = ".LINEARFORCEUNIT." Then Res = mesDU_LINEARFORCEUNIT
  If Wert = ".PLANARFORCEUNIT." Then Res = mesDU_PLANARFORCEUNIT
  If Wert = ".MODULUSOFELASTICITYUNIT." Then Res = mesDU_MODULUSOFELASTICITYUNIT
  If Wert = ".SHEARMODULUSUNIT." Then Res = mesDU_SHEARMODULUSUNIT
  If Wert = ".LINEARSTIFFNESSUNIT." Then Res = mesDU_LINEARSTIFFNESSUNIT
  If Wert = ".ROTATIONALSTIFFNESSUNIT." Then Res = mesDU_ROTATIONALSTIFFNESSUNIT
  If Wert = ".MODULUSOFSUBGRADEREACTIONUNIT." Then Res = mesDU_MODULUSOFSUBGRADEREACTIONUNIT
  If Wert = ".ACCELERATIONUNIT." Then Res = mesDU_ACCELERATIONUNIT
  If Wert = ".CURVATUREUNIT." Then Res = mesDU_CURVATUREUNIT
  If Wert = ".HEATINGVALUEUNIT." Then Res = mesDU_HEATINGVALUEUNIT
  If Wert = ".IONCONCENTRATIONUNIT." Then Res = mesDU_IONCONCENTRATIONUNIT
  If Wert = ".LUMINOUSINTENSITYDISTRIBUTIONUNIT." Then Res = mesDU_LUMINOUSINTENSITYDISTRIBUTIONUNIT
  If Wert = ".MASSPERLENGTHUNIT." Then Res = mesDU_MASSPERLENGTHUNIT
  If Wert = ".MODULUSOFLINEARSUBGRADEREACTIONUNIT." Then Res = mesDU_MODULUSOFLINEARSUBGRADEREACTIONUNIT
  If Wert = ".MODULUSOFROTATIONALSUBGRADEREACTIONUNIT." Then Res = mesDU_MODULUSOFROTATIONALSUBGRADEREACTIONUNIT
  If Wert = ".PHUNIT." Then Res = mesDU_PHUNIT
  If Wert = ".ROTATIONALMASSUNIT." Then Res = mesDU_ROTATIONALMASSUNIT
  If Wert = ".SECTIONAREAINTEGRALUNIT." Then Res = mesDU_SECTIONAREAINTEGRALUNIT
  If Wert = ".SECTIONMODULUSUNIT." Then Res = mesDU_SECTIONMODULUSUNIT
  If Wert = ".SOUNDPOWERUNIT." Then Res = mesDU_SOUNDPOWERUNIT
  If Wert = ".SOUNDPRESSUREUNIT." Then Res = mesDU_SOUNDPRESSUREUNIT
  If Wert = ".TEMPERATUREGRADIENTUNIT." Then Res = mesDU_TEMPERATUREGRADIENTUNIT
  If Wert = ".THERMALEXPANSIONCOEFFICIENTUNIT." Then Res = mesDU_THERMALEXPANSIONCOEFFICIENTUNIT
  If Wert = ".WARPINGCONSTANTUNIT." Then Res = mesDU_WARPINGCONSTANTUNIT
  If Wert = ".WARPINGMOMENTUNIT." Then Res = mesDU_WARPINGMOMENTUNIT
  If Wert = ".USERDEFINED." Then Res = mesDU_USERDEFINED
  STEP_to_IfcDerivedUnitEnum = Res
End Function</t>
  </si>
  <si>
    <t>Public Enum IfcDimensionExtentUsage
  repDEU_ORIGIN = 1
  repDEU_TARGET = 2
End Enum
Public Function IfcDimensionExtentUsage_to_STEP(Wert as IfcDimensionExtentUsage) As String
  Dim Res as String
  If Wert = repDEU_ORIGIN Then Res = ".ORIGIN."
  If Wert = repDEU_TARGET Then Res = ".TARGET."
  IfcDimensionExtentUsage_to_STEP = Res
End Function
Public Function STEP_to_IfcDimensionExtentUsage(Wert as String) As IfcDimensionExtentUsage
  Dim Res as IfcDimensionExtentUsage
  If Wert = ".ORIGIN." Then Res = repDEU_ORIGIN
  If Wert = ".TARGET." Then Res = repDEU_TARGET
  STEP_to_IfcDimensionExtentUsage = Res
End Function</t>
  </si>
  <si>
    <t>Public Enum IfcDirectionSenseEnum
  matDS_POSITIVE = 1
  matDS_NEGATIVE = 2
End Enum
Public Function IfcDirectionSenseEnum_to_STEP(Wert as IfcDirectionSenseEnum) As String
  Dim Res as String
  If Wert = matDS_POSITIVE Then Res = ".POSITIVE."
  If Wert = matDS_NEGATIVE Then Res = ".NEGATIVE."
  IfcDirectionSenseEnum_to_STEP = Res
End Function
Public Function STEP_to_IfcDirectionSenseEnum(Wert as String) As IfcDirectionSenseEnum
  Dim Res as IfcDirectionSenseEnum
  If Wert = ".POSITIVE." Then Res = matDS_POSITIVE
  If Wert = ".NEGATIVE." Then Res = matDS_NEGATIVE
  STEP_to_IfcDirectionSenseEnum = Res
End Function</t>
  </si>
  <si>
    <t>Public Enum IfcDistributionChamberElementTypeEnum
  sbsDCET_FORMEDDUCT = 1
  sbsDCET_INSPECTIONCHAMBER = 2
  sbsDCET_INSPECTIONPIT = 3
  sbsDCET_MANHOLE = 4
  sbsDCET_METERCHAMBER = 5
  sbsDCET_SUMP = 6
  sbsDCET_TRENCH = 7
  sbsDCET_VALVECHAMBER = 8
  sbsDCET_USERDEFINED = 9
  sbsDCET_NOTDEFINED = 10
End Enum
Public Function IfcDistributionChamberElementTypeEnum_to_STEP(Wert as IfcDistributionChamberElementTypeEnum) As String
  Dim Res as String
  If Wert = sbsDCET_FORMEDDUCT Then Res = ".FORMEDDUCT."
  If Wert = sbsDCET_INSPECTIONCHAMBER Then Res = ".INSPECTIONCHAMBER."
  If Wert = sbsDCET_INSPECTIONPIT Then Res = ".INSPECTIONPIT."
  If Wert = sbsDCET_MANHOLE Then Res = ".MANHOLE."
  If Wert = sbsDCET_METERCHAMBER Then Res = ".METERCHAMBER."
  If Wert = sbsDCET_SUMP Then Res = ".SUMP."
  If Wert = sbsDCET_TRENCH Then Res = ".TRENCH."
  If Wert = sbsDCET_VALVECHAMBER Then Res = ".VALVECHAMBER."
  If Wert = sbsDCET_USERDEFINED Then Res = ".USERDEFINED."
  If Wert = sbsDCET_NOTDEFINED Then Res = ".NOTDEFINED."
  IfcDistributionChamberElementTypeEnum_to_STEP = Res
End Function
Public Function STEP_to_IfcDistributionChamberElementTypeEnum(Wert as String) As IfcDistributionChamberElementTypeEnum
  Dim Res as IfcDistributionChamberElementTypeEnum
  If Wert = ".FORMEDDUCT." Then Res = sbsDCET_FORMEDDUCT
  If Wert = ".INSPECTIONCHAMBER." Then Res = sbsDCET_INSPECTIONCHAMBER
  If Wert = ".INSPECTIONPIT." Then Res = sbsDCET_INSPECTIONPIT
  If Wert = ".MANHOLE." Then Res = sbsDCET_MANHOLE
  If Wert = ".METERCHAMBER." Then Res = sbsDCET_METERCHAMBER
  If Wert = ".SUMP." Then Res = sbsDCET_SUMP
  If Wert = ".TRENCH." Then Res = sbsDCET_TRENCH
  If Wert = ".VALVECHAMBER." Then Res = sbsDCET_VALVECHAMBER
  If Wert = ".USERDEFINED." Then Res = sbsDCET_USERDEFINED
  If Wert = ".NOTDEFINED." Then Res = sbsDCET_NOTDEFINED
  STEP_to_IfcDistributionChamberElementTypeEnum = Res
End Function</t>
  </si>
  <si>
    <t>Public Enum IfcDocumentConfidentialityEnum
  extDC_PUBLIC = 1
  extDC_RESTRICTED = 2
  extDC_CONFIDENTIAL = 3
  extDC_PERSONAL = 4
  extDC_USERDEFINED = 5
  extDC_NOTDEFINED = 6
End Enum
Public Function IfcDocumentConfidentialityEnum_to_STEP(Wert as IfcDocumentConfidentialityEnum) As String
  Dim Res as String
  If Wert = extDC_PUBLIC Then Res = ".PUBLIC."
  If Wert = extDC_RESTRICTED Then Res = ".RESTRICTED."
  If Wert = extDC_CONFIDENTIAL Then Res = ".CONFIDENTIAL."
  If Wert = extDC_PERSONAL Then Res = ".PERSONAL."
  If Wert = extDC_USERDEFINED Then Res = ".USERDEFINED."
  If Wert = extDC_NOTDEFINED Then Res = ".NOTDEFINED."
  IfcDocumentConfidentialityEnum_to_STEP = Res
End Function
Public Function STEP_to_IfcDocumentConfidentialityEnum(Wert as String) As IfcDocumentConfidentialityEnum
  Dim Res as IfcDocumentConfidentialityEnum
  If Wert = ".PUBLIC." Then Res = extDC_PUBLIC
  If Wert = ".RESTRICTED." Then Res = extDC_RESTRICTED
  If Wert = ".CONFIDENTIAL." Then Res = extDC_CONFIDENTIAL
  If Wert = ".PERSONAL." Then Res = extDC_PERSONAL
  If Wert = ".USERDEFINED." Then Res = extDC_USERDEFINED
  If Wert = ".NOTDEFINED." Then Res = extDC_NOTDEFINED
  STEP_to_IfcDocumentConfidentialityEnum = Res
End Function</t>
  </si>
  <si>
    <t>Public Enum IfcDocumentStatusEnum
  extDS_DRAFT = 1
  extDS_FINALDRAFT = 2
  extDS_FINAL = 3
  extDS_REVISION = 4
  extDS_NOTDEFINED = 5
End Enum
Public Function IfcDocumentStatusEnum_to_STEP(Wert as IfcDocumentStatusEnum) As String
  Dim Res as String
  If Wert = extDS_DRAFT Then Res = ".DRAFT."
  If Wert = extDS_FINALDRAFT Then Res = ".FINALDRAFT."
  If Wert = extDS_FINAL Then Res = ".FINAL."
  If Wert = extDS_REVISION Then Res = ".REVISION."
  If Wert = extDS_NOTDEFINED Then Res = ".NOTDEFINED."
  IfcDocumentStatusEnum_to_STEP = Res
End Function
Public Function STEP_to_IfcDocumentStatusEnum(Wert as String) As IfcDocumentStatusEnum
  Dim Res as IfcDocumentStatusEnum
  If Wert = ".DRAFT." Then Res = extDS_DRAFT
  If Wert = ".FINALDRAFT." Then Res = extDS_FINALDRAFT
  If Wert = ".FINAL." Then Res = extDS_FINAL
  If Wert = ".REVISION." Then Res = extDS_REVISION
  If Wert = ".NOTDEFINED." Then Res = extDS_NOTDEFINED
  STEP_to_IfcDocumentStatusEnum = Res
End Function</t>
  </si>
  <si>
    <t>Public Enum IfcDoorPanelOperationEnum
  sbeDPO_SWINGING = 1
  sbeDPO_DOUBLE_ACTING = 2
  sbeDPO_SLIDING = 3
  sbeDPO_FOLDING = 4
  sbeDPO_REVOLVING = 5
  sbeDPO_ROLLINGUP = 6
  sbeDPO_USERDEFINED = 7
  sbeDPO_NOTDEFINED = 8
End Enum
Public Function IfcDoorPanelOperationEnum_to_STEP(Wert as IfcDoorPanelOperationEnum) As String
  Dim Res as String
  If Wert = sbeDPO_SWINGING Then Res = ".SWINGING."
  If Wert = sbeDPO_DOUBLE_ACTING Then Res = ".DOUBLE_ACTING."
  If Wert = sbeDPO_SLIDING Then Res = ".SLIDING."
  If Wert = sbeDPO_FOLDING Then Res = ".FOLDING."
  If Wert = sbeDPO_REVOLVING Then Res = ".REVOLVING."
  If Wert = sbeDPO_ROLLINGUP Then Res = ".ROLLINGUP."
  If Wert = sbeDPO_USERDEFINED Then Res = ".USERDEFINED."
  If Wert = sbeDPO_NOTDEFINED Then Res = ".NOTDEFINED."
  IfcDoorPanelOperationEnum_to_STEP = Res
End Function
Public Function STEP_to_IfcDoorPanelOperationEnum(Wert as String) As IfcDoorPanelOperationEnum
  Dim Res as IfcDoorPanelOperationEnum
  If Wert = ".SWINGING." Then Res = sbeDPO_SWINGING
  If Wert = ".DOUBLE_ACTING." Then Res = sbeDPO_DOUBLE_ACTING
  If Wert = ".SLIDING." Then Res = sbeDPO_SLIDING
  If Wert = ".FOLDING." Then Res = sbeDPO_FOLDING
  If Wert = ".REVOLVING." Then Res = sbeDPO_REVOLVING
  If Wert = ".ROLLINGUP." Then Res = sbeDPO_ROLLINGUP
  If Wert = ".USERDEFINED." Then Res = sbeDPO_USERDEFINED
  If Wert = ".NOTDEFINED." Then Res = sbeDPO_NOTDEFINED
  STEP_to_IfcDoorPanelOperationEnum = Res
End Function</t>
  </si>
  <si>
    <t>Public Enum IfcDoorPanelPositionEnum
  sbeDPP_LEFT = 1
  sbeDPP_MIDDLE = 2
  sbeDPP_RIGHT = 3
  sbeDPP_NOTDEFINED = 4
End Enum
Public Function IfcDoorPanelPositionEnum_to_STEP(Wert as IfcDoorPanelPositionEnum) As String
  Dim Res as String
  If Wert = sbeDPP_LEFT Then Res = ".LEFT."
  If Wert = sbeDPP_MIDDLE Then Res = ".MIDDLE."
  If Wert = sbeDPP_RIGHT Then Res = ".RIGHT."
  If Wert = sbeDPP_NOTDEFINED Then Res = ".NOTDEFINED."
  IfcDoorPanelPositionEnum_to_STEP = Res
End Function
Public Function STEP_to_IfcDoorPanelPositionEnum(Wert as String) As IfcDoorPanelPositionEnum
  Dim Res as IfcDoorPanelPositionEnum
  If Wert = ".LEFT." Then Res = sbeDPP_LEFT
  If Wert = ".MIDDLE." Then Res = sbeDPP_MIDDLE
  If Wert = ".RIGHT." Then Res = sbeDPP_RIGHT
  If Wert = ".NOTDEFINED." Then Res = sbeDPP_NOTDEFINED
  STEP_to_IfcDoorPanelPositionEnum = Res
End Function</t>
  </si>
  <si>
    <t>Public Enum IfcDoorStyleConstructionEnum
  sbeDSC_ALUMINIUM = 1
  sbeDSC_HIGH_GRADE_STEEL = 2
  sbeDSC_STEEL = 3
  sbeDSC_WOOD = 4
  sbeDSC_ALUMINIUM_WOOD = 5
  sbeDSC_ALUMINIUM_PLASTIC = 6
  sbeDSC_PLASTIC = 7
  sbeDSC_USERDEFINED = 8
  sbeDSC_NOTDEFINED = 9
End Enum
Public Function IfcDoorStyleConstructionEnum_to_STEP(Wert as IfcDoorStyleConstructionEnum) As String
  Dim Res as String
  If Wert = sbeDSC_ALUMINIUM Then Res = ".ALUMINIUM."
  If Wert = sbeDSC_HIGH_GRADE_STEEL Then Res = ".HIGH_GRADE_STEEL."
  If Wert = sbeDSC_STEEL Then Res = ".STEEL."
  If Wert = sbeDSC_WOOD Then Res = ".WOOD."
  If Wert = sbeDSC_ALUMINIUM_WOOD Then Res = ".ALUMINIUM_WOOD."
  If Wert = sbeDSC_ALUMINIUM_PLASTIC Then Res = ".ALUMINIUM_PLASTIC."
  If Wert = sbeDSC_PLASTIC Then Res = ".PLASTIC."
  If Wert = sbeDSC_USERDEFINED Then Res = ".USERDEFINED."
  If Wert = sbeDSC_NOTDEFINED Then Res = ".NOTDEFINED."
  IfcDoorStyleConstructionEnum_to_STEP = Res
End Function
Public Function STEP_to_IfcDoorStyleConstructionEnum(Wert as String) As IfcDoorStyleConstructionEnum
  Dim Res as IfcDoorStyleConstructionEnum
  If Wert = ".ALUMINIUM." Then Res = sbeDSC_ALUMINIUM
  If Wert = ".HIGH_GRADE_STEEL." Then Res = sbeDSC_HIGH_GRADE_STEEL
  If Wert = ".STEEL." Then Res = sbeDSC_STEEL
  If Wert = ".WOOD." Then Res = sbeDSC_WOOD
  If Wert = ".ALUMINIUM_WOOD." Then Res = sbeDSC_ALUMINIUM_WOOD
  If Wert = ".ALUMINIUM_PLASTIC." Then Res = sbeDSC_ALUMINIUM_PLASTIC
  If Wert = ".PLASTIC." Then Res = sbeDSC_PLASTIC
  If Wert = ".USERDEFINED." Then Res = sbeDSC_USERDEFINED
  If Wert = ".NOTDEFINED." Then Res = sbeDSC_NOTDEFINED
  STEP_to_IfcDoorStyleConstructionEnum = Res
End Function</t>
  </si>
  <si>
    <t>Public Enum IfcDoorStyleOperationEnum
  sbeDSO_SINGLE_SWING_LEFT = 1
  sbeDSO_SINGLE_SWING_RIGHT = 2
  sbeDSO_DOUBLE_DOOR_SINGLE_SWING = 3
  sbeDSO_DOUBLE_DOOR_SINGLE_SWING_OPPOSITE_LEFT = 4
  sbeDSO_DOUBLE_DOOR_SINGLE_SWING_OPPOSITE_RIGHT = 5
  sbeDSO_DOUBLE_SWING_LEFT = 6
  sbeDSO_DOUBLE_SWING_RIGHT = 7
  sbeDSO_DOUBLE_DOOR_DOUBLE_SWING = 8
  sbeDSO_SLIDING_TO_LEFT = 9
  sbeDSO_SLIDING_TO_RIGHT = 10
  sbeDSO_DOUBLE_DOOR_SLIDING = 11
  sbeDSO_FOLDING_TO_LEFT = 12
  sbeDSO_FOLDING_TO_RIGHT = 13
  sbeDSO_DOUBLE_DOOR_FOLDING = 14
  sbeDSO_REVOLVING = 15
  sbeDSO_ROLLINGUP = 16
  sbeDSO_USERDEFINED = 17
  sbeDSO_NOTDEFINED = 18
End Enum
Public Function IfcDoorStyleOperationEnum_to_STEP(Wert as IfcDoorStyleOperationEnum) As String
  Dim Res as String
  If Wert = sbeDSO_SINGLE_SWING_LEFT Then Res = ".SINGLE_SWING_LEFT."
  If Wert = sbeDSO_SINGLE_SWING_RIGHT Then Res = ".SINGLE_SWING_RIGHT."
  If Wert = sbeDSO_DOUBLE_DOOR_SINGLE_SWING Then Res = ".DOUBLE_DOOR_SINGLE_SWING."
  If Wert = sbeDSO_DOUBLE_DOOR_SINGLE_SWING_OPPOSITE_LEFT Then Res = ".DOUBLE_DOOR_SINGLE_SWING_OPPOSITE_LEFT."
  If Wert = sbeDSO_DOUBLE_DOOR_SINGLE_SWING_OPPOSITE_RIGHT Then Res = ".DOUBLE_DOOR_SINGLE_SWING_OPPOSITE_RIGHT."
  If Wert = sbeDSO_DOUBLE_SWING_LEFT Then Res = ".DOUBLE_SWING_LEFT."
  If Wert = sbeDSO_DOUBLE_SWING_RIGHT Then Res = ".DOUBLE_SWING_RIGHT."
  If Wert = sbeDSO_DOUBLE_DOOR_DOUBLE_SWING Then Res = ".DOUBLE_DOOR_DOUBLE_SWING."
  If Wert = sbeDSO_SLIDING_TO_LEFT Then Res = ".SLIDING_TO_LEFT."
  If Wert = sbeDSO_SLIDING_TO_RIGHT Then Res = ".SLIDING_TO_RIGHT."
  If Wert = sbeDSO_DOUBLE_DOOR_SLIDING Then Res = ".DOUBLE_DOOR_SLIDING."
  If Wert = sbeDSO_FOLDING_TO_LEFT Then Res = ".FOLDING_TO_LEFT."
  If Wert = sbeDSO_FOLDING_TO_RIGHT Then Res = ".FOLDING_TO_RIGHT."
  If Wert = sbeDSO_DOUBLE_DOOR_FOLDING Then Res = ".DOUBLE_DOOR_FOLDING."
  If Wert = sbeDSO_REVOLVING Then Res = ".REVOLVING."
  If Wert = sbeDSO_ROLLINGUP Then Res = ".ROLLINGUP."
  If Wert = sbeDSO_USERDEFINED Then Res = ".USERDEFINED."
  If Wert = sbeDSO_NOTDEFINED Then Res = ".NOTDEFINED."
  IfcDoorStyleOperationEnum_to_STEP = Res
End Function
Public Function STEP_to_IfcDoorStyleOperationEnum(Wert as String) As IfcDoorStyleOperationEnum
  Dim Res as IfcDoorStyleOperationEnum
  If Wert = ".SINGLE_SWING_LEFT." Then Res = sbeDSO_SINGLE_SWING_LEFT
  If Wert = ".SINGLE_SWING_RIGHT." Then Res = sbeDSO_SINGLE_SWING_RIGHT
  If Wert = ".DOUBLE_DOOR_SINGLE_SWING." Then Res = sbeDSO_DOUBLE_DOOR_SINGLE_SWING
  If Wert = ".DOUBLE_DOOR_SINGLE_SWING_OPPOSITE_LEFT." Then Res = sbeDSO_DOUBLE_DOOR_SINGLE_SWING_OPPOSITE_LEFT
  If Wert = ".DOUBLE_DOOR_SINGLE_SWING_OPPOSITE_RIGHT." Then Res = sbeDSO_DOUBLE_DOOR_SINGLE_SWING_OPPOSITE_RIGHT
  If Wert = ".DOUBLE_SWING_LEFT." Then Res = sbeDSO_DOUBLE_SWING_LEFT
  If Wert = ".DOUBLE_SWING_RIGHT." Then Res = sbeDSO_DOUBLE_SWING_RIGHT
  If Wert = ".DOUBLE_DOOR_DOUBLE_SWING." Then Res = sbeDSO_DOUBLE_DOOR_DOUBLE_SWING
  If Wert = ".SLIDING_TO_LEFT." Then Res = sbeDSO_SLIDING_TO_LEFT
  If Wert = ".SLIDING_TO_RIGHT." Then Res = sbeDSO_SLIDING_TO_RIGHT
  If Wert = ".DOUBLE_DOOR_SLIDING." Then Res = sbeDSO_DOUBLE_DOOR_SLIDING
  If Wert = ".FOLDING_TO_LEFT." Then Res = sbeDSO_FOLDING_TO_LEFT
  If Wert = ".FOLDING_TO_RIGHT." Then Res = sbeDSO_FOLDING_TO_RIGHT
  If Wert = ".DOUBLE_DOOR_FOLDING." Then Res = sbeDSO_DOUBLE_DOOR_FOLDING
  If Wert = ".REVOLVING." Then Res = sbeDSO_REVOLVING
  If Wert = ".ROLLINGUP." Then Res = sbeDSO_ROLLINGUP
  If Wert = ".USERDEFINED." Then Res = sbeDSO_USERDEFINED
  If Wert = ".NOTDEFINED." Then Res = sbeDSO_NOTDEFINED
  STEP_to_IfcDoorStyleOperationEnum = Res
End Function</t>
  </si>
  <si>
    <t>Public Enum IfcDuctFittingTypeEnum
  hvacDFT_BEND = 1
  hvacDFT_CONNECTOR = 2
  hvacDFT_ENTRY = 3
  hvacDFT_EXIT = 4
  hvacDFT_JUNCTION = 5
  hvacDFT_OBSTRUCTION = 6
  hvacDFT_TRANSITION = 7
  hvacDFT_USERDEFINED = 8
  hvacDFT_NOTDEFINED = 9
End Enum
Public Function IfcDuctFittingTypeEnum_to_STEP(Wert as IfcDuctFittingTypeEnum) As String
  Dim Res as String
  If Wert = hvacDFT_BEND Then Res = ".BEND."
  If Wert = hvacDFT_CONNECTOR Then Res = ".CONNECTOR."
  If Wert = hvacDFT_ENTRY Then Res = ".ENTRY."
  If Wert = hvacDFT_EXIT Then Res = ".EXIT."
  If Wert = hvacDFT_JUNCTION Then Res = ".JUNCTION."
  If Wert = hvacDFT_OBSTRUCTION Then Res = ".OBSTRUCTION."
  If Wert = hvacDFT_TRANSITION Then Res = ".TRANSITION."
  If Wert = hvacDFT_USERDEFINED Then Res = ".USERDEFINED."
  If Wert = hvacDFT_NOTDEFINED Then Res = ".NOTDEFINED."
  IfcDuctFittingTypeEnum_to_STEP = Res
End Function
Public Function STEP_to_IfcDuctFittingTypeEnum(Wert as String) As IfcDuctFittingTypeEnum
  Dim Res as IfcDuctFittingTypeEnum
  If Wert = ".BEND." Then Res = hvacDFT_BEND
  If Wert = ".CONNECTOR." Then Res = hvacDFT_CONNECTOR
  If Wert = ".ENTRY." Then Res = hvacDFT_ENTRY
  If Wert = ".EXIT." Then Res = hvacDFT_EXIT
  If Wert = ".JUNCTION." Then Res = hvacDFT_JUNCTION
  If Wert = ".OBSTRUCTION." Then Res = hvacDFT_OBSTRUCTION
  If Wert = ".TRANSITION." Then Res = hvacDFT_TRANSITION
  If Wert = ".USERDEFINED." Then Res = hvacDFT_USERDEFINED
  If Wert = ".NOTDEFINED." Then Res = hvacDFT_NOTDEFINED
  STEP_to_IfcDuctFittingTypeEnum = Res
End Function</t>
  </si>
  <si>
    <t>Public Enum IfcDuctSegmentTypeEnum
  hvacDSeT_RIGIDSEGMENT = 1
  hvacDSeT_FLEXIBLESEGMENT = 2
  hvacDSeT_USERDEFINED = 3
  hvacDSeT_NOTDEFINED = 4
End Enum
Public Function IfcDuctSegmentTypeEnum_to_STEP(Wert as IfcDuctSegmentTypeEnum) As String
  Dim Res as String
  If Wert = hvacDSeT_RIGIDSEGMENT Then Res = ".RIGIDSEGMENT."
  If Wert = hvacDSeT_FLEXIBLESEGMENT Then Res = ".FLEXIBLESEGMENT."
  If Wert = hvacDSeT_USERDEFINED Then Res = ".USERDEFINED."
  If Wert = hvacDSeT_NOTDEFINED Then Res = ".NOTDEFINED."
  IfcDuctSegmentTypeEnum_to_STEP = Res
End Function
Public Function STEP_to_IfcDuctSegmentTypeEnum(Wert as String) As IfcDuctSegmentTypeEnum
  Dim Res as IfcDuctSegmentTypeEnum
  If Wert = ".RIGIDSEGMENT." Then Res = hvacDSeT_RIGIDSEGMENT
  If Wert = ".FLEXIBLESEGMENT." Then Res = hvacDSeT_FLEXIBLESEGMENT
  If Wert = ".USERDEFINED." Then Res = hvacDSeT_USERDEFINED
  If Wert = ".NOTDEFINED." Then Res = hvacDSeT_NOTDEFINED
  STEP_to_IfcDuctSegmentTypeEnum = Res
End Function</t>
  </si>
  <si>
    <t>Public Enum IfcDuctSilencerTypeEnum
  hvacDSiT_FLATOVAL = 1
  hvacDSiT_RECTANGULAR = 2
  hvacDSiT_ROUND = 3
  hvacDSiT_USERDEFINED = 4
  hvacDSiT_NOTDEFINED = 5
End Enum
Public Function IfcDuctSilencerTypeEnum_to_STEP(Wert as IfcDuctSilencerTypeEnum) As String
  Dim Res as String
  If Wert = hvacDSiT_FLATOVAL Then Res = ".FLATOVAL."
  If Wert = hvacDSiT_RECTANGULAR Then Res = ".RECTANGULAR."
  If Wert = hvacDSiT_ROUND Then Res = ".ROUND."
  If Wert = hvacDSiT_USERDEFINED Then Res = ".USERDEFINED."
  If Wert = hvacDSiT_NOTDEFINED Then Res = ".NOTDEFINED."
  IfcDuctSilencerTypeEnum_to_STEP = Res
End Function
Public Function STEP_to_IfcDuctSilencerTypeEnum(Wert as String) As IfcDuctSilencerTypeEnum
  Dim Res as IfcDuctSilencerTypeEnum
  If Wert = ".FLATOVAL." Then Res = hvacDSiT_FLATOVAL
  If Wert = ".RECTANGULAR." Then Res = hvacDSiT_RECTANGULAR
  If Wert = ".ROUND." Then Res = hvacDSiT_ROUND
  If Wert = ".USERDEFINED." Then Res = hvacDSiT_USERDEFINED
  If Wert = ".NOTDEFINED." Then Res = hvacDSiT_NOTDEFINED
  STEP_to_IfcDuctSilencerTypeEnum = Res
End Function</t>
  </si>
  <si>
    <t>Public Enum IfcElectricApplianceTypeEnum
  eleEAT_COMPUTER = 1
  eleEAT_DIRECTWATERHEATER = 2
  eleEAT_DISHWASHER = 3
  eleEAT_ELECTRICCOOKER = 4
  eleEAT_ELECTRICHEATER = 5
  eleEAT_FACSIMILE = 6
  eleEAT_FREESTANDINGFAN = 7
  eleEAT_FREEZER = 8
  eleEAT_FRIDGE_FREEZER = 9
  eleEAT_HANDDRYER = 10
  eleEAT_INDIRECTWATERHEATER = 11
  eleEAT_MICROWAVE = 12
  eleEAT_PHOTOCOPIER = 13
  eleEAT_PRINTER = 14
  eleEAT_REFRIGERATOR = 15
  eleEAT_RADIANTHEATER = 16
  eleEAT_SCANNER = 17
  eleEAT_TELEPHONE = 18
  eleEAT_TUMBLEDRYER = 19
  eleEAT_TV = 20
  eleEAT_VENDINGMACHINE = 21
  eleEAT_WASHINGMACHINE = 22
  eleEAT_WATERHEATER = 23
  eleEAT_WATERCOOLER = 24
  eleEAT_USERDEFINED = 25
  eleEAT_NOTDEFINED = 26
End Enum
Public Function IfcElectricApplianceTypeEnum_to_STEP(Wert as IfcElectricApplianceTypeEnum) As String
  Dim Res as String
  If Wert = eleEAT_COMPUTER Then Res = ".COMPUTER."
  If Wert = eleEAT_DIRECTWATERHEATER Then Res = ".DIRECTWATERHEATER."
  If Wert = eleEAT_DISHWASHER Then Res = ".DISHWASHER."
  If Wert = eleEAT_ELECTRICCOOKER Then Res = ".ELECTRICCOOKER."
  If Wert = eleEAT_ELECTRICHEATER Then Res = ".ELECTRICHEATER."
  If Wert = eleEAT_FACSIMILE Then Res = ".FACSIMILE."
  If Wert = eleEAT_FREESTANDINGFAN Then Res = ".FREESTANDINGFAN."
  If Wert = eleEAT_FREEZER Then Res = ".FREEZER."
  If Wert = eleEAT_FRIDGE_FREEZER Then Res = ".FRIDGE_FREEZER."
  If Wert = eleEAT_HANDDRYER Then Res = ".HANDDRYER."
  If Wert = eleEAT_INDIRECTWATERHEATER Then Res = ".INDIRECTWATERHEATER."
  If Wert = eleEAT_MICROWAVE Then Res = ".MICROWAVE."
  If Wert = eleEAT_PHOTOCOPIER Then Res = ".PHOTOCOPIER."
  If Wert = eleEAT_PRINTER Then Res = ".PRINTER."
  If Wert = eleEAT_REFRIGERATOR Then Res = ".REFRIGERATOR."
  If Wert = eleEAT_RADIANTHEATER Then Res = ".RADIANTHEATER."
  If Wert = eleEAT_SCANNER Then Res = ".SCANNER."
  If Wert = eleEAT_TELEPHONE Then Res = ".TELEPHONE."
  If Wert = eleEAT_TUMBLEDRYER Then Res = ".TUMBLEDRYER."
  If Wert = eleEAT_TV Then Res = ".TV."
  If Wert = eleEAT_VENDINGMACHINE Then Res = ".VENDINGMACHINE."
  If Wert = eleEAT_WASHINGMACHINE Then Res = ".WASHINGMACHINE."
  If Wert = eleEAT_WATERHEATER Then Res = ".WATERHEATER."
  If Wert = eleEAT_WATERCOOLER Then Res = ".WATERCOOLER."
  If Wert = eleEAT_USERDEFINED Then Res = ".USERDEFINED."
  If Wert = eleEAT_NOTDEFINED Then Res = ".NOTDEFINED."
  IfcElectricApplianceTypeEnum_to_STEP = Res
End Function
Public Function STEP_to_IfcElectricApplianceTypeEnum(Wert as String) As IfcElectricApplianceTypeEnum
  Dim Res as IfcElectricApplianceTypeEnum
  If Wert = ".COMPUTER." Then Res = eleEAT_COMPUTER
  If Wert = ".DIRECTWATERHEATER." Then Res = eleEAT_DIRECTWATERHEATER
  If Wert = ".DISHWASHER." Then Res = eleEAT_DISHWASHER
  If Wert = ".ELECTRICCOOKER." Then Res = eleEAT_ELECTRICCOOKER
  If Wert = ".ELECTRICHEATER." Then Res = eleEAT_ELECTRICHEATER
  If Wert = ".FACSIMILE." Then Res = eleEAT_FACSIMILE
  If Wert = ".FREESTANDINGFAN." Then Res = eleEAT_FREESTANDINGFAN
  If Wert = ".FREEZER." Then Res = eleEAT_FREEZER
  If Wert = ".FRIDGE_FREEZER." Then Res = eleEAT_FRIDGE_FREEZER
  If Wert = ".HANDDRYER." Then Res = eleEAT_HANDDRYER
  If Wert = ".INDIRECTWATERHEATER." Then Res = eleEAT_INDIRECTWATERHEATER
  If Wert = ".MICROWAVE." Then Res = eleEAT_MICROWAVE
  If Wert = ".PHOTOCOPIER." Then Res = eleEAT_PHOTOCOPIER
  If Wert = ".PRINTER." Then Res = eleEAT_PRINTER
  If Wert = ".REFRIGERATOR." Then Res = eleEAT_REFRIGERATOR
  If Wert = ".RADIANTHEATER." Then Res = eleEAT_RADIANTHEATER
  If Wert = ".SCANNER." Then Res = eleEAT_SCANNER
  If Wert = ".TELEPHONE." Then Res = eleEAT_TELEPHONE
  If Wert = ".TUMBLEDRYER." Then Res = eleEAT_TUMBLEDRYER
  If Wert = ".TV." Then Res = eleEAT_TV
  If Wert = ".VENDINGMACHINE." Then Res = eleEAT_VENDINGMACHINE
  If Wert = ".WASHINGMACHINE." Then Res = eleEAT_WASHINGMACHINE
  If Wert = ".WATERHEATER." Then Res = eleEAT_WATERHEATER
  If Wert = ".WATERCOOLER." Then Res = eleEAT_WATERCOOLER
  If Wert = ".USERDEFINED." Then Res = eleEAT_USERDEFINED
  If Wert = ".NOTDEFINED." Then Res = eleEAT_NOTDEFINED
  STEP_to_IfcElectricApplianceTypeEnum = Res
End Function</t>
  </si>
  <si>
    <t>Public Enum IfcElectricCurrentEnum
  sbsEC_ALTERNATING = 1
  sbsEC_DIRECT = 2
  sbsEC_NOTDEFINED = 3
End Enum
Public Function IfcElectricCurrentEnum_to_STEP(Wert as IfcElectricCurrentEnum) As String
  Dim Res as String
  If Wert = sbsEC_ALTERNATING Then Res = ".ALTERNATING."
  If Wert = sbsEC_DIRECT Then Res = ".DIRECT."
  If Wert = sbsEC_NOTDEFINED Then Res = ".NOTDEFINED."
  IfcElectricCurrentEnum_to_STEP = Res
End Function
Public Function STEP_to_IfcElectricCurrentEnum(Wert as String) As IfcElectricCurrentEnum
  Dim Res as IfcElectricCurrentEnum
  If Wert = ".ALTERNATING." Then Res = sbsEC_ALTERNATING
  If Wert = ".DIRECT." Then Res = sbsEC_DIRECT
  If Wert = ".NOTDEFINED." Then Res = sbsEC_NOTDEFINED
  STEP_to_IfcElectricCurrentEnum = Res
End Function</t>
  </si>
  <si>
    <t>Public Enum IfcElectricDistributionPointFunctionEnum
  eleEDPF_ALARMPANEL = 1
  eleEDPF_CONSUMERUNIT = 2
  eleEDPF_CONTROLPANEL = 3
  eleEDPF_DISTRIBUTIONBOARD = 4
  eleEDPF_GASDETECTORPANEL = 5
  eleEDPF_INDICATORPANEL = 6
  eleEDPF_MIMICPANEL = 7
  eleEDPF_MOTORCONTROLCENTRE = 8
  eleEDPF_SWITCHBOARD = 9
  eleEDPF_USERDEFINED = 10
  eleEDPF_NOTDEFINED = 11
End Enum
Public Function IfcElectricDistributionPointFunctionEnum_to_STEP(Wert as IfcElectricDistributionPointFunctionEnum) As String
  Dim Res as String
  If Wert = eleEDPF_ALARMPANEL Then Res = ".ALARMPANEL."
  If Wert = eleEDPF_CONSUMERUNIT Then Res = ".CONSUMERUNIT."
  If Wert = eleEDPF_CONTROLPANEL Then Res = ".CONTROLPANEL."
  If Wert = eleEDPF_DISTRIBUTIONBOARD Then Res = ".DISTRIBUTIONBOARD."
  If Wert = eleEDPF_GASDETECTORPANEL Then Res = ".GASDETECTORPANEL."
  If Wert = eleEDPF_INDICATORPANEL Then Res = ".INDICATORPANEL."
  If Wert = eleEDPF_MIMICPANEL Then Res = ".MIMICPANEL."
  If Wert = eleEDPF_MOTORCONTROLCENTRE Then Res = ".MOTORCONTROLCENTRE."
  If Wert = eleEDPF_SWITCHBOARD Then Res = ".SWITCHBOARD."
  If Wert = eleEDPF_USERDEFINED Then Res = ".USERDEFINED."
  If Wert = eleEDPF_NOTDEFINED Then Res = ".NOTDEFINED."
  IfcElectricDistributionPointFunctionEnum_to_STEP = Res
End Function
Public Function STEP_to_IfcElectricDistributionPointFunctionEnum(Wert as String) As IfcElectricDistributionPointFunctionEnum
  Dim Res as IfcElectricDistributionPointFunctionEnum
  If Wert = ".ALARMPANEL." Then Res = eleEDPF_ALARMPANEL
  If Wert = ".CONSUMERUNIT." Then Res = eleEDPF_CONSUMERUNIT
  If Wert = ".CONTROLPANEL." Then Res = eleEDPF_CONTROLPANEL
  If Wert = ".DISTRIBUTIONBOARD." Then Res = eleEDPF_DISTRIBUTIONBOARD
  If Wert = ".GASDETECTORPANEL." Then Res = eleEDPF_GASDETECTORPANEL
  If Wert = ".INDICATORPANEL." Then Res = eleEDPF_INDICATORPANEL
  If Wert = ".MIMICPANEL." Then Res = eleEDPF_MIMICPANEL
  If Wert = ".MOTORCONTROLCENTRE." Then Res = eleEDPF_MOTORCONTROLCENTRE
  If Wert = ".SWITCHBOARD." Then Res = eleEDPF_SWITCHBOARD
  If Wert = ".USERDEFINED." Then Res = eleEDPF_USERDEFINED
  If Wert = ".NOTDEFINED." Then Res = eleEDPF_NOTDEFINED
  STEP_to_IfcElectricDistributionPointFunctionEnum = Res
End Function</t>
  </si>
  <si>
    <t>Public Enum IfcElectricFlowStorageDeviceTypeEnum
  eleEFSDT_BATTERY = 1
  eleEFSDT_CAPACITORBANK = 2
  eleEFSDT_HARMONICFILTER = 3
  eleEFSDT_INDUCTORBANK = 4
  eleEFSDT_UPS = 5
  eleEFSDT_USERDEFINED = 6
  eleEFSDT_NOTDEFINED = 7
End Enum
Public Function IfcElectricFlowStorageDeviceTypeEnum_to_STEP(Wert as IfcElectricFlowStorageDeviceTypeEnum) As String
  Dim Res as String
  If Wert = eleEFSDT_BATTERY Then Res = ".BATTERY."
  If Wert = eleEFSDT_CAPACITORBANK Then Res = ".CAPACITORBANK."
  If Wert = eleEFSDT_HARMONICFILTER Then Res = ".HARMONICFILTER."
  If Wert = eleEFSDT_INDUCTORBANK Then Res = ".INDUCTORBANK."
  If Wert = eleEFSDT_UPS Then Res = ".UPS."
  If Wert = eleEFSDT_USERDEFINED Then Res = ".USERDEFINED."
  If Wert = eleEFSDT_NOTDEFINED Then Res = ".NOTDEFINED."
  IfcElectricFlowStorageDeviceTypeEnum_to_STEP = Res
End Function
Public Function STEP_to_IfcElectricFlowStorageDeviceTypeEnum(Wert as String) As IfcElectricFlowStorageDeviceTypeEnum
  Dim Res as IfcElectricFlowStorageDeviceTypeEnum
  If Wert = ".BATTERY." Then Res = eleEFSDT_BATTERY
  If Wert = ".CAPACITORBANK." Then Res = eleEFSDT_CAPACITORBANK
  If Wert = ".HARMONICFILTER." Then Res = eleEFSDT_HARMONICFILTER
  If Wert = ".INDUCTORBANK." Then Res = eleEFSDT_INDUCTORBANK
  If Wert = ".UPS." Then Res = eleEFSDT_UPS
  If Wert = ".USERDEFINED." Then Res = eleEFSDT_USERDEFINED
  If Wert = ".NOTDEFINED." Then Res = eleEFSDT_NOTDEFINED
  STEP_to_IfcElectricFlowStorageDeviceTypeEnum = Res
End Function</t>
  </si>
  <si>
    <t>Public Enum IfcElectricGeneratorTypeEnum
  eleEGT_USERDEFINED = 1
  eleEGT_NOTDEFINED = 2
End Enum
Public Function IfcElectricGeneratorTypeEnum_to_STEP(Wert as IfcElectricGeneratorTypeEnum) As String
  Dim Res as String
  If Wert = eleEGT_USERDEFINED Then Res = ".USERDEFINED."
  If Wert = eleEGT_NOTDEFINED Then Res = ".NOTDEFINED."
  IfcElectricGeneratorTypeEnum_to_STEP = Res
End Function
Public Function STEP_to_IfcElectricGeneratorTypeEnum(Wert as String) As IfcElectricGeneratorTypeEnum
  Dim Res as IfcElectricGeneratorTypeEnum
  If Wert = ".USERDEFINED." Then Res = eleEGT_USERDEFINED
  If Wert = ".NOTDEFINED." Then Res = eleEGT_NOTDEFINED
  STEP_to_IfcElectricGeneratorTypeEnum = Res
End Function</t>
  </si>
  <si>
    <t>Public Enum IfcElectricHeaterTypeEnum
  eleEHT_ELECTRICPOINTHEATER = 1
  eleEHT_ELECTRICCABLEHEATER = 2
  eleEHT_ELECTRICMATHEATER = 3
  eleEHT_USERDEFINED = 4
  eleEHT_NOTDEFINED = 5
End Enum
Public Function IfcElectricHeaterTypeEnum_to_STEP(Wert as IfcElectricHeaterTypeEnum) As String
  Dim Res as String
  If Wert = eleEHT_ELECTRICPOINTHEATER Then Res = ".ELECTRICPOINTHEATER."
  If Wert = eleEHT_ELECTRICCABLEHEATER Then Res = ".ELECTRICCABLEHEATER."
  If Wert = eleEHT_ELECTRICMATHEATER Then Res = ".ELECTRICMATHEATER."
  If Wert = eleEHT_USERDEFINED Then Res = ".USERDEFINED."
  If Wert = eleEHT_NOTDEFINED Then Res = ".NOTDEFINED."
  IfcElectricHeaterTypeEnum_to_STEP = Res
End Function
Public Function STEP_to_IfcElectricHeaterTypeEnum(Wert as String) As IfcElectricHeaterTypeEnum
  Dim Res as IfcElectricHeaterTypeEnum
  If Wert = ".ELECTRICPOINTHEATER." Then Res = eleEHT_ELECTRICPOINTHEATER
  If Wert = ".ELECTRICCABLEHEATER." Then Res = eleEHT_ELECTRICCABLEHEATER
  If Wert = ".ELECTRICMATHEATER." Then Res = eleEHT_ELECTRICMATHEATER
  If Wert = ".USERDEFINED." Then Res = eleEHT_USERDEFINED
  If Wert = ".NOTDEFINED." Then Res = eleEHT_NOTDEFINED
  STEP_to_IfcElectricHeaterTypeEnum = Res
End Function</t>
  </si>
  <si>
    <t>Public Enum IfcElectricMotorTypeEnum
  eleEMT_DC = 1
  eleEMT_INDUCTION = 2
  eleEMT_POLYPHASE = 3
  eleEMT_RELUCTANCESYNCHRONOUS = 4
  eleEMT_SYNCHRONOUS = 5
  eleEMT_USERDEFINED = 6
  eleEMT_NOTDEFINED = 7
End Enum
Public Function IfcElectricMotorTypeEnum_to_STEP(Wert as IfcElectricMotorTypeEnum) As String
  Dim Res as String
  If Wert = eleEMT_DC Then Res = ".DC."
  If Wert = eleEMT_INDUCTION Then Res = ".INDUCTION."
  If Wert = eleEMT_POLYPHASE Then Res = ".POLYPHASE."
  If Wert = eleEMT_RELUCTANCESYNCHRONOUS Then Res = ".RELUCTANCESYNCHRONOUS."
  If Wert = eleEMT_SYNCHRONOUS Then Res = ".SYNCHRONOUS."
  If Wert = eleEMT_USERDEFINED Then Res = ".USERDEFINED."
  If Wert = eleEMT_NOTDEFINED Then Res = ".NOTDEFINED."
  IfcElectricMotorTypeEnum_to_STEP = Res
End Function
Public Function STEP_to_IfcElectricMotorTypeEnum(Wert as String) As IfcElectricMotorTypeEnum
  Dim Res as IfcElectricMotorTypeEnum
  If Wert = ".DC." Then Res = eleEMT_DC
  If Wert = ".INDUCTION." Then Res = eleEMT_INDUCTION
  If Wert = ".POLYPHASE." Then Res = eleEMT_POLYPHASE
  If Wert = ".RELUCTANCESYNCHRONOUS." Then Res = eleEMT_RELUCTANCESYNCHRONOUS
  If Wert = ".SYNCHRONOUS." Then Res = eleEMT_SYNCHRONOUS
  If Wert = ".USERDEFINED." Then Res = eleEMT_USERDEFINED
  If Wert = ".NOTDEFINED." Then Res = eleEMT_NOTDEFINED
  STEP_to_IfcElectricMotorTypeEnum = Res
End Function</t>
  </si>
  <si>
    <t>Public Enum IfcElectricTimeControlTypeEnum
  eleETCT_TIMECLOCK = 1
  eleETCT_TIMEDELAY = 2
  eleETCT_RELAY = 3
  eleETCT_USERDEFINED = 4
  eleETCT_NOTDEFINED = 5
End Enum
Public Function IfcElectricTimeControlTypeEnum_to_STEP(Wert as IfcElectricTimeControlTypeEnum) As String
  Dim Res as String
  If Wert = eleETCT_TIMECLOCK Then Res = ".TIMECLOCK."
  If Wert = eleETCT_TIMEDELAY Then Res = ".TIMEDELAY."
  If Wert = eleETCT_RELAY Then Res = ".RELAY."
  If Wert = eleETCT_USERDEFINED Then Res = ".USERDEFINED."
  If Wert = eleETCT_NOTDEFINED Then Res = ".NOTDEFINED."
  IfcElectricTimeControlTypeEnum_to_STEP = Res
End Function
Public Function STEP_to_IfcElectricTimeControlTypeEnum(Wert as String) As IfcElectricTimeControlTypeEnum
  Dim Res as IfcElectricTimeControlTypeEnum
  If Wert = ".TIMECLOCK." Then Res = eleETCT_TIMECLOCK
  If Wert = ".TIMEDELAY." Then Res = eleETCT_TIMEDELAY
  If Wert = ".RELAY." Then Res = eleETCT_RELAY
  If Wert = ".USERDEFINED." Then Res = eleETCT_USERDEFINED
  If Wert = ".NOTDEFINED." Then Res = eleETCT_NOTDEFINED
  STEP_to_IfcElectricTimeControlTypeEnum = Res
End Function</t>
  </si>
  <si>
    <t>Public Enum IfcElementAssemblyTypeEnum
  pocEAT_ACCESSORY_ASSEMBLY = 1
  pocEAT_ARCH = 2
  pocEAT_BEAM_GRID = 3
  pocEAT_BRACED_FRAME = 4
  pocEAT_GIRDER = 5
  pocEAT_REINFORCEMENT_UNIT = 6
  pocEAT_RIGID_FRAME = 7
  pocEAT_SLAB_FIELD = 8
  pocEAT_TRUSS = 9
  pocEAT_USERDEFINED = 10
  pocEAT_NOTDEFINED = 11
End Enum
Public Function IfcElementAssemblyTypeEnum_to_STEP(Wert as IfcElementAssemblyTypeEnum) As String
  Dim Res as String
  If Wert = pocEAT_ACCESSORY_ASSEMBLY Then Res = ".ACCESSORY_ASSEMBLY."
  If Wert = pocEAT_ARCH Then Res = ".ARCH."
  If Wert = pocEAT_BEAM_GRID Then Res = ".BEAM_GRID."
  If Wert = pocEAT_BRACED_FRAME Then Res = ".BRACED_FRAME."
  If Wert = pocEAT_GIRDER Then Res = ".GIRDER."
  If Wert = pocEAT_REINFORCEMENT_UNIT Then Res = ".REINFORCEMENT_UNIT."
  If Wert = pocEAT_RIGID_FRAME Then Res = ".RIGID_FRAME."
  If Wert = pocEAT_SLAB_FIELD Then Res = ".SLAB_FIELD."
  If Wert = pocEAT_TRUSS Then Res = ".TRUSS."
  If Wert = pocEAT_USERDEFINED Then Res = ".USERDEFINED."
  If Wert = pocEAT_NOTDEFINED Then Res = ".NOTDEFINED."
  IfcElementAssemblyTypeEnum_to_STEP = Res
End Function
Public Function STEP_to_IfcElementAssemblyTypeEnum(Wert as String) As IfcElementAssemblyTypeEnum
  Dim Res as IfcElementAssemblyTypeEnum
  If Wert = ".ACCESSORY_ASSEMBLY." Then Res = pocEAT_ACCESSORY_ASSEMBLY
  If Wert = ".ARCH." Then Res = pocEAT_ARCH
  If Wert = ".BEAM_GRID." Then Res = pocEAT_BEAM_GRID
  If Wert = ".BRACED_FRAME." Then Res = pocEAT_BRACED_FRAME
  If Wert = ".GIRDER." Then Res = pocEAT_GIRDER
  If Wert = ".REINFORCEMENT_UNIT." Then Res = pocEAT_REINFORCEMENT_UNIT
  If Wert = ".RIGID_FRAME." Then Res = pocEAT_RIGID_FRAME
  If Wert = ".SLAB_FIELD." Then Res = pocEAT_SLAB_FIELD
  If Wert = ".TRUSS." Then Res = pocEAT_TRUSS
  If Wert = ".USERDEFINED." Then Res = pocEAT_USERDEFINED
  If Wert = ".NOTDEFINED." Then Res = pocEAT_NOTDEFINED
  STEP_to_IfcElementAssemblyTypeEnum = Res
End Function</t>
  </si>
  <si>
    <t>Public Enum IfcElementCompositionEnum
  pocEC_COMPLEX = 1
  pocEC_ELEMENT = 2
  pocEC_PARTIAL = 3
End Enum
Public Function IfcElementCompositionEnum_to_STEP(Wert as IfcElementCompositionEnum) As String
  Dim Res as String
  If Wert = pocEC_COMPLEX Then Res = ".COMPLEX."
  If Wert = pocEC_ELEMENT Then Res = ".ELEMENT."
  If Wert = pocEC_PARTIAL Then Res = ".PARTIAL."
  IfcElementCompositionEnum_to_STEP = Res
End Function
Public Function STEP_to_IfcElementCompositionEnum(Wert as String) As IfcElementCompositionEnum
  Dim Res as IfcElementCompositionEnum
  If Wert = ".COMPLEX." Then Res = pocEC_COMPLEX
  If Wert = ".ELEMENT." Then Res = pocEC_ELEMENT
  If Wert = ".PARTIAL." Then Res = pocEC_PARTIAL
  STEP_to_IfcElementCompositionEnum = Res
End Function</t>
  </si>
  <si>
    <t>Public Enum IfcEnergySequenceEnum
  sbsES_PRIMARY = 1
  sbsES_SECONDARY = 2
  sbsES_TERTIARY = 3
  sbsES_AUXILIARY = 4
  sbsES_USERDEFINED = 5
  sbsES_NOTDEFINED = 6
End Enum
Public Function IfcEnergySequenceEnum_to_STEP(Wert as IfcEnergySequenceEnum) As String
  Dim Res as String
  If Wert = sbsES_PRIMARY Then Res = ".PRIMARY."
  If Wert = sbsES_SECONDARY Then Res = ".SECONDARY."
  If Wert = sbsES_TERTIARY Then Res = ".TERTIARY."
  If Wert = sbsES_AUXILIARY Then Res = ".AUXILIARY."
  If Wert = sbsES_USERDEFINED Then Res = ".USERDEFINED."
  If Wert = sbsES_NOTDEFINED Then Res = ".NOTDEFINED."
  IfcEnergySequenceEnum_to_STEP = Res
End Function
Public Function STEP_to_IfcEnergySequenceEnum(Wert as String) As IfcEnergySequenceEnum
  Dim Res as IfcEnergySequenceEnum
  If Wert = ".PRIMARY." Then Res = sbsES_PRIMARY
  If Wert = ".SECONDARY." Then Res = sbsES_SECONDARY
  If Wert = ".TERTIARY." Then Res = sbsES_TERTIARY
  If Wert = ".AUXILIARY." Then Res = sbsES_AUXILIARY
  If Wert = ".USERDEFINED." Then Res = sbsES_USERDEFINED
  If Wert = ".NOTDEFINED." Then Res = sbsES_NOTDEFINED
  STEP_to_IfcEnergySequenceEnum = Res
End Function</t>
  </si>
  <si>
    <t>Public Enum IfcEnvironmentalImpactCategoryEnum
  cosEC_COMBINEDVALUE = 1
  cosEC_DISPOSAL = 2
  cosEC_EXTRACTION = 3
  cosEC_INSTALLATION = 4
  cosEC_MANUFACTURE = 5
  cosEC_TRANSPORTATION = 6
  cosEC_USERDEFINED = 7
  cosEC_NOTDEFINED = 8
End Enum
Public Function IfcEnvironmentalImpactCategoryEnum_to_STEP(Wert as IfcEnvironmentalImpactCategoryEnum) As String
  Dim Res as String
  If Wert = cosEC_COMBINEDVALUE Then Res = ".COMBINEDVALUE."
  If Wert = cosEC_DISPOSAL Then Res = ".DISPOSAL."
  If Wert = cosEC_EXTRACTION Then Res = ".EXTRACTION."
  If Wert = cosEC_INSTALLATION Then Res = ".INSTALLATION."
  If Wert = cosEC_MANUFACTURE Then Res = ".MANUFACTURE."
  If Wert = cosEC_TRANSPORTATION Then Res = ".TRANSPORTATION."
  If Wert = cosEC_USERDEFINED Then Res = ".USERDEFINED."
  If Wert = cosEC_NOTDEFINED Then Res = ".NOTDEFINED."
  IfcEnvironmentalImpactCategoryEnum_to_STEP = Res
End Function
Public Function STEP_to_IfcEnvironmentalImpactCategoryEnum(Wert as String) As IfcEnvironmentalImpactCategoryEnum
  Dim Res as IfcEnvironmentalImpactCategoryEnum
  If Wert = ".COMBINEDVALUE." Then Res = cosEC_COMBINEDVALUE
  If Wert = ".DISPOSAL." Then Res = cosEC_DISPOSAL
  If Wert = ".EXTRACTION." Then Res = cosEC_EXTRACTION
  If Wert = ".INSTALLATION." Then Res = cosEC_INSTALLATION
  If Wert = ".MANUFACTURE." Then Res = cosEC_MANUFACTURE
  If Wert = ".TRANSPORTATION." Then Res = cosEC_TRANSPORTATION
  If Wert = ".USERDEFINED." Then Res = cosEC_USERDEFINED
  If Wert = ".NOTDEFINED." Then Res = cosEC_NOTDEFINED
  STEP_to_IfcEnvironmentalImpactCategoryEnum = Res
End Function</t>
  </si>
  <si>
    <t>Public Enum IfcEvaporativeCoolerTypeEnum
  hvacECT_DIRECTEVAPORATIVERANDOMMEDIAAIRCOOLER = 1
  hvacECT_DIRECTEVAPORATIVERIGIDMEDIAAIRCOOLER = 2
  hvacECT_DIRECTEVAPORATIVESLINGERSPACKAGEDAIRCOOLER = 3
  hvacECT_DIRECTEVAPORATIVEPACKAGEDROTARYAIRCOOLER = 4
  hvacECT_DIRECTEVAPORATIVEAIRWASHER = 5
  hvacECT_INDIRECTEVAPORATIVEPACKAGEAIRCOOLER = 6
  hvacECT_INDIRECTEVAPORATIVEWETCOIL = 7
  hvacECT_INDIRECTEVAPORATIVECOOLINGTOWERORCOILCOOLER = 8
  hvacECT_INDIRECTDIRECTCOMBINATION = 9
  hvacECT_USERDEFINED = 10
  hvacECT_NOTDEFINED = 11
End Enum
Public Function IfcEvaporativeCoolerTypeEnum_to_STEP(Wert as IfcEvaporativeCoolerTypeEnum) As String
  Dim Res as String
  If Wert = hvacECT_DIRECTEVAPORATIVERANDOMMEDIAAIRCOOLER Then Res = ".DIRECTEVAPORATIVERANDOMMEDIAAIRCOOLER."
  If Wert = hvacECT_DIRECTEVAPORATIVERIGIDMEDIAAIRCOOLER Then Res = ".DIRECTEVAPORATIVERIGIDMEDIAAIRCOOLER."
  If Wert = hvacECT_DIRECTEVAPORATIVESLINGERSPACKAGEDAIRCOOLER Then Res = ".DIRECTEVAPORATIVESLINGERSPACKAGEDAIRCOOLER."
  If Wert = hvacECT_DIRECTEVAPORATIVEPACKAGEDROTARYAIRCOOLER Then Res = ".DIRECTEVAPORATIVEPACKAGEDROTARYAIRCOOLER."
  If Wert = hvacECT_DIRECTEVAPORATIVEAIRWASHER Then Res = ".DIRECTEVAPORATIVEAIRWASHER."
  If Wert = hvacECT_INDIRECTEVAPORATIVEPACKAGEAIRCOOLER Then Res = ".INDIRECTEVAPORATIVEPACKAGEAIRCOOLER."
  If Wert = hvacECT_INDIRECTEVAPORATIVEWETCOIL Then Res = ".INDIRECTEVAPORATIVEWETCOIL."
  If Wert = hvacECT_INDIRECTEVAPORATIVECOOLINGTOWERORCOILCOOLER Then Res = ".INDIRECTEVAPORATIVECOOLINGTOWERORCOILCOOLER."
  If Wert = hvacECT_INDIRECTDIRECTCOMBINATION Then Res = ".INDIRECTDIRECTCOMBINATION."
  If Wert = hvacECT_USERDEFINED Then Res = ".USERDEFINED."
  If Wert = hvacECT_NOTDEFINED Then Res = ".NOTDEFINED."
  IfcEvaporativeCoolerTypeEnum_to_STEP = Res
End Function
Public Function STEP_to_IfcEvaporativeCoolerTypeEnum(Wert as String) As IfcEvaporativeCoolerTypeEnum
  Dim Res as IfcEvaporativeCoolerTypeEnum
  If Wert = ".DIRECTEVAPORATIVERANDOMMEDIAAIRCOOLER." Then Res = hvacECT_DIRECTEVAPORATIVERANDOMMEDIAAIRCOOLER
  If Wert = ".DIRECTEVAPORATIVERIGIDMEDIAAIRCOOLER." Then Res = hvacECT_DIRECTEVAPORATIVERIGIDMEDIAAIRCOOLER
  If Wert = ".DIRECTEVAPORATIVESLINGERSPACKAGEDAIRCOOLER." Then Res = hvacECT_DIRECTEVAPORATIVESLINGERSPACKAGEDAIRCOOLER
  If Wert = ".DIRECTEVAPORATIVEPACKAGEDROTARYAIRCOOLER." Then Res = hvacECT_DIRECTEVAPORATIVEPACKAGEDROTARYAIRCOOLER
  If Wert = ".DIRECTEVAPORATIVEAIRWASHER." Then Res = hvacECT_DIRECTEVAPORATIVEAIRWASHER
  If Wert = ".INDIRECTEVAPORATIVEPACKAGEAIRCOOLER." Then Res = hvacECT_INDIRECTEVAPORATIVEPACKAGEAIRCOOLER
  If Wert = ".INDIRECTEVAPORATIVEWETCOIL." Then Res = hvacECT_INDIRECTEVAPORATIVEWETCOIL
  If Wert = ".INDIRECTEVAPORATIVECOOLINGTOWERORCOILCOOLER." Then Res = hvacECT_INDIRECTEVAPORATIVECOOLINGTOWERORCOILCOOLER
  If Wert = ".INDIRECTDIRECTCOMBINATION." Then Res = hvacECT_INDIRECTDIRECTCOMBINATION
  If Wert = ".USERDEFINED." Then Res = hvacECT_USERDEFINED
  If Wert = ".NOTDEFINED." Then Res = hvacECT_NOTDEFINED
  STEP_to_IfcEvaporativeCoolerTypeEnum = Res
End Function</t>
  </si>
  <si>
    <t>Public Enum IfcEvaporatorTypeEnum
  hvacET_DIRECTEXPANSIONSHELLANDTUBE = 1
  hvacET_DIRECTEXPANSIONTUBEINTUBE = 2
  hvacET_DIRECTEXPANSIONBRAZEDPLATE = 3
  hvacET_FLOODEDSHELLANDTUBE = 4
  hvacET_SHELLANDCOIL = 5
  hvacET_USERDEFINED = 6
  hvacET_NOTDEFINED = 7
End Enum
Public Function IfcEvaporatorTypeEnum_to_STEP(Wert as IfcEvaporatorTypeEnum) As String
  Dim Res as String
  If Wert = hvacET_DIRECTEXPANSIONSHELLANDTUBE Then Res = ".DIRECTEXPANSIONSHELLANDTUBE."
  If Wert = hvacET_DIRECTEXPANSIONTUBEINTUBE Then Res = ".DIRECTEXPANSIONTUBEINTUBE."
  If Wert = hvacET_DIRECTEXPANSIONBRAZEDPLATE Then Res = ".DIRECTEXPANSIONBRAZEDPLATE."
  If Wert = hvacET_FLOODEDSHELLANDTUBE Then Res = ".FLOODEDSHELLANDTUBE."
  If Wert = hvacET_SHELLANDCOIL Then Res = ".SHELLANDCOIL."
  If Wert = hvacET_USERDEFINED Then Res = ".USERDEFINED."
  If Wert = hvacET_NOTDEFINED Then Res = ".NOTDEFINED."
  IfcEvaporatorTypeEnum_to_STEP = Res
End Function
Public Function STEP_to_IfcEvaporatorTypeEnum(Wert as String) As IfcEvaporatorTypeEnum
  Dim Res as IfcEvaporatorTypeEnum
  If Wert = ".DIRECTEXPANSIONSHELLANDTUBE." Then Res = hvacET_DIRECTEXPANSIONSHELLANDTUBE
  If Wert = ".DIRECTEXPANSIONTUBEINTUBE." Then Res = hvacET_DIRECTEXPANSIONTUBEINTUBE
  If Wert = ".DIRECTEXPANSIONBRAZEDPLATE." Then Res = hvacET_DIRECTEXPANSIONBRAZEDPLATE
  If Wert = ".FLOODEDSHELLANDTUBE." Then Res = hvacET_FLOODEDSHELLANDTUBE
  If Wert = ".SHELLANDCOIL." Then Res = hvacET_SHELLANDCOIL
  If Wert = ".USERDEFINED." Then Res = hvacET_USERDEFINED
  If Wert = ".NOTDEFINED." Then Res = hvacET_NOTDEFINED
  STEP_to_IfcEvaporatorTypeEnum = Res
End Function</t>
  </si>
  <si>
    <t>Public Enum IfcFanTypeEnum
  hvacFaT_CENTRIFUGALFORWARDCURVED = 1
  hvacFaT_CENTRIFUGALRADIAL = 2
  hvacFaT_CENTRIFUGALBACKWARDINCLINEDCURVED = 3
  hvacFaT_CENTRIFUGALAIRFOIL = 4
  hvacFaT_TUBEAXIAL = 5
  hvacFaT_VANEAXIAL = 6
  hvacFaT_PROPELLORAXIAL = 7
  hvacFaT_USERDEFINED = 8
  hvacFaT_NOTDEFINED = 9
End Enum
Public Function IfcFanTypeEnum_to_STEP(Wert as IfcFanTypeEnum) As String
  Dim Res as String
  If Wert = hvacFaT_CENTRIFUGALFORWARDCURVED Then Res = ".CENTRIFUGALFORWARDCURVED."
  If Wert = hvacFaT_CENTRIFUGALRADIAL Then Res = ".CENTRIFUGALRADIAL."
  If Wert = hvacFaT_CENTRIFUGALBACKWARDINCLINEDCURVED Then Res = ".CENTRIFUGALBACKWARDINCLINEDCURVED."
  If Wert = hvacFaT_CENTRIFUGALAIRFOIL Then Res = ".CENTRIFUGALAIRFOIL."
  If Wert = hvacFaT_TUBEAXIAL Then Res = ".TUBEAXIAL."
  If Wert = hvacFaT_VANEAXIAL Then Res = ".VANEAXIAL."
  If Wert = hvacFaT_PROPELLORAXIAL Then Res = ".PROPELLORAXIAL."
  If Wert = hvacFaT_USERDEFINED Then Res = ".USERDEFINED."
  If Wert = hvacFaT_NOTDEFINED Then Res = ".NOTDEFINED."
  IfcFanTypeEnum_to_STEP = Res
End Function
Public Function STEP_to_IfcFanTypeEnum(Wert as String) As IfcFanTypeEnum
  Dim Res as IfcFanTypeEnum
  If Wert = ".CENTRIFUGALFORWARDCURVED." Then Res = hvacFaT_CENTRIFUGALFORWARDCURVED
  If Wert = ".CENTRIFUGALRADIAL." Then Res = hvacFaT_CENTRIFUGALRADIAL
  If Wert = ".CENTRIFUGALBACKWARDINCLINEDCURVED." Then Res = hvacFaT_CENTRIFUGALBACKWARDINCLINEDCURVED
  If Wert = ".CENTRIFUGALAIRFOIL." Then Res = hvacFaT_CENTRIFUGALAIRFOIL
  If Wert = ".TUBEAXIAL." Then Res = hvacFaT_TUBEAXIAL
  If Wert = ".VANEAXIAL." Then Res = hvacFaT_VANEAXIAL
  If Wert = ".PROPELLORAXIAL." Then Res = hvacFaT_PROPELLORAXIAL
  If Wert = ".USERDEFINED." Then Res = hvacFaT_USERDEFINED
  If Wert = ".NOTDEFINED." Then Res = hvacFaT_NOTDEFINED
  STEP_to_IfcFanTypeEnum = Res
End Function</t>
  </si>
  <si>
    <t>Public Enum IfcFilterTypeEnum
  hvacFiT_AIRPARTICLEFILTER = 1
  hvacFiT_ODORFILTER = 2
  hvacFiT_OILFILTER = 3
  hvacFiT_STRAINER = 4
  hvacFiT_WATERFILTER = 5
  hvacFiT_USERDEFINED = 6
  hvacFiT_NOTDEFINED = 7
End Enum
Public Function IfcFilterTypeEnum_to_STEP(Wert as IfcFilterTypeEnum) As String
  Dim Res as String
  If Wert = hvacFiT_AIRPARTICLEFILTER Then Res = ".AIRPARTICLEFILTER."
  If Wert = hvacFiT_ODORFILTER Then Res = ".ODORFILTER."
  If Wert = hvacFiT_OILFILTER Then Res = ".OILFILTER."
  If Wert = hvacFiT_STRAINER Then Res = ".STRAINER."
  If Wert = hvacFiT_WATERFILTER Then Res = ".WATERFILTER."
  If Wert = hvacFiT_USERDEFINED Then Res = ".USERDEFINED."
  If Wert = hvacFiT_NOTDEFINED Then Res = ".NOTDEFINED."
  IfcFilterTypeEnum_to_STEP = Res
End Function
Public Function STEP_to_IfcFilterTypeEnum(Wert as String) As IfcFilterTypeEnum
  Dim Res as IfcFilterTypeEnum
  If Wert = ".AIRPARTICLEFILTER." Then Res = hvacFiT_AIRPARTICLEFILTER
  If Wert = ".ODORFILTER." Then Res = hvacFiT_ODORFILTER
  If Wert = ".OILFILTER." Then Res = hvacFiT_OILFILTER
  If Wert = ".STRAINER." Then Res = hvacFiT_STRAINER
  If Wert = ".WATERFILTER." Then Res = hvacFiT_WATERFILTER
  If Wert = ".USERDEFINED." Then Res = hvacFiT_USERDEFINED
  If Wert = ".NOTDEFINED." Then Res = hvacFiT_NOTDEFINED
  STEP_to_IfcFilterTypeEnum = Res
End Function</t>
  </si>
  <si>
    <t>Public Enum IfcFireSuppressionTerminalTypeEnum
  pfpFSTT_BREECHINGINLET = 1
  pfpFSTT_FIREHYDRANT = 2
  pfpFSTT_HOSEREEL = 3
  pfpFSTT_SPRINKLER = 4
  pfpFSTT_SPRINKLERDEFLECTOR = 5
  pfpFSTT_USERDEFINED = 6
  pfpFSTT_NOTDEFINED = 7
End Enum
Public Function IfcFireSuppressionTerminalTypeEnum_to_STEP(Wert as IfcFireSuppressionTerminalTypeEnum) As String
  Dim Res as String
  If Wert = pfpFSTT_BREECHINGINLET Then Res = ".BREECHINGINLET."
  If Wert = pfpFSTT_FIREHYDRANT Then Res = ".FIREHYDRANT."
  If Wert = pfpFSTT_HOSEREEL Then Res = ".HOSEREEL."
  If Wert = pfpFSTT_SPRINKLER Then Res = ".SPRINKLER."
  If Wert = pfpFSTT_SPRINKLERDEFLECTOR Then Res = ".SPRINKLERDEFLECTOR."
  If Wert = pfpFSTT_USERDEFINED Then Res = ".USERDEFINED."
  If Wert = pfpFSTT_NOTDEFINED Then Res = ".NOTDEFINED."
  IfcFireSuppressionTerminalTypeEnum_to_STEP = Res
End Function
Public Function STEP_to_IfcFireSuppressionTerminalTypeEnum(Wert as String) As IfcFireSuppressionTerminalTypeEnum
  Dim Res as IfcFireSuppressionTerminalTypeEnum
  If Wert = ".BREECHINGINLET." Then Res = pfpFSTT_BREECHINGINLET
  If Wert = ".FIREHYDRANT." Then Res = pfpFSTT_FIREHYDRANT
  If Wert = ".HOSEREEL." Then Res = pfpFSTT_HOSEREEL
  If Wert = ".SPRINKLER." Then Res = pfpFSTT_SPRINKLER
  If Wert = ".SPRINKLERDEFLECTOR." Then Res = pfpFSTT_SPRINKLERDEFLECTOR
  If Wert = ".USERDEFINED." Then Res = pfpFSTT_USERDEFINED
  If Wert = ".NOTDEFINED." Then Res = pfpFSTT_NOTDEFINED
  STEP_to_IfcFireSuppressionTerminalTypeEnum = Res
End Function</t>
  </si>
  <si>
    <t>Public Enum IfcFlowDirectionEnum
  sbsFD_SOURCE = 1
  sbsFD_SINK = 2
  sbsFD_SOURCEANDSINK = 3
  sbsFD_NOTDEFINED = 4
End Enum
Public Function IfcFlowDirectionEnum_to_STEP(Wert as IfcFlowDirectionEnum) As String
  Dim Res as String
  If Wert = sbsFD_SOURCE Then Res = ".SOURCE."
  If Wert = sbsFD_SINK Then Res = ".SINK."
  If Wert = sbsFD_SOURCEANDSINK Then Res = ".SOURCEANDSINK."
  If Wert = sbsFD_NOTDEFINED Then Res = ".NOTDEFINED."
  IfcFlowDirectionEnum_to_STEP = Res
End Function
Public Function STEP_to_IfcFlowDirectionEnum(Wert as String) As IfcFlowDirectionEnum
  Dim Res as IfcFlowDirectionEnum
  If Wert = ".SOURCE." Then Res = sbsFD_SOURCE
  If Wert = ".SINK." Then Res = sbsFD_SINK
  If Wert = ".SOURCEANDSINK." Then Res = sbsFD_SOURCEANDSINK
  If Wert = ".NOTDEFINED." Then Res = sbsFD_NOTDEFINED
  STEP_to_IfcFlowDirectionEnum = Res
End Function</t>
  </si>
  <si>
    <t>Public Enum IfcFlowInstrumentTypeEnum
  bldFIT_PRESSUREGAUGE = 1
  bldFIT_THERMOMETER = 2
  bldFIT_AMMETER = 3
  bldFIT_FREQUENCYMETER = 4
  bldFIT_POWERFACTORMETER = 5
  bldFIT_PHASEANGLEMETER = 6
  bldFIT_VOLTMETER_PEAK = 7
  bldFIT_VOLTMETER_RMS = 8
  bldFIT_USERDEFINED = 9
  bldFIT_NOTDEFINED = 10
End Enum
Public Function IfcFlowInstrumentTypeEnum_to_STEP(Wert as IfcFlowInstrumentTypeEnum) As String
  Dim Res as String
  If Wert = bldFIT_PRESSUREGAUGE Then Res = ".PRESSUREGAUGE."
  If Wert = bldFIT_THERMOMETER Then Res = ".THERMOMETER."
  If Wert = bldFIT_AMMETER Then Res = ".AMMETER."
  If Wert = bldFIT_FREQUENCYMETER Then Res = ".FREQUENCYMETER."
  If Wert = bldFIT_POWERFACTORMETER Then Res = ".POWERFACTORMETER."
  If Wert = bldFIT_PHASEANGLEMETER Then Res = ".PHASEANGLEMETER."
  If Wert = bldFIT_VOLTMETER_PEAK Then Res = ".VOLTMETER_PEAK."
  If Wert = bldFIT_VOLTMETER_RMS Then Res = ".VOLTMETER_RMS."
  If Wert = bldFIT_USERDEFINED Then Res = ".USERDEFINED."
  If Wert = bldFIT_NOTDEFINED Then Res = ".NOTDEFINED."
  IfcFlowInstrumentTypeEnum_to_STEP = Res
End Function
Public Function STEP_to_IfcFlowInstrumentTypeEnum(Wert as String) As IfcFlowInstrumentTypeEnum
  Dim Res as IfcFlowInstrumentTypeEnum
  If Wert = ".PRESSUREGAUGE." Then Res = bldFIT_PRESSUREGAUGE
  If Wert = ".THERMOMETER." Then Res = bldFIT_THERMOMETER
  If Wert = ".AMMETER." Then Res = bldFIT_AMMETER
  If Wert = ".FREQUENCYMETER." Then Res = bldFIT_FREQUENCYMETER
  If Wert = ".POWERFACTORMETER." Then Res = bldFIT_POWERFACTORMETER
  If Wert = ".PHASEANGLEMETER." Then Res = bldFIT_PHASEANGLEMETER
  If Wert = ".VOLTMETER_PEAK." Then Res = bldFIT_VOLTMETER_PEAK
  If Wert = ".VOLTMETER_RMS." Then Res = bldFIT_VOLTMETER_RMS
  If Wert = ".USERDEFINED." Then Res = bldFIT_USERDEFINED
  If Wert = ".NOTDEFINED." Then Res = bldFIT_NOTDEFINED
  STEP_to_IfcFlowInstrumentTypeEnum = Res
End Function</t>
  </si>
  <si>
    <t>Public Enum IfcFlowMeterTypeEnum
  hvacFMT_ELECTRICMETER = 1
  hvacFMT_ENERGYMETER = 2
  hvacFMT_FLOWMETER = 3
  hvacFMT_GASMETER = 4
  hvacFMT_OILMETER = 5
  hvacFMT_WATERMETER = 6
  hvacFMT_USERDEFINED = 7
  hvacFMT_NOTDEFINED = 8
End Enum
Public Function IfcFlowMeterTypeEnum_to_STEP(Wert as IfcFlowMeterTypeEnum) As String
  Dim Res as String
  If Wert = hvacFMT_ELECTRICMETER Then Res = ".ELECTRICMETER."
  If Wert = hvacFMT_ENERGYMETER Then Res = ".ENERGYMETER."
  If Wert = hvacFMT_FLOWMETER Then Res = ".FLOWMETER."
  If Wert = hvacFMT_GASMETER Then Res = ".GASMETER."
  If Wert = hvacFMT_OILMETER Then Res = ".OILMETER."
  If Wert = hvacFMT_WATERMETER Then Res = ".WATERMETER."
  If Wert = hvacFMT_USERDEFINED Then Res = ".USERDEFINED."
  If Wert = hvacFMT_NOTDEFINED Then Res = ".NOTDEFINED."
  IfcFlowMeterTypeEnum_to_STEP = Res
End Function
Public Function STEP_to_IfcFlowMeterTypeEnum(Wert as String) As IfcFlowMeterTypeEnum
  Dim Res as IfcFlowMeterTypeEnum
  If Wert = ".ELECTRICMETER." Then Res = hvacFMT_ELECTRICMETER
  If Wert = ".ENERGYMETER." Then Res = hvacFMT_ENERGYMETER
  If Wert = ".FLOWMETER." Then Res = hvacFMT_FLOWMETER
  If Wert = ".GASMETER." Then Res = hvacFMT_GASMETER
  If Wert = ".OILMETER." Then Res = hvacFMT_OILMETER
  If Wert = ".WATERMETER." Then Res = hvacFMT_WATERMETER
  If Wert = ".USERDEFINED." Then Res = hvacFMT_USERDEFINED
  If Wert = ".NOTDEFINED." Then Res = hvacFMT_NOTDEFINED
  STEP_to_IfcFlowMeterTypeEnum = Res
End Function</t>
  </si>
  <si>
    <t>Public Enum IfcFootingTypeEnum
  stcFT_FOOTING_BEAM = 1
  stcFT_PAD_FOOTING = 2
  stcFT_PILE_CAP = 3
  stcFT_STRIP_FOOTING = 4
  stcFT_USERDEFINED = 5
  stcFT_NOTDEFINED = 6
End Enum
Public Function IfcFootingTypeEnum_to_STEP(Wert as IfcFootingTypeEnum) As String
  Dim Res as String
  If Wert = stcFT_FOOTING_BEAM Then Res = ".FOOTING_BEAM."
  If Wert = stcFT_PAD_FOOTING Then Res = ".PAD_FOOTING."
  If Wert = stcFT_PILE_CAP Then Res = ".PILE_CAP."
  If Wert = stcFT_STRIP_FOOTING Then Res = ".STRIP_FOOTING."
  If Wert = stcFT_USERDEFINED Then Res = ".USERDEFINED."
  If Wert = stcFT_NOTDEFINED Then Res = ".NOTDEFINED."
  IfcFootingTypeEnum_to_STEP = Res
End Function
Public Function STEP_to_IfcFootingTypeEnum(Wert as String) As IfcFootingTypeEnum
  Dim Res as IfcFootingTypeEnum
  If Wert = ".FOOTING_BEAM." Then Res = stcFT_FOOTING_BEAM
  If Wert = ".PAD_FOOTING." Then Res = stcFT_PAD_FOOTING
  If Wert = ".PILE_CAP." Then Res = stcFT_PILE_CAP
  If Wert = ".STRIP_FOOTING." Then Res = stcFT_STRIP_FOOTING
  If Wert = ".USERDEFINED." Then Res = stcFT_USERDEFINED
  If Wert = ".NOTDEFINED." Then Res = stcFT_NOTDEFINED
  STEP_to_IfcFootingTypeEnum = Res
End Function</t>
  </si>
  <si>
    <t>Public Enum IfcGasTerminalTypeEnum
  hvacGTT_GASAPPLIANCE = 1
  hvacGTT_GASBOOSTER = 2
  hvacGTT_GASBURNER = 3
  hvacGTT_USERDEFINED = 4
  hvacGTT_NOTDEFINED = 5
End Enum
Public Function IfcGasTerminalTypeEnum_to_STEP(Wert as IfcGasTerminalTypeEnum) As String
  Dim Res as String
  If Wert = hvacGTT_GASAPPLIANCE Then Res = ".GASAPPLIANCE."
  If Wert = hvacGTT_GASBOOSTER Then Res = ".GASBOOSTER."
  If Wert = hvacGTT_GASBURNER Then Res = ".GASBURNER."
  If Wert = hvacGTT_USERDEFINED Then Res = ".USERDEFINED."
  If Wert = hvacGTT_NOTDEFINED Then Res = ".NOTDEFINED."
  IfcGasTerminalTypeEnum_to_STEP = Res
End Function
Public Function STEP_to_IfcGasTerminalTypeEnum(Wert as String) As IfcGasTerminalTypeEnum
  Dim Res as IfcGasTerminalTypeEnum
  If Wert = ".GASAPPLIANCE." Then Res = hvacGTT_GASAPPLIANCE
  If Wert = ".GASBOOSTER." Then Res = hvacGTT_GASBOOSTER
  If Wert = ".GASBURNER." Then Res = hvacGTT_GASBURNER
  If Wert = ".USERDEFINED." Then Res = hvacGTT_USERDEFINED
  If Wert = ".NOTDEFINED." Then Res = hvacGTT_NOTDEFINED
  STEP_to_IfcGasTerminalTypeEnum = Res
End Function</t>
  </si>
  <si>
    <t>Public Enum IfcGeometricProjectionEnum
  repGP_GRAPH_VIEW = 1
  repGP_SKETCH_VIEW = 2
  repGP_MODEL_VIEW = 3
  repGP_PLAN_VIEW = 4
  repGP_REFLECTED_PLAN_VIEW = 5
  repGP_SECTION_VIEW = 6
  repGP_ELEVATION_VIEW = 7
  repGP_USERDEFINED = 8
  repGP_NOTDEFINED = 9
End Enum
Public Function IfcGeometricProjectionEnum_to_STEP(Wert as IfcGeometricProjectionEnum) As String
  Dim Res as String
  If Wert = repGP_GRAPH_VIEW Then Res = ".GRAPH_VIEW."
  If Wert = repGP_SKETCH_VIEW Then Res = ".SKETCH_VIEW."
  If Wert = repGP_MODEL_VIEW Then Res = ".MODEL_VIEW."
  If Wert = repGP_PLAN_VIEW Then Res = ".PLAN_VIEW."
  If Wert = repGP_REFLECTED_PLAN_VIEW Then Res = ".REFLECTED_PLAN_VIEW."
  If Wert = repGP_SECTION_VIEW Then Res = ".SECTION_VIEW."
  If Wert = repGP_ELEVATION_VIEW Then Res = ".ELEVATION_VIEW."
  If Wert = repGP_USERDEFINED Then Res = ".USERDEFINED."
  If Wert = repGP_NOTDEFINED Then Res = ".NOTDEFINED."
  IfcGeometricProjectionEnum_to_STEP = Res
End Function
Public Function STEP_to_IfcGeometricProjectionEnum(Wert as String) As IfcGeometricProjectionEnum
  Dim Res as IfcGeometricProjectionEnum
  If Wert = ".GRAPH_VIEW." Then Res = repGP_GRAPH_VIEW
  If Wert = ".SKETCH_VIEW." Then Res = repGP_SKETCH_VIEW
  If Wert = ".MODEL_VIEW." Then Res = repGP_MODEL_VIEW
  If Wert = ".PLAN_VIEW." Then Res = repGP_PLAN_VIEW
  If Wert = ".REFLECTED_PLAN_VIEW." Then Res = repGP_REFLECTED_PLAN_VIEW
  If Wert = ".SECTION_VIEW." Then Res = repGP_SECTION_VIEW
  If Wert = ".ELEVATION_VIEW." Then Res = repGP_ELEVATION_VIEW
  If Wert = ".USERDEFINED." Then Res = repGP_USERDEFINED
  If Wert = ".NOTDEFINED." Then Res = repGP_NOTDEFINED
  STEP_to_IfcGeometricProjectionEnum = Res
End Function</t>
  </si>
  <si>
    <t>Public Enum IfcGlobalOrLocalEnum
  repGOL_GLOBAL_COORDS = 1
  repGOL_LOCAL_COORDS = 2
End Enum
Public Function IfcGlobalOrLocalEnum_to_STEP(Wert as IfcGlobalOrLocalEnum) As String
  Dim Res as String
  If Wert = repGOL_GLOBAL_COORDS Then Res = ".GLOBAL_COORDS."
  If Wert = repGOL_LOCAL_COORDS Then Res = ".LOCAL_COORDS."
  IfcGlobalOrLocalEnum_to_STEP = Res
End Function
Public Function STEP_to_IfcGlobalOrLocalEnum(Wert as String) As IfcGlobalOrLocalEnum
  Dim Res as IfcGlobalOrLocalEnum
  If Wert = ".GLOBAL_COORDS." Then Res = repGOL_GLOBAL_COORDS
  If Wert = ".LOCAL_COORDS." Then Res = repGOL_LOCAL_COORDS
  STEP_to_IfcGlobalOrLocalEnum = Res
End Function</t>
  </si>
  <si>
    <t>Public Enum IfcHeatExchangerTypeEnum
  hvacHET_PLATE = 1
  hvacHET_SHELLANDTUBE = 2
  hvacHET_USERDEFINED = 3
  hvacHET_NOTDEFINED = 4
End Enum
Public Function IfcHeatExchangerTypeEnum_to_STEP(Wert as IfcHeatExchangerTypeEnum) As String
  Dim Res as String
  If Wert = hvacHET_PLATE Then Res = ".PLATE."
  If Wert = hvacHET_SHELLANDTUBE Then Res = ".SHELLANDTUBE."
  If Wert = hvacHET_USERDEFINED Then Res = ".USERDEFINED."
  If Wert = hvacHET_NOTDEFINED Then Res = ".NOTDEFINED."
  IfcHeatExchangerTypeEnum_to_STEP = Res
End Function
Public Function STEP_to_IfcHeatExchangerTypeEnum(Wert as String) As IfcHeatExchangerTypeEnum
  Dim Res as IfcHeatExchangerTypeEnum
  If Wert = ".PLATE." Then Res = hvacHET_PLATE
  If Wert = ".SHELLANDTUBE." Then Res = hvacHET_SHELLANDTUBE
  If Wert = ".USERDEFINED." Then Res = hvacHET_USERDEFINED
  If Wert = ".NOTDEFINED." Then Res = hvacHET_NOTDEFINED
  STEP_to_IfcHeatExchangerTypeEnum = Res
End Function</t>
  </si>
  <si>
    <t>Public Enum IfcHumidifierTypeEnum
  hvacHT_STEAMINJECTION = 1
  hvacHT_ADIABATICAIRWASHER = 2
  hvacHT_ADIABATICPAN = 3
  hvacHT_ADIABATICWETTEDELEMENT = 4
  hvacHT_ADIABATICATOMIZING = 5
  hvacHT_ADIABATICULTRASONIC = 6
  hvacHT_ADIABATICRIGIDMEDIA = 7
  hvacHT_ADIABATICCOMPRESSEDAIRNOZZLE = 8
  hvacHT_ASSISTEDELECTRIC = 9
  hvacHT_ASSISTEDNATURALGAS = 10
  hvacHT_ASSISTEDPROPANE = 11
  hvacHT_ASSISTEDBUTANE = 12
  hvacHT_ASSISTEDSTEAM = 13
  hvacHT_USERDEFINED = 14
  hvacHT_NOTDEFINED = 15
End Enum
Public Function IfcHumidifierTypeEnum_to_STEP(Wert as IfcHumidifierTypeEnum) As String
  Dim Res as String
  If Wert = hvacHT_STEAMINJECTION Then Res = ".STEAMINJECTION."
  If Wert = hvacHT_ADIABATICAIRWASHER Then Res = ".ADIABATICAIRWASHER."
  If Wert = hvacHT_ADIABATICPAN Then Res = ".ADIABATICPAN."
  If Wert = hvacHT_ADIABATICWETTEDELEMENT Then Res = ".ADIABATICWETTEDELEMENT."
  If Wert = hvacHT_ADIABATICATOMIZING Then Res = ".ADIABATICATOMIZING."
  If Wert = hvacHT_ADIABATICULTRASONIC Then Res = ".ADIABATICULTRASONIC."
  If Wert = hvacHT_ADIABATICRIGIDMEDIA Then Res = ".ADIABATICRIGIDMEDIA."
  If Wert = hvacHT_ADIABATICCOMPRESSEDAIRNOZZLE Then Res = ".ADIABATICCOMPRESSEDAIRNOZZLE."
  If Wert = hvacHT_ASSISTEDELECTRIC Then Res = ".ASSISTEDELECTRIC."
  If Wert = hvacHT_ASSISTEDNATURALGAS Then Res = ".ASSISTEDNATURALGAS."
  If Wert = hvacHT_ASSISTEDPROPANE Then Res = ".ASSISTEDPROPANE."
  If Wert = hvacHT_ASSISTEDBUTANE Then Res = ".ASSISTEDBUTANE."
  If Wert = hvacHT_ASSISTEDSTEAM Then Res = ".ASSISTEDSTEAM."
  If Wert = hvacHT_USERDEFINED Then Res = ".USERDEFINED."
  If Wert = hvacHT_NOTDEFINED Then Res = ".NOTDEFINED."
  IfcHumidifierTypeEnum_to_STEP = Res
End Function
Public Function STEP_to_IfcHumidifierTypeEnum(Wert as String) As IfcHumidifierTypeEnum
  Dim Res as IfcHumidifierTypeEnum
  If Wert = ".STEAMINJECTION." Then Res = hvacHT_STEAMINJECTION
  If Wert = ".ADIABATICAIRWASHER." Then Res = hvacHT_ADIABATICAIRWASHER
  If Wert = ".ADIABATICPAN." Then Res = hvacHT_ADIABATICPAN
  If Wert = ".ADIABATICWETTEDELEMENT." Then Res = hvacHT_ADIABATICWETTEDELEMENT
  If Wert = ".ADIABATICATOMIZING." Then Res = hvacHT_ADIABATICATOMIZING
  If Wert = ".ADIABATICULTRASONIC." Then Res = hvacHT_ADIABATICULTRASONIC
  If Wert = ".ADIABATICRIGIDMEDIA." Then Res = hvacHT_ADIABATICRIGIDMEDIA
  If Wert = ".ADIABATICCOMPRESSEDAIRNOZZLE." Then Res = hvacHT_ADIABATICCOMPRESSEDAIRNOZZLE
  If Wert = ".ASSISTEDELECTRIC." Then Res = hvacHT_ASSISTEDELECTRIC
  If Wert = ".ASSISTEDNATURALGAS." Then Res = hvacHT_ASSISTEDNATURALGAS
  If Wert = ".ASSISTEDPROPANE." Then Res = hvacHT_ASSISTEDPROPANE
  If Wert = ".ASSISTEDBUTANE." Then Res = hvacHT_ASSISTEDBUTANE
  If Wert = ".ASSISTEDSTEAM." Then Res = hvacHT_ASSISTEDSTEAM
  If Wert = ".USERDEFINED." Then Res = hvacHT_USERDEFINED
  If Wert = ".NOTDEFINED." Then Res = hvacHT_NOTDEFINED
  STEP_to_IfcHumidifierTypeEnum = Res
End Function</t>
  </si>
  <si>
    <t>Public Enum IfcInternalOrExternalEnum
  pocIOE_INTERNAL = 1
  pocIOE_EXTERNAL = 2
  pocIOE_NOTDEFINED = 3
End Enum
Public Function IfcInternalOrExternalEnum_to_STEP(Wert as IfcInternalOrExternalEnum) As String
  Dim Res as String
  If Wert = pocIOE_INTERNAL Then Res = ".INTERNAL."
  If Wert = pocIOE_EXTERNAL Then Res = ".EXTERNAL."
  If Wert = pocIOE_NOTDEFINED Then Res = ".NOTDEFINED."
  IfcInternalOrExternalEnum_to_STEP = Res
End Function
Public Function STEP_to_IfcInternalOrExternalEnum(Wert as String) As IfcInternalOrExternalEnum
  Dim Res as IfcInternalOrExternalEnum
  If Wert = ".INTERNAL." Then Res = pocIOE_INTERNAL
  If Wert = ".EXTERNAL." Then Res = pocIOE_EXTERNAL
  If Wert = ".NOTDEFINED." Then Res = pocIOE_NOTDEFINED
  STEP_to_IfcInternalOrExternalEnum = Res
End Function</t>
  </si>
  <si>
    <t>Public Enum IfcInventoryTypeEnum
  sfmIT_ASSETINVENTORY = 1
  sfmIT_SPACEINVENTORY = 2
  sfmIT_FURNITUREINVENTORY = 3
  sfmIT_USERDEFINED = 4
  sfmIT_NOTDEFINED = 5
End Enum
Public Function IfcInventoryTypeEnum_to_STEP(Wert as IfcInventoryTypeEnum) As String
  Dim Res as String
  If Wert = sfmIT_ASSETINVENTORY Then Res = ".ASSETINVENTORY."
  If Wert = sfmIT_SPACEINVENTORY Then Res = ".SPACEINVENTORY."
  If Wert = sfmIT_FURNITUREINVENTORY Then Res = ".FURNITUREINVENTORY."
  If Wert = sfmIT_USERDEFINED Then Res = ".USERDEFINED."
  If Wert = sfmIT_NOTDEFINED Then Res = ".NOTDEFINED."
  IfcInventoryTypeEnum_to_STEP = Res
End Function
Public Function STEP_to_IfcInventoryTypeEnum(Wert as String) As IfcInventoryTypeEnum
  Dim Res as IfcInventoryTypeEnum
  If Wert = ".ASSETINVENTORY." Then Res = sfmIT_ASSETINVENTORY
  If Wert = ".SPACEINVENTORY." Then Res = sfmIT_SPACEINVENTORY
  If Wert = ".FURNITUREINVENTORY." Then Res = sfmIT_FURNITUREINVENTORY
  If Wert = ".USERDEFINED." Then Res = sfmIT_USERDEFINED
  If Wert = ".NOTDEFINED." Then Res = sfmIT_NOTDEFINED
  STEP_to_IfcInventoryTypeEnum = Res
End Function</t>
  </si>
  <si>
    <t>Public Enum IfcJunctionBoxTypeEnum
  eleJBT_USERDEFINED = 1
  eleJBT_NOTDEFINED = 2
End Enum
Public Function IfcJunctionBoxTypeEnum_to_STEP(Wert as IfcJunctionBoxTypeEnum) As String
  Dim Res as String
  If Wert = eleJBT_USERDEFINED Then Res = ".USERDEFINED."
  If Wert = eleJBT_NOTDEFINED Then Res = ".NOTDEFINED."
  IfcJunctionBoxTypeEnum_to_STEP = Res
End Function
Public Function STEP_to_IfcJunctionBoxTypeEnum(Wert as String) As IfcJunctionBoxTypeEnum
  Dim Res as IfcJunctionBoxTypeEnum
  If Wert = ".USERDEFINED." Then Res = eleJBT_USERDEFINED
  If Wert = ".NOTDEFINED." Then Res = eleJBT_NOTDEFINED
  STEP_to_IfcJunctionBoxTypeEnum = Res
End Function</t>
  </si>
  <si>
    <t>Public Enum IfcLampTypeEnum
  eleLT_COMPACTFLUORESCENT = 1
  eleLT_FLUORESCENT = 2
  eleLT_HIGHPRESSUREMERCURY = 3
  eleLT_HIGHPRESSURESODIUM = 4
  eleLT_METALHALIDE = 5
  eleLT_TUNGSTENFILAMENT = 6
  eleLT_USERDEFINED = 7
  eleLT_NOTDEFINED = 8
End Enum
Public Function IfcLampTypeEnum_to_STEP(Wert as IfcLampTypeEnum) As String
  Dim Res as String
  If Wert = eleLT_COMPACTFLUORESCENT Then Res = ".COMPACTFLUORESCENT."
  If Wert = eleLT_FLUORESCENT Then Res = ".FLUORESCENT."
  If Wert = eleLT_HIGHPRESSUREMERCURY Then Res = ".HIGHPRESSUREMERCURY."
  If Wert = eleLT_HIGHPRESSURESODIUM Then Res = ".HIGHPRESSURESODIUM."
  If Wert = eleLT_METALHALIDE Then Res = ".METALHALIDE."
  If Wert = eleLT_TUNGSTENFILAMENT Then Res = ".TUNGSTENFILAMENT."
  If Wert = eleLT_USERDEFINED Then Res = ".USERDEFINED."
  If Wert = eleLT_NOTDEFINED Then Res = ".NOTDEFINED."
  IfcLampTypeEnum_to_STEP = Res
End Function
Public Function STEP_to_IfcLampTypeEnum(Wert as String) As IfcLampTypeEnum
  Dim Res as IfcLampTypeEnum
  If Wert = ".COMPACTFLUORESCENT." Then Res = eleLT_COMPACTFLUORESCENT
  If Wert = ".FLUORESCENT." Then Res = eleLT_FLUORESCENT
  If Wert = ".HIGHPRESSUREMERCURY." Then Res = eleLT_HIGHPRESSUREMERCURY
  If Wert = ".HIGHPRESSURESODIUM." Then Res = eleLT_HIGHPRESSURESODIUM
  If Wert = ".METALHALIDE." Then Res = eleLT_METALHALIDE
  If Wert = ".TUNGSTENFILAMENT." Then Res = eleLT_TUNGSTENFILAMENT
  If Wert = ".USERDEFINED." Then Res = eleLT_USERDEFINED
  If Wert = ".NOTDEFINED." Then Res = eleLT_NOTDEFINED
  STEP_to_IfcLampTypeEnum = Res
End Function</t>
  </si>
  <si>
    <t>Public Enum IfcLayerSetDirectionEnum
  matLSD_AXIS1 = 1
  matLSD_AXIS2 = 2
  matLSD_AXIS3 = 3
End Enum
Public Function IfcLayerSetDirectionEnum_to_STEP(Wert as IfcLayerSetDirectionEnum) As String
  Dim Res as String
  If Wert = matLSD_AXIS1 Then Res = ".AXIS1."
  If Wert = matLSD_AXIS2 Then Res = ".AXIS2."
  If Wert = matLSD_AXIS3 Then Res = ".AXIS3."
  IfcLayerSetDirectionEnum_to_STEP = Res
End Function
Public Function STEP_to_IfcLayerSetDirectionEnum(Wert as String) As IfcLayerSetDirectionEnum
  Dim Res as IfcLayerSetDirectionEnum
  If Wert = ".AXIS1." Then Res = matLSD_AXIS1
  If Wert = ".AXIS2." Then Res = matLSD_AXIS2
  If Wert = ".AXIS3." Then Res = matLSD_AXIS3
  STEP_to_IfcLayerSetDirectionEnum = Res
End Function</t>
  </si>
  <si>
    <t>Public Enum IfcLightDistributionCurveEnum
  repLDC_TYPE_A = 1
  repLDC_TYPE_B = 2
  repLDC_TYPE_C = 3
  repLDC_NOTDEFINED = 4
End Enum
Public Function IfcLightDistributionCurveEnum_to_STEP(Wert as IfcLightDistributionCurveEnum) As String
  Dim Res as String
  If Wert = repLDC_TYPE_A Then Res = ".TYPE_A."
  If Wert = repLDC_TYPE_B Then Res = ".TYPE_B."
  If Wert = repLDC_TYPE_C Then Res = ".TYPE_C."
  If Wert = repLDC_NOTDEFINED Then Res = ".NOTDEFINED."
  IfcLightDistributionCurveEnum_to_STEP = Res
End Function
Public Function STEP_to_IfcLightDistributionCurveEnum(Wert as String) As IfcLightDistributionCurveEnum
  Dim Res as IfcLightDistributionCurveEnum
  If Wert = ".TYPE_A." Then Res = repLDC_TYPE_A
  If Wert = ".TYPE_B." Then Res = repLDC_TYPE_B
  If Wert = ".TYPE_C." Then Res = repLDC_TYPE_C
  If Wert = ".NOTDEFINED." Then Res = repLDC_NOTDEFINED
  STEP_to_IfcLightDistributionCurveEnum = Res
End Function</t>
  </si>
  <si>
    <t>Public Enum IfcLightEmissionSourceEnum
  repLES_COMPACTFLUORESCENT = 1
  repLES_FLUORESCENT = 2
  repLES_HIGHPRESSUREMERCURY = 3
  repLES_HIGHPRESSURESODIUM = 4
  repLES_LIGHTEMITTINGDIODE = 5
  repLES_LOWPRESSURESODIUM = 6
  repLES_LOWVOLTAGEHALOGEN = 7
  repLES_MAINVOLTAGEHALOGEN = 8
  repLES_METALHALIDE = 9
  repLES_TUNGSTENFILAMENT = 10
  repLES_NOTDEFINED = 11
End Enum
Public Function IfcLightEmissionSourceEnum_to_STEP(Wert as IfcLightEmissionSourceEnum) As String
  Dim Res as String
  If Wert = repLES_COMPACTFLUORESCENT Then Res = ".COMPACTFLUORESCENT."
  If Wert = repLES_FLUORESCENT Then Res = ".FLUORESCENT."
  If Wert = repLES_HIGHPRESSUREMERCURY Then Res = ".HIGHPRESSUREMERCURY."
  If Wert = repLES_HIGHPRESSURESODIUM Then Res = ".HIGHPRESSURESODIUM."
  If Wert = repLES_LIGHTEMITTINGDIODE Then Res = ".LIGHTEMITTINGDIODE."
  If Wert = repLES_LOWPRESSURESODIUM Then Res = ".LOWPRESSURESODIUM."
  If Wert = repLES_LOWVOLTAGEHALOGEN Then Res = ".LOWVOLTAGEHALOGEN."
  If Wert = repLES_MAINVOLTAGEHALOGEN Then Res = ".MAINVOLTAGEHALOGEN."
  If Wert = repLES_METALHALIDE Then Res = ".METALHALIDE."
  If Wert = repLES_TUNGSTENFILAMENT Then Res = ".TUNGSTENFILAMENT."
  If Wert = repLES_NOTDEFINED Then Res = ".NOTDEFINED."
  IfcLightEmissionSourceEnum_to_STEP = Res
End Function
Public Function STEP_to_IfcLightEmissionSourceEnum(Wert as String) As IfcLightEmissionSourceEnum
  Dim Res as IfcLightEmissionSourceEnum
  If Wert = ".COMPACTFLUORESCENT." Then Res = repLES_COMPACTFLUORESCENT
  If Wert = ".FLUORESCENT." Then Res = repLES_FLUORESCENT
  If Wert = ".HIGHPRESSUREMERCURY." Then Res = repLES_HIGHPRESSUREMERCURY
  If Wert = ".HIGHPRESSURESODIUM." Then Res = repLES_HIGHPRESSURESODIUM
  If Wert = ".LIGHTEMITTINGDIODE." Then Res = repLES_LIGHTEMITTINGDIODE
  If Wert = ".LOWPRESSURESODIUM." Then Res = repLES_LOWPRESSURESODIUM
  If Wert = ".LOWVOLTAGEHALOGEN." Then Res = repLES_LOWVOLTAGEHALOGEN
  If Wert = ".MAINVOLTAGEHALOGEN." Then Res = repLES_MAINVOLTAGEHALOGEN
  If Wert = ".METALHALIDE." Then Res = repLES_METALHALIDE
  If Wert = ".TUNGSTENFILAMENT." Then Res = repLES_TUNGSTENFILAMENT
  If Wert = ".NOTDEFINED." Then Res = repLES_NOTDEFINED
  STEP_to_IfcLightEmissionSourceEnum = Res
End Function</t>
  </si>
  <si>
    <t>Public Enum IfcLightFixtureTypeEnum
  eleLFT_POINTSOURCE = 1
  eleLFT_DIRECTIONSOURCE = 2
  eleLFT_USERDEFINED = 3
  eleLFT_NOTDEFINED = 4
End Enum
Public Function IfcLightFixtureTypeEnum_to_STEP(Wert as IfcLightFixtureTypeEnum) As String
  Dim Res as String
  If Wert = eleLFT_POINTSOURCE Then Res = ".POINTSOURCE."
  If Wert = eleLFT_DIRECTIONSOURCE Then Res = ".DIRECTIONSOURCE."
  If Wert = eleLFT_USERDEFINED Then Res = ".USERDEFINED."
  If Wert = eleLFT_NOTDEFINED Then Res = ".NOTDEFINED."
  IfcLightFixtureTypeEnum_to_STEP = Res
End Function
Public Function STEP_to_IfcLightFixtureTypeEnum(Wert as String) As IfcLightFixtureTypeEnum
  Dim Res as IfcLightFixtureTypeEnum
  If Wert = ".POINTSOURCE." Then Res = eleLFT_POINTSOURCE
  If Wert = ".DIRECTIONSOURCE." Then Res = eleLFT_DIRECTIONSOURCE
  If Wert = ".USERDEFINED." Then Res = eleLFT_USERDEFINED
  If Wert = ".NOTDEFINED." Then Res = eleLFT_NOTDEFINED
  STEP_to_IfcLightFixtureTypeEnum = Res
End Function</t>
  </si>
  <si>
    <t>Public Enum IfcLoadGroupTypeEnum
  stcLGT_LOAD_GROUP = 1
  stcLGT_LOAD_CASE = 2
  stcLGT_LOAD_COMBINATION_GROUP = 3
  stcLGT_LOAD_COMBINATION = 4
  stcLGT_USERDEFINED = 5
  stcLGT_NOTDEFINED = 6
End Enum
Public Function IfcLoadGroupTypeEnum_to_STEP(Wert as IfcLoadGroupTypeEnum) As String
  Dim Res as String
  If Wert = stcLGT_LOAD_GROUP Then Res = ".LOAD_GROUP."
  If Wert = stcLGT_LOAD_CASE Then Res = ".LOAD_CASE."
  If Wert = stcLGT_LOAD_COMBINATION_GROUP Then Res = ".LOAD_COMBINATION_GROUP."
  If Wert = stcLGT_LOAD_COMBINATION Then Res = ".LOAD_COMBINATION."
  If Wert = stcLGT_USERDEFINED Then Res = ".USERDEFINED."
  If Wert = stcLGT_NOTDEFINED Then Res = ".NOTDEFINED."
  IfcLoadGroupTypeEnum_to_STEP = Res
End Function
Public Function STEP_to_IfcLoadGroupTypeEnum(Wert as String) As IfcLoadGroupTypeEnum
  Dim Res as IfcLoadGroupTypeEnum
  If Wert = ".LOAD_GROUP." Then Res = stcLGT_LOAD_GROUP
  If Wert = ".LOAD_CASE." Then Res = stcLGT_LOAD_CASE
  If Wert = ".LOAD_COMBINATION_GROUP." Then Res = stcLGT_LOAD_COMBINATION_GROUP
  If Wert = ".LOAD_COMBINATION." Then Res = stcLGT_LOAD_COMBINATION
  If Wert = ".USERDEFINED." Then Res = stcLGT_USERDEFINED
  If Wert = ".NOTDEFINED." Then Res = stcLGT_NOTDEFINED
  STEP_to_IfcLoadGroupTypeEnum = Res
End Function</t>
  </si>
  <si>
    <t>Public Enum IfcLogicalOperatorEnum
  cstLO_LOGICALAND = 1
  cstLO_LOGICALOR = 2
End Enum
Public Function IfcLogicalOperatorEnum_to_STEP(Wert as IfcLogicalOperatorEnum) As String
  Dim Res as String
  If Wert = cstLO_LOGICALAND Then Res = ".LOGICALAND."
  If Wert = cstLO_LOGICALOR Then Res = ".LOGICALOR."
  IfcLogicalOperatorEnum_to_STEP = Res
End Function
Public Function STEP_to_IfcLogicalOperatorEnum(Wert as String) As IfcLogicalOperatorEnum
  Dim Res as IfcLogicalOperatorEnum
  If Wert = ".LOGICALAND." Then Res = cstLO_LOGICALAND
  If Wert = ".LOGICALOR." Then Res = cstLO_LOGICALOR
  STEP_to_IfcLogicalOperatorEnum = Res
End Function</t>
  </si>
  <si>
    <t>Public Enum IfcMemberTypeEnum
  sbeMT_BRACE = 1
  sbeMT_CHORD = 2
  sbeMT_COLLAR = 3
  sbeMT_MEMBER = 4
  sbeMT_MULLION = 5
  sbeMT_PLATE = 6
  sbeMT_POST = 7
  sbeMT_PURLIN = 8
  sbeMT_RAFTER = 9
  sbeMT_STRINGER = 10
  sbeMT_STRUT = 11
  sbeMT_STUD = 12
  sbeMT_USERDEFINED = 13
  sbeMT_NOTDEFINED = 14
End Enum
Public Function IfcMemberTypeEnum_to_STEP(Wert as IfcMemberTypeEnum) As String
  Dim Res as String
  If Wert = sbeMT_BRACE Then Res = ".BRACE."
  If Wert = sbeMT_CHORD Then Res = ".CHORD."
  If Wert = sbeMT_COLLAR Then Res = ".COLLAR."
  If Wert = sbeMT_MEMBER Then Res = ".MEMBER."
  If Wert = sbeMT_MULLION Then Res = ".MULLION."
  If Wert = sbeMT_PLATE Then Res = ".PLATE."
  If Wert = sbeMT_POST Then Res = ".POST."
  If Wert = sbeMT_PURLIN Then Res = ".PURLIN."
  If Wert = sbeMT_RAFTER Then Res = ".RAFTER."
  If Wert = sbeMT_STRINGER Then Res = ".STRINGER."
  If Wert = sbeMT_STRUT Then Res = ".STRUT."
  If Wert = sbeMT_STUD Then Res = ".STUD."
  If Wert = sbeMT_USERDEFINED Then Res = ".USERDEFINED."
  If Wert = sbeMT_NOTDEFINED Then Res = ".NOTDEFINED."
  IfcMemberTypeEnum_to_STEP = Res
End Function
Public Function STEP_to_IfcMemberTypeEnum(Wert as String) As IfcMemberTypeEnum
  Dim Res as IfcMemberTypeEnum
  If Wert = ".BRACE." Then Res = sbeMT_BRACE
  If Wert = ".CHORD." Then Res = sbeMT_CHORD
  If Wert = ".COLLAR." Then Res = sbeMT_COLLAR
  If Wert = ".MEMBER." Then Res = sbeMT_MEMBER
  If Wert = ".MULLION." Then Res = sbeMT_MULLION
  If Wert = ".PLATE." Then Res = sbeMT_PLATE
  If Wert = ".POST." Then Res = sbeMT_POST
  If Wert = ".PURLIN." Then Res = sbeMT_PURLIN
  If Wert = ".RAFTER." Then Res = sbeMT_RAFTER
  If Wert = ".STRINGER." Then Res = sbeMT_STRINGER
  If Wert = ".STRUT." Then Res = sbeMT_STRUT
  If Wert = ".STUD." Then Res = sbeMT_STUD
  If Wert = ".USERDEFINED." Then Res = sbeMT_USERDEFINED
  If Wert = ".NOTDEFINED." Then Res = sbeMT_NOTDEFINED
  STEP_to_IfcMemberTypeEnum = Res
End Function</t>
  </si>
  <si>
    <t>Public Enum IfcMotorConnectionTypeEnum
  eleMCT_BELTDRIVE = 1
  eleMCT_COUPLING = 2
  eleMCT_DIRECTDRIVE = 3
  eleMCT_USERDEFINED = 4
  eleMCT_NOTDEFINED = 5
End Enum
Public Function IfcMotorConnectionTypeEnum_to_STEP(Wert as IfcMotorConnectionTypeEnum) As String
  Dim Res as String
  If Wert = eleMCT_BELTDRIVE Then Res = ".BELTDRIVE."
  If Wert = eleMCT_COUPLING Then Res = ".COUPLING."
  If Wert = eleMCT_DIRECTDRIVE Then Res = ".DIRECTDRIVE."
  If Wert = eleMCT_USERDEFINED Then Res = ".USERDEFINED."
  If Wert = eleMCT_NOTDEFINED Then Res = ".NOTDEFINED."
  IfcMotorConnectionTypeEnum_to_STEP = Res
End Function
Public Function STEP_to_IfcMotorConnectionTypeEnum(Wert as String) As IfcMotorConnectionTypeEnum
  Dim Res as IfcMotorConnectionTypeEnum
  If Wert = ".BELTDRIVE." Then Res = eleMCT_BELTDRIVE
  If Wert = ".COUPLING." Then Res = eleMCT_COUPLING
  If Wert = ".DIRECTDRIVE." Then Res = eleMCT_DIRECTDRIVE
  If Wert = ".USERDEFINED." Then Res = eleMCT_USERDEFINED
  If Wert = ".NOTDEFINED." Then Res = eleMCT_NOTDEFINED
  STEP_to_IfcMotorConnectionTypeEnum = Res
End Function</t>
  </si>
  <si>
    <t>Public Enum IfcNullStyle
  repNS_NULL = 1
End Enum
Public Function IfcNullStyle_to_STEP(Wert as IfcNullStyle) As String
  Dim Res as String
  If Wert = repNS_NULL Then Res = ".NULL."
  IfcNullStyle_to_STEP = Res
End Function
Public Function STEP_to_IfcNullStyle(Wert as String) As IfcNullStyle
  Dim Res as IfcNullStyle
  If Wert = ".NULL." Then Res = repNS_NULL
  STEP_to_IfcNullStyle = Res
End Function</t>
  </si>
  <si>
    <t>Public Enum IfcObjectiveEnum
  cstO_CODECOMPLIANCE = 1
  cstO_DESIGNINTENT = 2
  cstO_HEALTHANDSAFETY = 3
  cstO_REQUIREMENT = 4
  cstO_SPECIFICATION = 5
  cstO_TRIGGERCONDITION = 6
  cstO_USERDEFINED = 7
  cstO_NOTDEFINED = 8
End Enum
Public Function IfcObjectiveEnum_to_STEP(Wert as IfcObjectiveEnum) As String
  Dim Res as String
  If Wert = cstO_CODECOMPLIANCE Then Res = ".CODECOMPLIANCE."
  If Wert = cstO_DESIGNINTENT Then Res = ".DESIGNINTENT."
  If Wert = cstO_HEALTHANDSAFETY Then Res = ".HEALTHANDSAFETY."
  If Wert = cstO_REQUIREMENT Then Res = ".REQUIREMENT."
  If Wert = cstO_SPECIFICATION Then Res = ".SPECIFICATION."
  If Wert = cstO_TRIGGERCONDITION Then Res = ".TRIGGERCONDITION."
  If Wert = cstO_USERDEFINED Then Res = ".USERDEFINED."
  If Wert = cstO_NOTDEFINED Then Res = ".NOTDEFINED."
  IfcObjectiveEnum_to_STEP = Res
End Function
Public Function STEP_to_IfcObjectiveEnum(Wert as String) As IfcObjectiveEnum
  Dim Res as IfcObjectiveEnum
  If Wert = ".CODECOMPLIANCE." Then Res = cstO_CODECOMPLIANCE
  If Wert = ".DESIGNINTENT." Then Res = cstO_DESIGNINTENT
  If Wert = ".HEALTHANDSAFETY." Then Res = cstO_HEALTHANDSAFETY
  If Wert = ".REQUIREMENT." Then Res = cstO_REQUIREMENT
  If Wert = ".SPECIFICATION." Then Res = cstO_SPECIFICATION
  If Wert = ".TRIGGERCONDITION." Then Res = cstO_TRIGGERCONDITION
  If Wert = ".USERDEFINED." Then Res = cstO_USERDEFINED
  If Wert = ".NOTDEFINED." Then Res = cstO_NOTDEFINED
  STEP_to_IfcObjectiveEnum = Res
End Function</t>
  </si>
  <si>
    <t>Public Enum IfcObjectTypeEnum
  krnOT_PRODUCT = 1
  krnOT_PROCESS = 2
  krnOT_CONTROL = 3
  krnOT_RESOURCE = 4
  krnOT_ACTOR = 5
  krnOT_GROUP = 6
  krnOT_PROJECT = 7
  krnOT_NOTDEFINED = 8
End Enum
Public Function IfcObjectTypeEnum_to_STEP(Wert as IfcObjectTypeEnum) As String
  Dim Res as String
  If Wert = krnOT_PRODUCT Then Res = ".PRODUCT."
  If Wert = krnOT_PROCESS Then Res = ".PROCESS."
  If Wert = krnOT_CONTROL Then Res = ".CONTROL."
  If Wert = krnOT_RESOURCE Then Res = ".RESOURCE."
  If Wert = krnOT_ACTOR Then Res = ".ACTOR."
  If Wert = krnOT_GROUP Then Res = ".GROUP."
  If Wert = krnOT_PROJECT Then Res = ".PROJECT."
  If Wert = krnOT_NOTDEFINED Then Res = ".NOTDEFINED."
  IfcObjectTypeEnum_to_STEP = Res
End Function
Public Function STEP_to_IfcObjectTypeEnum(Wert as String) As IfcObjectTypeEnum
  Dim Res as IfcObjectTypeEnum
  If Wert = ".PRODUCT." Then Res = krnOT_PRODUCT
  If Wert = ".PROCESS." Then Res = krnOT_PROCESS
  If Wert = ".CONTROL." Then Res = krnOT_CONTROL
  If Wert = ".RESOURCE." Then Res = krnOT_RESOURCE
  If Wert = ".ACTOR." Then Res = krnOT_ACTOR
  If Wert = ".GROUP." Then Res = krnOT_GROUP
  If Wert = ".PROJECT." Then Res = krnOT_PROJECT
  If Wert = ".NOTDEFINED." Then Res = krnOT_NOTDEFINED
  STEP_to_IfcObjectTypeEnum = Res
End Function</t>
  </si>
  <si>
    <t>Public Enum IfcOccupantTypeEnum
  sfmOT_ASSIGNEE = 1
  sfmOT_ASSIGNOR = 2
  sfmOT_LESSEE = 3
  sfmOT_LESSOR = 4
  sfmOT_LETTINGAGENT = 5
  sfmOT_OWNER = 6
  sfmOT_TENANT = 7
  sfmOT_USERDEFINED = 8
  sfmOT_NOTDEFINED = 9
End Enum
Public Function IfcOccupantTypeEnum_to_STEP(Wert as IfcOccupantTypeEnum) As String
  Dim Res as String
  If Wert = sfmOT_ASSIGNEE Then Res = ".ASSIGNEE."
  If Wert = sfmOT_ASSIGNOR Then Res = ".ASSIGNOR."
  If Wert = sfmOT_LESSEE Then Res = ".LESSEE."
  If Wert = sfmOT_LESSOR Then Res = ".LESSOR."
  If Wert = sfmOT_LETTINGAGENT Then Res = ".LETTINGAGENT."
  If Wert = sfmOT_OWNER Then Res = ".OWNER."
  If Wert = sfmOT_TENANT Then Res = ".TENANT."
  If Wert = sfmOT_USERDEFINED Then Res = ".USERDEFINED."
  If Wert = sfmOT_NOTDEFINED Then Res = ".NOTDEFINED."
  IfcOccupantTypeEnum_to_STEP = Res
End Function
Public Function STEP_to_IfcOccupantTypeEnum(Wert as String) As IfcOccupantTypeEnum
  Dim Res as IfcOccupantTypeEnum
  If Wert = ".ASSIGNEE." Then Res = sfmOT_ASSIGNEE
  If Wert = ".ASSIGNOR." Then Res = sfmOT_ASSIGNOR
  If Wert = ".LESSEE." Then Res = sfmOT_LESSEE
  If Wert = ".LESSOR." Then Res = sfmOT_LESSOR
  If Wert = ".LETTINGAGENT." Then Res = sfmOT_LETTINGAGENT
  If Wert = ".OWNER." Then Res = sfmOT_OWNER
  If Wert = ".TENANT." Then Res = sfmOT_TENANT
  If Wert = ".USERDEFINED." Then Res = sfmOT_USERDEFINED
  If Wert = ".NOTDEFINED." Then Res = sfmOT_NOTDEFINED
  STEP_to_IfcOccupantTypeEnum = Res
End Function</t>
  </si>
  <si>
    <t>Public Enum IfcOutletTypeEnum
  eleOT_AUDIOVISUALOUTLET = 1
  eleOT_COMMUNICATIONSOUTLET = 2
  eleOT_POWEROUTLET = 3
  eleOT_USERDEFINED = 4
  eleOT_NOTDEFINED = 5
End Enum
Public Function IfcOutletTypeEnum_to_STEP(Wert as IfcOutletTypeEnum) As String
  Dim Res as String
  If Wert = eleOT_AUDIOVISUALOUTLET Then Res = ".AUDIOVISUALOUTLET."
  If Wert = eleOT_COMMUNICATIONSOUTLET Then Res = ".COMMUNICATIONSOUTLET."
  If Wert = eleOT_POWEROUTLET Then Res = ".POWEROUTLET."
  If Wert = eleOT_USERDEFINED Then Res = ".USERDEFINED."
  If Wert = eleOT_NOTDEFINED Then Res = ".NOTDEFINED."
  IfcOutletTypeEnum_to_STEP = Res
End Function
Public Function STEP_to_IfcOutletTypeEnum(Wert as String) As IfcOutletTypeEnum
  Dim Res as IfcOutletTypeEnum
  If Wert = ".AUDIOVISUALOUTLET." Then Res = eleOT_AUDIOVISUALOUTLET
  If Wert = ".COMMUNICATIONSOUTLET." Then Res = eleOT_COMMUNICATIONSOUTLET
  If Wert = ".POWEROUTLET." Then Res = eleOT_POWEROUTLET
  If Wert = ".USERDEFINED." Then Res = eleOT_USERDEFINED
  If Wert = ".NOTDEFINED." Then Res = eleOT_NOTDEFINED
  STEP_to_IfcOutletTypeEnum = Res
End Function</t>
  </si>
  <si>
    <t>Public Enum IfcPermeableCoveringOperationEnum
  archPCO_GRILL = 1
  archPCO_LOUVER = 2
  archPCO_SCREEN = 3
  archPCO_USERDEFINED = 4
  archPCO_NOTDEFINED = 5
End Enum
Public Function IfcPermeableCoveringOperationEnum_to_STEP(Wert as IfcPermeableCoveringOperationEnum) As String
  Dim Res as String
  If Wert = archPCO_GRILL Then Res = ".GRILL."
  If Wert = archPCO_LOUVER Then Res = ".LOUVER."
  If Wert = archPCO_SCREEN Then Res = ".SCREEN."
  If Wert = archPCO_USERDEFINED Then Res = ".USERDEFINED."
  If Wert = archPCO_NOTDEFINED Then Res = ".NOTDEFINED."
  IfcPermeableCoveringOperationEnum_to_STEP = Res
End Function
Public Function STEP_to_IfcPermeableCoveringOperationEnum(Wert as String) As IfcPermeableCoveringOperationEnum
  Dim Res as IfcPermeableCoveringOperationEnum
  If Wert = ".GRILL." Then Res = archPCO_GRILL
  If Wert = ".LOUVER." Then Res = archPCO_LOUVER
  If Wert = ".SCREEN." Then Res = archPCO_SCREEN
  If Wert = ".USERDEFINED." Then Res = archPCO_USERDEFINED
  If Wert = ".NOTDEFINED." Then Res = archPCO_NOTDEFINED
  STEP_to_IfcPermeableCoveringOperationEnum = Res
End Function</t>
  </si>
  <si>
    <t>Public Enum IfcPhysicalOrVirtualEnum
  pocPOV_PHYSICAL = 1
  pocPOV_VIRTUAL = 2
  pocPOV_NOTDEFINED = 3
End Enum
Public Function IfcPhysicalOrVirtualEnum_to_STEP(Wert as IfcPhysicalOrVirtualEnum) As String
  Dim Res as String
  If Wert = pocPOV_PHYSICAL Then Res = ".PHYSICAL."
  If Wert = pocPOV_VIRTUAL Then Res = ".VIRTUAL."
  If Wert = pocPOV_NOTDEFINED Then Res = ".NOTDEFINED."
  IfcPhysicalOrVirtualEnum_to_STEP = Res
End Function
Public Function STEP_to_IfcPhysicalOrVirtualEnum(Wert as String) As IfcPhysicalOrVirtualEnum
  Dim Res as IfcPhysicalOrVirtualEnum
  If Wert = ".PHYSICAL." Then Res = pocPOV_PHYSICAL
  If Wert = ".VIRTUAL." Then Res = pocPOV_VIRTUAL
  If Wert = ".NOTDEFINED." Then Res = pocPOV_NOTDEFINED
  STEP_to_IfcPhysicalOrVirtualEnum = Res
End Function</t>
  </si>
  <si>
    <t>Public Enum IfcPileConstructionEnum
  stcPC_CAST_IN_PLACE = 1
  stcPC_COMPOSITE = 2
  stcPC_PRECAST_CONCRETE = 3
  stcPC_PREFAB_STEEL = 4
  stcPC_USERDEFINED = 5
  stcPC_NOTDEFINED = 6
End Enum
Public Function IfcPileConstructionEnum_to_STEP(Wert as IfcPileConstructionEnum) As String
  Dim Res as String
  If Wert = stcPC_CAST_IN_PLACE Then Res = ".CAST_IN_PLACE."
  If Wert = stcPC_COMPOSITE Then Res = ".COMPOSITE."
  If Wert = stcPC_PRECAST_CONCRETE Then Res = ".PRECAST_CONCRETE."
  If Wert = stcPC_PREFAB_STEEL Then Res = ".PREFAB_STEEL."
  If Wert = stcPC_USERDEFINED Then Res = ".USERDEFINED."
  If Wert = stcPC_NOTDEFINED Then Res = ".NOTDEFINED."
  IfcPileConstructionEnum_to_STEP = Res
End Function
Public Function STEP_to_IfcPileConstructionEnum(Wert as String) As IfcPileConstructionEnum
  Dim Res as IfcPileConstructionEnum
  If Wert = ".CAST_IN_PLACE." Then Res = stcPC_CAST_IN_PLACE
  If Wert = ".COMPOSITE." Then Res = stcPC_COMPOSITE
  If Wert = ".PRECAST_CONCRETE." Then Res = stcPC_PRECAST_CONCRETE
  If Wert = ".PREFAB_STEEL." Then Res = stcPC_PREFAB_STEEL
  If Wert = ".USERDEFINED." Then Res = stcPC_USERDEFINED
  If Wert = ".NOTDEFINED." Then Res = stcPC_NOTDEFINED
  STEP_to_IfcPileConstructionEnum = Res
End Function</t>
  </si>
  <si>
    <t>Public Enum IfcPileTypeEnum
  stcPT_COHESION = 1
  stcPT_FRICTION = 2
  stcPT_SUPPORT = 3
  stcPT_USERDEFINED = 4
  stcPT_NOTDEFINED = 5
End Enum
Public Function IfcPileTypeEnum_to_STEP(Wert as IfcPileTypeEnum) As String
  Dim Res as String
  If Wert = stcPT_COHESION Then Res = ".COHESION."
  If Wert = stcPT_FRICTION Then Res = ".FRICTION."
  If Wert = stcPT_SUPPORT Then Res = ".SUPPORT."
  If Wert = stcPT_USERDEFINED Then Res = ".USERDEFINED."
  If Wert = stcPT_NOTDEFINED Then Res = ".NOTDEFINED."
  IfcPileTypeEnum_to_STEP = Res
End Function
Public Function STEP_to_IfcPileTypeEnum(Wert as String) As IfcPileTypeEnum
  Dim Res as IfcPileTypeEnum
  If Wert = ".COHESION." Then Res = stcPT_COHESION
  If Wert = ".FRICTION." Then Res = stcPT_FRICTION
  If Wert = ".SUPPORT." Then Res = stcPT_SUPPORT
  If Wert = ".USERDEFINED." Then Res = stcPT_USERDEFINED
  If Wert = ".NOTDEFINED." Then Res = stcPT_NOTDEFINED
  STEP_to_IfcPileTypeEnum = Res
End Function</t>
  </si>
  <si>
    <t>Public Enum IfcPipeFittingTypeEnum
  hvacPFT_BEND = 1
  hvacPFT_CONNECTOR = 2
  hvacPFT_ENTRY = 3
  hvacPFT_EXIT = 4
  hvacPFT_JUNCTION = 5
  hvacPFT_OBSTRUCTION = 6
  hvacPFT_TRANSITION = 7
  hvacPFT_USERDEFINED = 8
  hvacPFT_NOTDEFINED = 9
End Enum
Public Function IfcPipeFittingTypeEnum_to_STEP(Wert as IfcPipeFittingTypeEnum) As String
  Dim Res as String
  If Wert = hvacPFT_BEND Then Res = ".BEND."
  If Wert = hvacPFT_CONNECTOR Then Res = ".CONNECTOR."
  If Wert = hvacPFT_ENTRY Then Res = ".ENTRY."
  If Wert = hvacPFT_EXIT Then Res = ".EXIT."
  If Wert = hvacPFT_JUNCTION Then Res = ".JUNCTION."
  If Wert = hvacPFT_OBSTRUCTION Then Res = ".OBSTRUCTION."
  If Wert = hvacPFT_TRANSITION Then Res = ".TRANSITION."
  If Wert = hvacPFT_USERDEFINED Then Res = ".USERDEFINED."
  If Wert = hvacPFT_NOTDEFINED Then Res = ".NOTDEFINED."
  IfcPipeFittingTypeEnum_to_STEP = Res
End Function
Public Function STEP_to_IfcPipeFittingTypeEnum(Wert as String) As IfcPipeFittingTypeEnum
  Dim Res as IfcPipeFittingTypeEnum
  If Wert = ".BEND." Then Res = hvacPFT_BEND
  If Wert = ".CONNECTOR." Then Res = hvacPFT_CONNECTOR
  If Wert = ".ENTRY." Then Res = hvacPFT_ENTRY
  If Wert = ".EXIT." Then Res = hvacPFT_EXIT
  If Wert = ".JUNCTION." Then Res = hvacPFT_JUNCTION
  If Wert = ".OBSTRUCTION." Then Res = hvacPFT_OBSTRUCTION
  If Wert = ".TRANSITION." Then Res = hvacPFT_TRANSITION
  If Wert = ".USERDEFINED." Then Res = hvacPFT_USERDEFINED
  If Wert = ".NOTDEFINED." Then Res = hvacPFT_NOTDEFINED
  STEP_to_IfcPipeFittingTypeEnum = Res
End Function</t>
  </si>
  <si>
    <t>Public Enum IfcPipeSegmentTypeEnum
  hvacPST_FLEXIBLESEGMENT = 1
  hvacPST_RIGIDSEGMENT = 2
  hvacPST_GUTTER = 3
  hvacPST_SPOOL = 4
  hvacPST_USERDEFINED = 5
  hvacPST_NOTDEFINED = 6
End Enum
Public Function IfcPipeSegmentTypeEnum_to_STEP(Wert as IfcPipeSegmentTypeEnum) As String
  Dim Res as String
  If Wert = hvacPST_FLEXIBLESEGMENT Then Res = ".FLEXIBLESEGMENT."
  If Wert = hvacPST_RIGIDSEGMENT Then Res = ".RIGIDSEGMENT."
  If Wert = hvacPST_GUTTER Then Res = ".GUTTER."
  If Wert = hvacPST_SPOOL Then Res = ".SPOOL."
  If Wert = hvacPST_USERDEFINED Then Res = ".USERDEFINED."
  If Wert = hvacPST_NOTDEFINED Then Res = ".NOTDEFINED."
  IfcPipeSegmentTypeEnum_to_STEP = Res
End Function
Public Function STEP_to_IfcPipeSegmentTypeEnum(Wert as String) As IfcPipeSegmentTypeEnum
  Dim Res as IfcPipeSegmentTypeEnum
  If Wert = ".FLEXIBLESEGMENT." Then Res = hvacPST_FLEXIBLESEGMENT
  If Wert = ".RIGIDSEGMENT." Then Res = hvacPST_RIGIDSEGMENT
  If Wert = ".GUTTER." Then Res = hvacPST_GUTTER
  If Wert = ".SPOOL." Then Res = hvacPST_SPOOL
  If Wert = ".USERDEFINED." Then Res = hvacPST_USERDEFINED
  If Wert = ".NOTDEFINED." Then Res = hvacPST_NOTDEFINED
  STEP_to_IfcPipeSegmentTypeEnum = Res
End Function</t>
  </si>
  <si>
    <t>Public Enum IfcPlateTypeEnum
  sbePT_CURTAIN_PANEL = 1
  sbePT_SHEET = 2
  sbePT_USERDEFINED = 3
  sbePT_NOTDEFINED = 4
End Enum
Public Function IfcPlateTypeEnum_to_STEP(Wert as IfcPlateTypeEnum) As String
  Dim Res as String
  If Wert = sbePT_CURTAIN_PANEL Then Res = ".CURTAIN_PANEL."
  If Wert = sbePT_SHEET Then Res = ".SHEET."
  If Wert = sbePT_USERDEFINED Then Res = ".USERDEFINED."
  If Wert = sbePT_NOTDEFINED Then Res = ".NOTDEFINED."
  IfcPlateTypeEnum_to_STEP = Res
End Function
Public Function STEP_to_IfcPlateTypeEnum(Wert as String) As IfcPlateTypeEnum
  Dim Res as IfcPlateTypeEnum
  If Wert = ".CURTAIN_PANEL." Then Res = sbePT_CURTAIN_PANEL
  If Wert = ".SHEET." Then Res = sbePT_SHEET
  If Wert = ".USERDEFINED." Then Res = sbePT_USERDEFINED
  If Wert = ".NOTDEFINED." Then Res = sbePT_NOTDEFINED
  STEP_to_IfcPlateTypeEnum = Res
End Function</t>
  </si>
  <si>
    <t>Public Enum IfcProcedureTypeEnum
  pocPT_ADVICE_CAUTION = 1
  pocPT_ADVICE_NOTE = 2
  pocPT_ADVICE_WARNING = 3
  pocPT_CALIBRATION = 4
  pocPT_DIAGNOSTIC = 5
  pocPT_SHUTDOWN = 6
  pocPT_STARTUP = 7
  pocPT_USERDEFINED = 8
  pocPT_NOTDEFINED = 9
End Enum
Public Function IfcProcedureTypeEnum_to_STEP(Wert as IfcProcedureTypeEnum) As String
  Dim Res as String
  If Wert = pocPT_ADVICE_CAUTION Then Res = ".ADVICE_CAUTION."
  If Wert = pocPT_ADVICE_NOTE Then Res = ".ADVICE_NOTE."
  If Wert = pocPT_ADVICE_WARNING Then Res = ".ADVICE_WARNING."
  If Wert = pocPT_CALIBRATION Then Res = ".CALIBRATION."
  If Wert = pocPT_DIAGNOSTIC Then Res = ".DIAGNOSTIC."
  If Wert = pocPT_SHUTDOWN Then Res = ".SHUTDOWN."
  If Wert = pocPT_STARTUP Then Res = ".STARTUP."
  If Wert = pocPT_USERDEFINED Then Res = ".USERDEFINED."
  If Wert = pocPT_NOTDEFINED Then Res = ".NOTDEFINED."
  IfcProcedureTypeEnum_to_STEP = Res
End Function
Public Function STEP_to_IfcProcedureTypeEnum(Wert as String) As IfcProcedureTypeEnum
  Dim Res as IfcProcedureTypeEnum
  If Wert = ".ADVICE_CAUTION." Then Res = pocPT_ADVICE_CAUTION
  If Wert = ".ADVICE_NOTE." Then Res = pocPT_ADVICE_NOTE
  If Wert = ".ADVICE_WARNING." Then Res = pocPT_ADVICE_WARNING
  If Wert = ".CALIBRATION." Then Res = pocPT_CALIBRATION
  If Wert = ".DIAGNOSTIC." Then Res = pocPT_DIAGNOSTIC
  If Wert = ".SHUTDOWN." Then Res = pocPT_SHUTDOWN
  If Wert = ".STARTUP." Then Res = pocPT_STARTUP
  If Wert = ".USERDEFINED." Then Res = pocPT_USERDEFINED
  If Wert = ".NOTDEFINED." Then Res = pocPT_NOTDEFINED
  STEP_to_IfcProcedureTypeEnum = Res
End Function</t>
  </si>
  <si>
    <t>Public Enum IfcProfileTypeEnum
  fpsPT_CURVE = 1
  fpsPT_AREA = 2
End Enum
Public Function IfcProfileTypeEnum_to_STEP(Wert as IfcProfileTypeEnum) As String
  Dim Res as String
  If Wert = fpsPT_CURVE Then Res = ".CURVE."
  If Wert = fpsPT_AREA Then Res = ".AREA."
  IfcProfileTypeEnum_to_STEP = Res
End Function
Public Function STEP_to_IfcProfileTypeEnum(Wert as String) As IfcProfileTypeEnum
  Dim Res as IfcProfileTypeEnum
  If Wert = ".CURVE." Then Res = fpsPT_CURVE
  If Wert = ".AREA." Then Res = fpsPT_AREA
  STEP_to_IfcProfileTypeEnum = Res
End Function</t>
  </si>
  <si>
    <t>Public Enum IfcProjectedOrTrueLengthEnum
  stcPOTL_PROJECTED_LENGTH = 1
  stcPOTL_TRUE_LENGTH = 2
End Enum
Public Function IfcProjectedOrTrueLengthEnum_to_STEP(Wert as IfcProjectedOrTrueLengthEnum) As String
  Dim Res as String
  If Wert = stcPOTL_PROJECTED_LENGTH Then Res = ".PROJECTED_LENGTH."
  If Wert = stcPOTL_TRUE_LENGTH Then Res = ".TRUE_LENGTH."
  IfcProjectedOrTrueLengthEnum_to_STEP = Res
End Function
Public Function STEP_to_IfcProjectedOrTrueLengthEnum(Wert as String) As IfcProjectedOrTrueLengthEnum
  Dim Res as IfcProjectedOrTrueLengthEnum
  If Wert = ".PROJECTED_LENGTH." Then Res = stcPOTL_PROJECTED_LENGTH
  If Wert = ".TRUE_LENGTH." Then Res = stcPOTL_TRUE_LENGTH
  STEP_to_IfcProjectedOrTrueLengthEnum = Res
End Function</t>
  </si>
  <si>
    <t>Public Enum IfcProjectOrderRecordTypeEnum
  mgmPORT_CHANGE = 1
  mgmPORT_MAINTENANCE = 2
  mgmPORT_MOVE = 3
  mgmPORT_PURCHASE = 4
  mgmPORT_WORK = 5
  mgmPORT_USERDEFINED = 6
  mgmPORT_NOTDEFINED = 7
End Enum
Public Function IfcProjectOrderRecordTypeEnum_to_STEP(Wert as IfcProjectOrderRecordTypeEnum) As String
  Dim Res as String
  If Wert = mgmPORT_CHANGE Then Res = ".CHANGE."
  If Wert = mgmPORT_MAINTENANCE Then Res = ".MAINTENANCE."
  If Wert = mgmPORT_MOVE Then Res = ".MOVE."
  If Wert = mgmPORT_PURCHASE Then Res = ".PURCHASE."
  If Wert = mgmPORT_WORK Then Res = ".WORK."
  If Wert = mgmPORT_USERDEFINED Then Res = ".USERDEFINED."
  If Wert = mgmPORT_NOTDEFINED Then Res = ".NOTDEFINED."
  IfcProjectOrderRecordTypeEnum_to_STEP = Res
End Function
Public Function STEP_to_IfcProjectOrderRecordTypeEnum(Wert as String) As IfcProjectOrderRecordTypeEnum
  Dim Res as IfcProjectOrderRecordTypeEnum
  If Wert = ".CHANGE." Then Res = mgmPORT_CHANGE
  If Wert = ".MAINTENANCE." Then Res = mgmPORT_MAINTENANCE
  If Wert = ".MOVE." Then Res = mgmPORT_MOVE
  If Wert = ".PURCHASE." Then Res = mgmPORT_PURCHASE
  If Wert = ".WORK." Then Res = mgmPORT_WORK
  If Wert = ".USERDEFINED." Then Res = mgmPORT_USERDEFINED
  If Wert = ".NOTDEFINED." Then Res = mgmPORT_NOTDEFINED
  STEP_to_IfcProjectOrderRecordTypeEnum = Res
End Function</t>
  </si>
  <si>
    <t>Public Enum IfcProjectOrderTypeEnum
  mgmPOT_CHANGEORDER = 1
  mgmPOT_MAINTENANCEWORKORDER = 2
  mgmPOT_MOVEORDER = 3
  mgmPOT_PURCHASEORDER = 4
  mgmPOT_WORKORDER = 5
  mgmPOT_USERDEFINED = 6
  mgmPOT_NOTDEFINED = 7
End Enum
Public Function IfcProjectOrderTypeEnum_to_STEP(Wert as IfcProjectOrderTypeEnum) As String
  Dim Res as String
  If Wert = mgmPOT_CHANGEORDER Then Res = ".CHANGEORDER."
  If Wert = mgmPOT_MAINTENANCEWORKORDER Then Res = ".MAINTENANCEWORKORDER."
  If Wert = mgmPOT_MOVEORDER Then Res = ".MOVEORDER."
  If Wert = mgmPOT_PURCHASEORDER Then Res = ".PURCHASEORDER."
  If Wert = mgmPOT_WORKORDER Then Res = ".WORKORDER."
  If Wert = mgmPOT_USERDEFINED Then Res = ".USERDEFINED."
  If Wert = mgmPOT_NOTDEFINED Then Res = ".NOTDEFINED."
  IfcProjectOrderTypeEnum_to_STEP = Res
End Function
Public Function STEP_to_IfcProjectOrderTypeEnum(Wert as String) As IfcProjectOrderTypeEnum
  Dim Res as IfcProjectOrderTypeEnum
  If Wert = ".CHANGEORDER." Then Res = mgmPOT_CHANGEORDER
  If Wert = ".MAINTENANCEWORKORDER." Then Res = mgmPOT_MAINTENANCEWORKORDER
  If Wert = ".MOVEORDER." Then Res = mgmPOT_MOVEORDER
  If Wert = ".PURCHASEORDER." Then Res = mgmPOT_PURCHASEORDER
  If Wert = ".WORKORDER." Then Res = mgmPOT_WORKORDER
  If Wert = ".USERDEFINED." Then Res = mgmPOT_USERDEFINED
  If Wert = ".NOTDEFINED." Then Res = mgmPOT_NOTDEFINED
  STEP_to_IfcProjectOrderTypeEnum = Res
End Function</t>
  </si>
  <si>
    <t>Public Enum IfcPropertySourceEnum
  sbsPS_DESIGN = 1
  sbsPS_DESIGNMAXIMUM = 2
  sbsPS_DESIGNMINIMUM = 3
  sbsPS_SIMULATED = 4
  sbsPS_ASBUILT = 5
  sbsPS_COMMISSIONING = 6
  sbsPS_MEASURED = 7
  sbsPS_USERDEFINED = 8
  sbsPS_NOTKNOWN = 9
End Enum
Public Function IfcPropertySourceEnum_to_STEP(Wert as IfcPropertySourceEnum) As String
  Dim Res as String
  If Wert = sbsPS_DESIGN Then Res = ".DESIGN."
  If Wert = sbsPS_DESIGNMAXIMUM Then Res = ".DESIGNMAXIMUM."
  If Wert = sbsPS_DESIGNMINIMUM Then Res = ".DESIGNMINIMUM."
  If Wert = sbsPS_SIMULATED Then Res = ".SIMULATED."
  If Wert = sbsPS_ASBUILT Then Res = ".ASBUILT."
  If Wert = sbsPS_COMMISSIONING Then Res = ".COMMISSIONING."
  If Wert = sbsPS_MEASURED Then Res = ".MEASURED."
  If Wert = sbsPS_USERDEFINED Then Res = ".USERDEFINED."
  If Wert = sbsPS_NOTKNOWN Then Res = ".NOTKNOWN."
  IfcPropertySourceEnum_to_STEP = Res
End Function
Public Function STEP_to_IfcPropertySourceEnum(Wert as String) As IfcPropertySourceEnum
  Dim Res as IfcPropertySourceEnum
  If Wert = ".DESIGN." Then Res = sbsPS_DESIGN
  If Wert = ".DESIGNMAXIMUM." Then Res = sbsPS_DESIGNMAXIMUM
  If Wert = ".DESIGNMINIMUM." Then Res = sbsPS_DESIGNMINIMUM
  If Wert = ".SIMULATED." Then Res = sbsPS_SIMULATED
  If Wert = ".ASBUILT." Then Res = sbsPS_ASBUILT
  If Wert = ".COMMISSIONING." Then Res = sbsPS_COMMISSIONING
  If Wert = ".MEASURED." Then Res = sbsPS_MEASURED
  If Wert = ".USERDEFINED." Then Res = sbsPS_USERDEFINED
  If Wert = ".NOTKNOWN." Then Res = sbsPS_NOTKNOWN
  STEP_to_IfcPropertySourceEnum = Res
End Function</t>
  </si>
  <si>
    <t>Public Enum IfcProtectiveDeviceTypeEnum
  elePDT_FUSEDISCONNECTOR = 1
  elePDT_CIRCUITBREAKER = 2
  elePDT_EARTHFAILUREDEVICE = 3
  elePDT_RESIDUALCURRENTCIRCUITBREAKER = 4
  elePDT_RESIDUALCURRENTSWITCH = 5
  elePDT_VARISTOR = 6
  elePDT_USERDEFINED = 7
  elePDT_NOTDEFINED = 8
End Enum
Public Function IfcProtectiveDeviceTypeEnum_to_STEP(Wert as IfcProtectiveDeviceTypeEnum) As String
  Dim Res as String
  If Wert = elePDT_FUSEDISCONNECTOR Then Res = ".FUSEDISCONNECTOR."
  If Wert = elePDT_CIRCUITBREAKER Then Res = ".CIRCUITBREAKER."
  If Wert = elePDT_EARTHFAILUREDEVICE Then Res = ".EARTHFAILUREDEVICE."
  If Wert = elePDT_RESIDUALCURRENTCIRCUITBREAKER Then Res = ".RESIDUALCURRENTCIRCUITBREAKER."
  If Wert = elePDT_RESIDUALCURRENTSWITCH Then Res = ".RESIDUALCURRENTSWITCH."
  If Wert = elePDT_VARISTOR Then Res = ".VARISTOR."
  If Wert = elePDT_USERDEFINED Then Res = ".USERDEFINED."
  If Wert = elePDT_NOTDEFINED Then Res = ".NOTDEFINED."
  IfcProtectiveDeviceTypeEnum_to_STEP = Res
End Function
Public Function STEP_to_IfcProtectiveDeviceTypeEnum(Wert as String) As IfcProtectiveDeviceTypeEnum
  Dim Res as IfcProtectiveDeviceTypeEnum
  If Wert = ".FUSEDISCONNECTOR." Then Res = elePDT_FUSEDISCONNECTOR
  If Wert = ".CIRCUITBREAKER." Then Res = elePDT_CIRCUITBREAKER
  If Wert = ".EARTHFAILUREDEVICE." Then Res = elePDT_EARTHFAILUREDEVICE
  If Wert = ".RESIDUALCURRENTCIRCUITBREAKER." Then Res = elePDT_RESIDUALCURRENTCIRCUITBREAKER
  If Wert = ".RESIDUALCURRENTSWITCH." Then Res = elePDT_RESIDUALCURRENTSWITCH
  If Wert = ".VARISTOR." Then Res = elePDT_VARISTOR
  If Wert = ".USERDEFINED." Then Res = elePDT_USERDEFINED
  If Wert = ".NOTDEFINED." Then Res = elePDT_NOTDEFINED
  STEP_to_IfcProtectiveDeviceTypeEnum = Res
End Function</t>
  </si>
  <si>
    <t>Public Enum IfcPumpTypeEnum
  hvacPT_CIRCULATOR = 1
  hvacPT_ENDSUCTION = 2
  hvacPT_SPLITCASE = 3
  hvacPT_VERTICALINLINE = 4
  hvacPT_VERTICALTURBINE = 5
  hvacPT_USERDEFINED = 6
  hvacPT_NOTDEFINED = 7
End Enum
Public Function IfcPumpTypeEnum_to_STEP(Wert as IfcPumpTypeEnum) As String
  Dim Res as String
  If Wert = hvacPT_CIRCULATOR Then Res = ".CIRCULATOR."
  If Wert = hvacPT_ENDSUCTION Then Res = ".ENDSUCTION."
  If Wert = hvacPT_SPLITCASE Then Res = ".SPLITCASE."
  If Wert = hvacPT_VERTICALINLINE Then Res = ".VERTICALINLINE."
  If Wert = hvacPT_VERTICALTURBINE Then Res = ".VERTICALTURBINE."
  If Wert = hvacPT_USERDEFINED Then Res = ".USERDEFINED."
  If Wert = hvacPT_NOTDEFINED Then Res = ".NOTDEFINED."
  IfcPumpTypeEnum_to_STEP = Res
End Function
Public Function STEP_to_IfcPumpTypeEnum(Wert as String) As IfcPumpTypeEnum
  Dim Res as IfcPumpTypeEnum
  If Wert = ".CIRCULATOR." Then Res = hvacPT_CIRCULATOR
  If Wert = ".ENDSUCTION." Then Res = hvacPT_ENDSUCTION
  If Wert = ".SPLITCASE." Then Res = hvacPT_SPLITCASE
  If Wert = ".VERTICALINLINE." Then Res = hvacPT_VERTICALINLINE
  If Wert = ".VERTICALTURBINE." Then Res = hvacPT_VERTICALTURBINE
  If Wert = ".USERDEFINED." Then Res = hvacPT_USERDEFINED
  If Wert = ".NOTDEFINED." Then Res = hvacPT_NOTDEFINED
  STEP_to_IfcPumpTypeEnum = Res
End Function</t>
  </si>
  <si>
    <t>Public Enum IfcRailingTypeEnum
  sbeRT_HANDRAIL = 1
  sbeRT_GUARDRAIL = 2
  sbeRT_BALUSTRADE = 3
  sbeRT_USERDEFINED = 4
  sbeRT_NOTDEFINED = 5
End Enum
Public Function IfcRailingTypeEnum_to_STEP(Wert as IfcRailingTypeEnum) As String
  Dim Res as String
  If Wert = sbeRT_HANDRAIL Then Res = ".HANDRAIL."
  If Wert = sbeRT_GUARDRAIL Then Res = ".GUARDRAIL."
  If Wert = sbeRT_BALUSTRADE Then Res = ".BALUSTRADE."
  If Wert = sbeRT_USERDEFINED Then Res = ".USERDEFINED."
  If Wert = sbeRT_NOTDEFINED Then Res = ".NOTDEFINED."
  IfcRailingTypeEnum_to_STEP = Res
End Function
Public Function STEP_to_IfcRailingTypeEnum(Wert as String) As IfcRailingTypeEnum
  Dim Res as IfcRailingTypeEnum
  If Wert = ".HANDRAIL." Then Res = sbeRT_HANDRAIL
  If Wert = ".GUARDRAIL." Then Res = sbeRT_GUARDRAIL
  If Wert = ".BALUSTRADE." Then Res = sbeRT_BALUSTRADE
  If Wert = ".USERDEFINED." Then Res = sbeRT_USERDEFINED
  If Wert = ".NOTDEFINED." Then Res = sbeRT_NOTDEFINED
  STEP_to_IfcRailingTypeEnum = Res
End Function</t>
  </si>
  <si>
    <t>Public Enum IfcRampFlightTypeEnum
  sbeRFT_STRAIGHT = 1
  sbeRFT_SPIRAL = 2
  sbeRFT_USERDEFINED = 3
  sbeRFT_NOTDEFINED = 4
End Enum
Public Function IfcRampFlightTypeEnum_to_STEP(Wert as IfcRampFlightTypeEnum) As String
  Dim Res as String
  If Wert = sbeRFT_STRAIGHT Then Res = ".STRAIGHT."
  If Wert = sbeRFT_SPIRAL Then Res = ".SPIRAL."
  If Wert = sbeRFT_USERDEFINED Then Res = ".USERDEFINED."
  If Wert = sbeRFT_NOTDEFINED Then Res = ".NOTDEFINED."
  IfcRampFlightTypeEnum_to_STEP = Res
End Function
Public Function STEP_to_IfcRampFlightTypeEnum(Wert as String) As IfcRampFlightTypeEnum
  Dim Res as IfcRampFlightTypeEnum
  If Wert = ".STRAIGHT." Then Res = sbeRFT_STRAIGHT
  If Wert = ".SPIRAL." Then Res = sbeRFT_SPIRAL
  If Wert = ".USERDEFINED." Then Res = sbeRFT_USERDEFINED
  If Wert = ".NOTDEFINED." Then Res = sbeRFT_NOTDEFINED
  STEP_to_IfcRampFlightTypeEnum = Res
End Function</t>
  </si>
  <si>
    <t>Public Enum IfcRampTypeEnum
  sbeRT_STRAIGHT_RUN_RAMP = 1
  sbeRT_TWO_STRAIGHT_RUN_RAMP = 2
  sbeRT_QUARTER_TURN_RAMP = 3
  sbeRT_TWO_QUARTER_TURN_RAMP = 4
  sbeRT_HALF_TURN_RAMP = 5
  sbeRT_SPIRAL_RAMP = 6
  sbeRT_USERDEFINED = 7
  sbeRT_NOTDEFINED = 8
End Enum
Public Function IfcRampTypeEnum_to_STEP(Wert as IfcRampTypeEnum) As String
  Dim Res as String
  If Wert = sbeRT_STRAIGHT_RUN_RAMP Then Res = ".STRAIGHT_RUN_RAMP."
  If Wert = sbeRT_TWO_STRAIGHT_RUN_RAMP Then Res = ".TWO_STRAIGHT_RUN_RAMP."
  If Wert = sbeRT_QUARTER_TURN_RAMP Then Res = ".QUARTER_TURN_RAMP."
  If Wert = sbeRT_TWO_QUARTER_TURN_RAMP Then Res = ".TWO_QUARTER_TURN_RAMP."
  If Wert = sbeRT_HALF_TURN_RAMP Then Res = ".HALF_TURN_RAMP."
  If Wert = sbeRT_SPIRAL_RAMP Then Res = ".SPIRAL_RAMP."
  If Wert = sbeRT_USERDEFINED Then Res = ".USERDEFINED."
  If Wert = sbeRT_NOTDEFINED Then Res = ".NOTDEFINED."
  IfcRampTypeEnum_to_STEP = Res
End Function
Public Function STEP_to_IfcRampTypeEnum(Wert as String) As IfcRampTypeEnum
  Dim Res as IfcRampTypeEnum
  If Wert = ".STRAIGHT_RUN_RAMP." Then Res = sbeRT_STRAIGHT_RUN_RAMP
  If Wert = ".TWO_STRAIGHT_RUN_RAMP." Then Res = sbeRT_TWO_STRAIGHT_RUN_RAMP
  If Wert = ".QUARTER_TURN_RAMP." Then Res = sbeRT_QUARTER_TURN_RAMP
  If Wert = ".TWO_QUARTER_TURN_RAMP." Then Res = sbeRT_TWO_QUARTER_TURN_RAMP
  If Wert = ".HALF_TURN_RAMP." Then Res = sbeRT_HALF_TURN_RAMP
  If Wert = ".SPIRAL_RAMP." Then Res = sbeRT_SPIRAL_RAMP
  If Wert = ".USERDEFINED." Then Res = sbeRT_USERDEFINED
  If Wert = ".NOTDEFINED." Then Res = sbeRT_NOTDEFINED
  STEP_to_IfcRampTypeEnum = Res
End Function</t>
  </si>
  <si>
    <t>Public Enum IfcReflectanceMethodEnum
  repRM_BLINN = 1
  repRM_FLAT = 2
  repRM_GLASS = 3
  repRM_MATT = 4
  repRM_METAL = 5
  repRM_MIRROR = 6
  repRM_PHONG = 7
  repRM_PLASTIC = 8
  repRM_STRAUSS = 9
  repRM_NOTDEFINED = 10
End Enum
Public Function IfcReflectanceMethodEnum_to_STEP(Wert as IfcReflectanceMethodEnum) As String
  Dim Res as String
  If Wert = repRM_BLINN Then Res = ".BLINN."
  If Wert = repRM_FLAT Then Res = ".FLAT."
  If Wert = repRM_GLASS Then Res = ".GLASS."
  If Wert = repRM_MATT Then Res = ".MATT."
  If Wert = repRM_METAL Then Res = ".METAL."
  If Wert = repRM_MIRROR Then Res = ".MIRROR."
  If Wert = repRM_PHONG Then Res = ".PHONG."
  If Wert = repRM_PLASTIC Then Res = ".PLASTIC."
  If Wert = repRM_STRAUSS Then Res = ".STRAUSS."
  If Wert = repRM_NOTDEFINED Then Res = ".NOTDEFINED."
  IfcReflectanceMethodEnum_to_STEP = Res
End Function
Public Function STEP_to_IfcReflectanceMethodEnum(Wert as String) As IfcReflectanceMethodEnum
  Dim Res as IfcReflectanceMethodEnum
  If Wert = ".BLINN." Then Res = repRM_BLINN
  If Wert = ".FLAT." Then Res = repRM_FLAT
  If Wert = ".GLASS." Then Res = repRM_GLASS
  If Wert = ".MATT." Then Res = repRM_MATT
  If Wert = ".METAL." Then Res = repRM_METAL
  If Wert = ".MIRROR." Then Res = repRM_MIRROR
  If Wert = ".PHONG." Then Res = repRM_PHONG
  If Wert = ".PLASTIC." Then Res = repRM_PLASTIC
  If Wert = ".STRAUSS." Then Res = repRM_STRAUSS
  If Wert = ".NOTDEFINED." Then Res = repRM_NOTDEFINED
  STEP_to_IfcReflectanceMethodEnum = Res
End Function</t>
  </si>
  <si>
    <t>Public Enum IfcReinforcingBarRoleEnum
  fpsRBR_MAIN = 1
  fpsRBR_SHEAR = 2
  fpsRBR_LIGATURE = 3
  fpsRBR_STUD = 4
  fpsRBR_PUNCHING = 5
  fpsRBR_EDGE = 6
  fpsRBR_RING = 7
  fpsRBR_USERDEFINED = 8
  fpsRBR_NOTDEFINED = 9
End Enum
Public Function IfcReinforcingBarRoleEnum_to_STEP(Wert as IfcReinforcingBarRoleEnum) As String
  Dim Res as String
  If Wert = fpsRBR_MAIN Then Res = ".MAIN."
  If Wert = fpsRBR_SHEAR Then Res = ".SHEAR."
  If Wert = fpsRBR_LIGATURE Then Res = ".LIGATURE."
  If Wert = fpsRBR_STUD Then Res = ".STUD."
  If Wert = fpsRBR_PUNCHING Then Res = ".PUNCHING."
  If Wert = fpsRBR_EDGE Then Res = ".EDGE."
  If Wert = fpsRBR_RING Then Res = ".RING."
  If Wert = fpsRBR_USERDEFINED Then Res = ".USERDEFINED."
  If Wert = fpsRBR_NOTDEFINED Then Res = ".NOTDEFINED."
  IfcReinforcingBarRoleEnum_to_STEP = Res
End Function
Public Function STEP_to_IfcReinforcingBarRoleEnum(Wert as String) As IfcReinforcingBarRoleEnum
  Dim Res as IfcReinforcingBarRoleEnum
  If Wert = ".MAIN." Then Res = fpsRBR_MAIN
  If Wert = ".SHEAR." Then Res = fpsRBR_SHEAR
  If Wert = ".LIGATURE." Then Res = fpsRBR_LIGATURE
  If Wert = ".STUD." Then Res = fpsRBR_STUD
  If Wert = ".PUNCHING." Then Res = fpsRBR_PUNCHING
  If Wert = ".EDGE." Then Res = fpsRBR_EDGE
  If Wert = ".RING." Then Res = fpsRBR_RING
  If Wert = ".USERDEFINED." Then Res = fpsRBR_USERDEFINED
  If Wert = ".NOTDEFINED." Then Res = fpsRBR_NOTDEFINED
  STEP_to_IfcReinforcingBarRoleEnum = Res
End Function</t>
  </si>
  <si>
    <t>Public Enum IfcReinforcingBarSurfaceEnum
  fpsRBS_PLAIN = 1
  fpsRBS_TEXTURED = 2
End Enum
Public Function IfcReinforcingBarSurfaceEnum_to_STEP(Wert as IfcReinforcingBarSurfaceEnum) As String
  Dim Res as String
  If Wert = fpsRBS_PLAIN Then Res = ".PLAIN."
  If Wert = fpsRBS_TEXTURED Then Res = ".TEXTURED."
  IfcReinforcingBarSurfaceEnum_to_STEP = Res
End Function
Public Function STEP_to_IfcReinforcingBarSurfaceEnum(Wert as String) As IfcReinforcingBarSurfaceEnum
  Dim Res as IfcReinforcingBarSurfaceEnum
  If Wert = ".PLAIN." Then Res = fpsRBS_PLAIN
  If Wert = ".TEXTURED." Then Res = fpsRBS_TEXTURED
  STEP_to_IfcReinforcingBarSurfaceEnum = Res
End Function</t>
  </si>
  <si>
    <t>Public Enum IfcResourceConsumptionEnum
  conRC_CONSUMED = 1
  conRC_PARTIALLYCONSUMED = 2
  conRC_NOTCONSUMED = 3
  conRC_OCCUPIED = 4
  conRC_PARTIALLYOCCUPIED = 5
  conRC_NOTOCCUPIED = 6
  conRC_USERDEFINED = 7
  conRC_NOTDEFINED = 8
End Enum
Public Function IfcResourceConsumptionEnum_to_STEP(Wert as IfcResourceConsumptionEnum) As String
  Dim Res as String
  If Wert = conRC_CONSUMED Then Res = ".CONSUMED."
  If Wert = conRC_PARTIALLYCONSUMED Then Res = ".PARTIALLYCONSUMED."
  If Wert = conRC_NOTCONSUMED Then Res = ".NOTCONSUMED."
  If Wert = conRC_OCCUPIED Then Res = ".OCCUPIED."
  If Wert = conRC_PARTIALLYOCCUPIED Then Res = ".PARTIALLYOCCUPIED."
  If Wert = conRC_NOTOCCUPIED Then Res = ".NOTOCCUPIED."
  If Wert = conRC_USERDEFINED Then Res = ".USERDEFINED."
  If Wert = conRC_NOTDEFINED Then Res = ".NOTDEFINED."
  IfcResourceConsumptionEnum_to_STEP = Res
End Function
Public Function STEP_to_IfcResourceConsumptionEnum(Wert as String) As IfcResourceConsumptionEnum
  Dim Res as IfcResourceConsumptionEnum
  If Wert = ".CONSUMED." Then Res = conRC_CONSUMED
  If Wert = ".PARTIALLYCONSUMED." Then Res = conRC_PARTIALLYCONSUMED
  If Wert = ".NOTCONSUMED." Then Res = conRC_NOTCONSUMED
  If Wert = ".OCCUPIED." Then Res = conRC_OCCUPIED
  If Wert = ".PARTIALLYOCCUPIED." Then Res = conRC_PARTIALLYOCCUPIED
  If Wert = ".NOTOCCUPIED." Then Res = conRC_NOTOCCUPIED
  If Wert = ".USERDEFINED." Then Res = conRC_USERDEFINED
  If Wert = ".NOTDEFINED." Then Res = conRC_NOTDEFINED
  STEP_to_IfcResourceConsumptionEnum = Res
End Function</t>
  </si>
  <si>
    <t>Public Enum IfcRibPlateDirectionEnum
  fpsRPD_DIRECTION_X = 1
  fpsRPD_DIRECTION_Y = 2
End Enum
Public Function IfcRibPlateDirectionEnum_to_STEP(Wert as IfcRibPlateDirectionEnum) As String
  Dim Res as String
  If Wert = fpsRPD_DIRECTION_X Then Res = ".DIRECTION_X."
  If Wert = fpsRPD_DIRECTION_Y Then Res = ".DIRECTION_Y."
  IfcRibPlateDirectionEnum_to_STEP = Res
End Function
Public Function STEP_to_IfcRibPlateDirectionEnum(Wert as String) As IfcRibPlateDirectionEnum
  Dim Res as IfcRibPlateDirectionEnum
  If Wert = ".DIRECTION_X." Then Res = fpsRPD_DIRECTION_X
  If Wert = ".DIRECTION_Y." Then Res = fpsRPD_DIRECTION_Y
  STEP_to_IfcRibPlateDirectionEnum = Res
End Function</t>
  </si>
  <si>
    <t>Public Enum IfcRoleEnum
  actRE_SUPPLIER = 1
  actRE_MANUFACTURER = 2
  actRE_CONTRACTOR = 3
  actRE_SUBCONTRACTOR = 4
  actRE_ARCHITECT = 5
  actRE_STRUCTURALENGINEER = 6
  actRE_COSTENGINEER = 7
  actRE_CLIENT = 8
  actRE_BUILDINGOWNER = 9
  actRE_BUILDINGOPERATOR = 10
  actRE_MECHANICALENGINEER = 11
  actRE_ELECTRICALENGINEER = 12
  actRE_PROJECTMANAGER = 13
  actRE_FACILITIESMANAGER = 14
  actRE_CIVILENGINEER = 15
  actRE_COMISSIONINGENGINEER = 16
  actRE_ENGINEER = 17
  actRE_OWNER = 18
  actRE_CONSULTANT = 19
  actRE_CONSTRUCTIONMANAGER = 20
  actRE_FIELDCONSTRUCTIONMANAGER = 21
  actRE_RESELLER = 22
  actRE_USERDEFINED = 23
End Enum
Public Function IfcRoleEnum_to_STEP(Wert as IfcRoleEnum) As String
  Dim Res as String
  If Wert = actRE_SUPPLIER Then Res = ".SUPPLIER."
  If Wert = actRE_MANUFACTURER Then Res = ".MANUFACTURER."
  If Wert = actRE_CONTRACTOR Then Res = ".CONTRACTOR."
  If Wert = actRE_SUBCONTRACTOR Then Res = ".SUBCONTRACTOR."
  If Wert = actRE_ARCHITECT Then Res = ".ARCHITECT."
  If Wert = actRE_STRUCTURALENGINEER Then Res = ".STRUCTURALENGINEER."
  If Wert = actRE_COSTENGINEER Then Res = ".COSTENGINEER."
  If Wert = actRE_CLIENT Then Res = ".CLIENT."
  If Wert = actRE_BUILDINGOWNER Then Res = ".BUILDINGOWNER."
  If Wert = actRE_BUILDINGOPERATOR Then Res = ".BUILDINGOPERATOR."
  If Wert = actRE_MECHANICALENGINEER Then Res = ".MECHANICALENGINEER."
  If Wert = actRE_ELECTRICALENGINEER Then Res = ".ELECTRICALENGINEER."
  If Wert = actRE_PROJECTMANAGER Then Res = ".PROJECTMANAGER."
  If Wert = actRE_FACILITIESMANAGER Then Res = ".FACILITIESMANAGER."
  If Wert = actRE_CIVILENGINEER Then Res = ".CIVILENGINEER."
  If Wert = actRE_COMISSIONINGENGINEER Then Res = ".COMISSIONINGENGINEER."
  If Wert = actRE_ENGINEER Then Res = ".ENGINEER."
  If Wert = actRE_OWNER Then Res = ".OWNER."
  If Wert = actRE_CONSULTANT Then Res = ".CONSULTANT."
  If Wert = actRE_CONSTRUCTIONMANAGER Then Res = ".CONSTRUCTIONMANAGER."
  If Wert = actRE_FIELDCONSTRUCTIONMANAGER Then Res = ".FIELDCONSTRUCTIONMANAGER."
  If Wert = actRE_RESELLER Then Res = ".RESELLER."
  If Wert = actRE_USERDEFINED Then Res = ".USERDEFINED."
  IfcRoleEnum_to_STEP = Res
End Function
Public Function STEP_to_IfcRoleEnum(Wert as String) As IfcRoleEnum
  Dim Res as IfcRoleEnum
  If Wert = ".SUPPLIER." Then Res = actRE_SUPPLIER
  If Wert = ".MANUFACTURER." Then Res = actRE_MANUFACTURER
  If Wert = ".CONTRACTOR." Then Res = actRE_CONTRACTOR
  If Wert = ".SUBCONTRACTOR." Then Res = actRE_SUBCONTRACTOR
  If Wert = ".ARCHITECT." Then Res = actRE_ARCHITECT
  If Wert = ".STRUCTURALENGINEER." Then Res = actRE_STRUCTURALENGINEER
  If Wert = ".COSTENGINEER." Then Res = actRE_COSTENGINEER
  If Wert = ".CLIENT." Then Res = actRE_CLIENT
  If Wert = ".BUILDINGOWNER." Then Res = actRE_BUILDINGOWNER
  If Wert = ".BUILDINGOPERATOR." Then Res = actRE_BUILDINGOPERATOR
  If Wert = ".MECHANICALENGINEER." Then Res = actRE_MECHANICALENGINEER
  If Wert = ".ELECTRICALENGINEER." Then Res = actRE_ELECTRICALENGINEER
  If Wert = ".PROJECTMANAGER." Then Res = actRE_PROJECTMANAGER
  If Wert = ".FACILITIESMANAGER." Then Res = actRE_FACILITIESMANAGER
  If Wert = ".CIVILENGINEER." Then Res = actRE_CIVILENGINEER
  If Wert = ".COMISSIONINGENGINEER." Then Res = actRE_COMISSIONINGENGINEER
  If Wert = ".ENGINEER." Then Res = actRE_ENGINEER
  If Wert = ".OWNER." Then Res = actRE_OWNER
  If Wert = ".CONSULTANT." Then Res = actRE_CONSULTANT
  If Wert = ".CONSTRUCTIONMANAGER." Then Res = actRE_CONSTRUCTIONMANAGER
  If Wert = ".FIELDCONSTRUCTIONMANAGER." Then Res = actRE_FIELDCONSTRUCTIONMANAGER
  If Wert = ".RESELLER." Then Res = actRE_RESELLER
  If Wert = ".USERDEFINED." Then Res = actRE_USERDEFINED
  STEP_to_IfcRoleEnum = Res
End Function</t>
  </si>
  <si>
    <t>Public Enum IfcRoofTypeEnum
  sbeRT_FLAT_ROOF = 1
  sbeRT_SHED_ROOF = 2
  sbeRT_GABLE_ROOF = 3
  sbeRT_HIP_ROOF = 4
  sbeRT_HIPPED_GABLE_ROOF = 5
  sbeRT_GAMBREL_ROOF = 6
  sbeRT_MANSARD_ROOF = 7
  sbeRT_BARREL_ROOF = 8
  sbeRT_RAINBOW_ROOF = 9
  sbeRT_BUTTERFLY_ROOF = 10
  sbeRT_PAVILION_ROOF = 11
  sbeRT_DOME_ROOF = 12
  sbeRT_FREEFORM = 13
  sbeRT_NOTDEFINED = 14
End Enum
Public Function IfcRoofTypeEnum_to_STEP(Wert as IfcRoofTypeEnum) As String
  Dim Res as String
  If Wert = sbeRT_FLAT_ROOF Then Res = ".FLAT_ROOF."
  If Wert = sbeRT_SHED_ROOF Then Res = ".SHED_ROOF."
  If Wert = sbeRT_GABLE_ROOF Then Res = ".GABLE_ROOF."
  If Wert = sbeRT_HIP_ROOF Then Res = ".HIP_ROOF."
  If Wert = sbeRT_HIPPED_GABLE_ROOF Then Res = ".HIPPED_GABLE_ROOF."
  If Wert = sbeRT_GAMBREL_ROOF Then Res = ".GAMBREL_ROOF."
  If Wert = sbeRT_MANSARD_ROOF Then Res = ".MANSARD_ROOF."
  If Wert = sbeRT_BARREL_ROOF Then Res = ".BARREL_ROOF."
  If Wert = sbeRT_RAINBOW_ROOF Then Res = ".RAINBOW_ROOF."
  If Wert = sbeRT_BUTTERFLY_ROOF Then Res = ".BUTTERFLY_ROOF."
  If Wert = sbeRT_PAVILION_ROOF Then Res = ".PAVILION_ROOF."
  If Wert = sbeRT_DOME_ROOF Then Res = ".DOME_ROOF."
  If Wert = sbeRT_FREEFORM Then Res = ".FREEFORM."
  If Wert = sbeRT_NOTDEFINED Then Res = ".NOTDEFINED."
  IfcRoofTypeEnum_to_STEP = Res
End Function
Public Function STEP_to_IfcRoofTypeEnum(Wert as String) As IfcRoofTypeEnum
  Dim Res as IfcRoofTypeEnum
  If Wert = ".FLAT_ROOF." Then Res = sbeRT_FLAT_ROOF
  If Wert = ".SHED_ROOF." Then Res = sbeRT_SHED_ROOF
  If Wert = ".GABLE_ROOF." Then Res = sbeRT_GABLE_ROOF
  If Wert = ".HIP_ROOF." Then Res = sbeRT_HIP_ROOF
  If Wert = ".HIPPED_GABLE_ROOF." Then Res = sbeRT_HIPPED_GABLE_ROOF
  If Wert = ".GAMBREL_ROOF." Then Res = sbeRT_GAMBREL_ROOF
  If Wert = ".MANSARD_ROOF." Then Res = sbeRT_MANSARD_ROOF
  If Wert = ".BARREL_ROOF." Then Res = sbeRT_BARREL_ROOF
  If Wert = ".RAINBOW_ROOF." Then Res = sbeRT_RAINBOW_ROOF
  If Wert = ".BUTTERFLY_ROOF." Then Res = sbeRT_BUTTERFLY_ROOF
  If Wert = ".PAVILION_ROOF." Then Res = sbeRT_PAVILION_ROOF
  If Wert = ".DOME_ROOF." Then Res = sbeRT_DOME_ROOF
  If Wert = ".FREEFORM." Then Res = sbeRT_FREEFORM
  If Wert = ".NOTDEFINED." Then Res = sbeRT_NOTDEFINED
  STEP_to_IfcRoofTypeEnum = Res
End Function</t>
  </si>
  <si>
    <t>Public Enum IfcSanitaryTerminalTypeEnum
  pfpSaTT_BATH = 1
  pfpSaTT_BIDET = 2
  pfpSaTT_CISTERN = 3
  pfpSaTT_SHOWER = 4
  pfpSaTT_SINK = 5
  pfpSaTT_SANITARYFOUNTAIN = 6
  pfpSaTT_TOILETPAN = 7
  pfpSaTT_URINAL = 8
  pfpSaTT_WASHHANDBASIN = 9
  pfpSaTT_WCSEAT = 10
  pfpSaTT_USERDEFINED = 11
  pfpSaTT_NOTDEFINED = 12
End Enum
Public Function IfcSanitaryTerminalTypeEnum_to_STEP(Wert as IfcSanitaryTerminalTypeEnum) As String
  Dim Res as String
  If Wert = pfpSaTT_BATH Then Res = ".BATH."
  If Wert = pfpSaTT_BIDET Then Res = ".BIDET."
  If Wert = pfpSaTT_CISTERN Then Res = ".CISTERN."
  If Wert = pfpSaTT_SHOWER Then Res = ".SHOWER."
  If Wert = pfpSaTT_SINK Then Res = ".SINK."
  If Wert = pfpSaTT_SANITARYFOUNTAIN Then Res = ".SANITARYFOUNTAIN."
  If Wert = pfpSaTT_TOILETPAN Then Res = ".TOILETPAN."
  If Wert = pfpSaTT_URINAL Then Res = ".URINAL."
  If Wert = pfpSaTT_WASHHANDBASIN Then Res = ".WASHHANDBASIN."
  If Wert = pfpSaTT_WCSEAT Then Res = ".WCSEAT."
  If Wert = pfpSaTT_USERDEFINED Then Res = ".USERDEFINED."
  If Wert = pfpSaTT_NOTDEFINED Then Res = ".NOTDEFINED."
  IfcSanitaryTerminalTypeEnum_to_STEP = Res
End Function
Public Function STEP_to_IfcSanitaryTerminalTypeEnum(Wert as String) As IfcSanitaryTerminalTypeEnum
  Dim Res as IfcSanitaryTerminalTypeEnum
  If Wert = ".BATH." Then Res = pfpSaTT_BATH
  If Wert = ".BIDET." Then Res = pfpSaTT_BIDET
  If Wert = ".CISTERN." Then Res = pfpSaTT_CISTERN
  If Wert = ".SHOWER." Then Res = pfpSaTT_SHOWER
  If Wert = ".SINK." Then Res = pfpSaTT_SINK
  If Wert = ".SANITARYFOUNTAIN." Then Res = pfpSaTT_SANITARYFOUNTAIN
  If Wert = ".TOILETPAN." Then Res = pfpSaTT_TOILETPAN
  If Wert = ".URINAL." Then Res = pfpSaTT_URINAL
  If Wert = ".WASHHANDBASIN." Then Res = pfpSaTT_WASHHANDBASIN
  If Wert = ".WCSEAT." Then Res = pfpSaTT_WCSEAT
  If Wert = ".USERDEFINED." Then Res = pfpSaTT_USERDEFINED
  If Wert = ".NOTDEFINED." Then Res = pfpSaTT_NOTDEFINED
  STEP_to_IfcSanitaryTerminalTypeEnum = Res
End Function</t>
  </si>
  <si>
    <t>Public Enum IfcSectionTypeEnum
  fpsST_UNIFORM = 1
  fpsST_TAPERED = 2
End Enum
Public Function IfcSectionTypeEnum_to_STEP(Wert as IfcSectionTypeEnum) As String
  Dim Res as String
  If Wert = fpsST_UNIFORM Then Res = ".UNIFORM."
  If Wert = fpsST_TAPERED Then Res = ".TAPERED."
  IfcSectionTypeEnum_to_STEP = Res
End Function
Public Function STEP_to_IfcSectionTypeEnum(Wert as String) As IfcSectionTypeEnum
  Dim Res as IfcSectionTypeEnum
  If Wert = ".UNIFORM." Then Res = fpsST_UNIFORM
  If Wert = ".TAPERED." Then Res = fpsST_TAPERED
  STEP_to_IfcSectionTypeEnum = Res
End Function</t>
  </si>
  <si>
    <t>Public Enum IfcSensorTypeEnum
  bldST_CO2SENSOR = 1
  bldST_FIRESENSOR = 2
  bldST_FLOWSENSOR = 3
  bldST_GASSENSOR = 4
  bldST_HEATSENSOR = 5
  bldST_HUMIDITYSENSOR = 6
  bldST_LIGHTSENSOR = 7
  bldST_MOISTURESENSOR = 8
  bldST_MOVEMENTSENSOR = 9
  bldST_PRESSURESENSOR = 10
  bldST_SMOKESENSOR = 11
  bldST_SOUNDSENSOR = 12
  bldST_TEMPERATURESENSOR = 13
  bldST_USERDEFINED = 14
  bldST_NOTDEFINED = 15
End Enum
Public Function IfcSensorTypeEnum_to_STEP(Wert as IfcSensorTypeEnum) As String
  Dim Res as String
  If Wert = bldST_CO2SENSOR Then Res = ".CO2SENSOR."
  If Wert = bldST_FIRESENSOR Then Res = ".FIRESENSOR."
  If Wert = bldST_FLOWSENSOR Then Res = ".FLOWSENSOR."
  If Wert = bldST_GASSENSOR Then Res = ".GASSENSOR."
  If Wert = bldST_HEATSENSOR Then Res = ".HEATSENSOR."
  If Wert = bldST_HUMIDITYSENSOR Then Res = ".HUMIDITYSENSOR."
  If Wert = bldST_LIGHTSENSOR Then Res = ".LIGHTSENSOR."
  If Wert = bldST_MOISTURESENSOR Then Res = ".MOISTURESENSOR."
  If Wert = bldST_MOVEMENTSENSOR Then Res = ".MOVEMENTSENSOR."
  If Wert = bldST_PRESSURESENSOR Then Res = ".PRESSURESENSOR."
  If Wert = bldST_SMOKESENSOR Then Res = ".SMOKESENSOR."
  If Wert = bldST_SOUNDSENSOR Then Res = ".SOUNDSENSOR."
  If Wert = bldST_TEMPERATURESENSOR Then Res = ".TEMPERATURESENSOR."
  If Wert = bldST_USERDEFINED Then Res = ".USERDEFINED."
  If Wert = bldST_NOTDEFINED Then Res = ".NOTDEFINED."
  IfcSensorTypeEnum_to_STEP = Res
End Function
Public Function STEP_to_IfcSensorTypeEnum(Wert as String) As IfcSensorTypeEnum
  Dim Res as IfcSensorTypeEnum
  If Wert = ".CO2SENSOR." Then Res = bldST_CO2SENSOR
  If Wert = ".FIRESENSOR." Then Res = bldST_FIRESENSOR
  If Wert = ".FLOWSENSOR." Then Res = bldST_FLOWSENSOR
  If Wert = ".GASSENSOR." Then Res = bldST_GASSENSOR
  If Wert = ".HEATSENSOR." Then Res = bldST_HEATSENSOR
  If Wert = ".HUMIDITYSENSOR." Then Res = bldST_HUMIDITYSENSOR
  If Wert = ".LIGHTSENSOR." Then Res = bldST_LIGHTSENSOR
  If Wert = ".MOISTURESENSOR." Then Res = bldST_MOISTURESENSOR
  If Wert = ".MOVEMENTSENSOR." Then Res = bldST_MOVEMENTSENSOR
  If Wert = ".PRESSURESENSOR." Then Res = bldST_PRESSURESENSOR
  If Wert = ".SMOKESENSOR." Then Res = bldST_SMOKESENSOR
  If Wert = ".SOUNDSENSOR." Then Res = bldST_SOUNDSENSOR
  If Wert = ".TEMPERATURESENSOR." Then Res = bldST_TEMPERATURESENSOR
  If Wert = ".USERDEFINED." Then Res = bldST_USERDEFINED
  If Wert = ".NOTDEFINED." Then Res = bldST_NOTDEFINED
  STEP_to_IfcSensorTypeEnum = Res
End Function</t>
  </si>
  <si>
    <t>Public Enum IfcSequenceEnum
  krnS_START_START = 1
  krnS_START_FINISH = 2
  krnS_FINISH_START = 3
  krnS_FINISH_FINISH = 4
  krnS_NOTDEFINED = 5
End Enum
Public Function IfcSequenceEnum_to_STEP(Wert as IfcSequenceEnum) As String
  Dim Res as String
  If Wert = krnS_START_START Then Res = ".START_START."
  If Wert = krnS_START_FINISH Then Res = ".START_FINISH."
  If Wert = krnS_FINISH_START Then Res = ".FINISH_START."
  If Wert = krnS_FINISH_FINISH Then Res = ".FINISH_FINISH."
  If Wert = krnS_NOTDEFINED Then Res = ".NOTDEFINED."
  IfcSequenceEnum_to_STEP = Res
End Function
Public Function STEP_to_IfcSequenceEnum(Wert as String) As IfcSequenceEnum
  Dim Res as IfcSequenceEnum
  If Wert = ".START_START." Then Res = krnS_START_START
  If Wert = ".START_FINISH." Then Res = krnS_START_FINISH
  If Wert = ".FINISH_START." Then Res = krnS_FINISH_START
  If Wert = ".FINISH_FINISH." Then Res = krnS_FINISH_FINISH
  If Wert = ".NOTDEFINED." Then Res = krnS_NOTDEFINED
  STEP_to_IfcSequenceEnum = Res
End Function</t>
  </si>
  <si>
    <t>Public Enum IfcServiceLifeFactorTypeEnum
  sfmSLFT_A_QUALITYOFCOMPONENTS = 1
  sfmSLFT_B_DESIGNLEVEL = 2
  sfmSLFT_C_WORKEXECUTIONLEVEL = 3
  sfmSLFT_D_INDOORENVIRONMENT = 4
  sfmSLFT_E_OUTDOORENVIRONMENT = 5
  sfmSLFT_F_INUSECONDITIONS = 6
  sfmSLFT_G_MAINTENANCELEVEL = 7
  sfmSLFT_USERDEFINED = 8
  sfmSLFT_NOTDEFINED = 9
End Enum
Public Function IfcServiceLifeFactorTypeEnum_to_STEP(Wert as IfcServiceLifeFactorTypeEnum) As String
  Dim Res as String
  If Wert = sfmSLFT_A_QUALITYOFCOMPONENTS Then Res = ".A_QUALITYOFCOMPONENTS."
  If Wert = sfmSLFT_B_DESIGNLEVEL Then Res = ".B_DESIGNLEVEL."
  If Wert = sfmSLFT_C_WORKEXECUTIONLEVEL Then Res = ".C_WORKEXECUTIONLEVEL."
  If Wert = sfmSLFT_D_INDOORENVIRONMENT Then Res = ".D_INDOORENVIRONMENT."
  If Wert = sfmSLFT_E_OUTDOORENVIRONMENT Then Res = ".E_OUTDOORENVIRONMENT."
  If Wert = sfmSLFT_F_INUSECONDITIONS Then Res = ".F_INUSECONDITIONS."
  If Wert = sfmSLFT_G_MAINTENANCELEVEL Then Res = ".G_MAINTENANCELEVEL."
  If Wert = sfmSLFT_USERDEFINED Then Res = ".USERDEFINED."
  If Wert = sfmSLFT_NOTDEFINED Then Res = ".NOTDEFINED."
  IfcServiceLifeFactorTypeEnum_to_STEP = Res
End Function
Public Function STEP_to_IfcServiceLifeFactorTypeEnum(Wert as String) As IfcServiceLifeFactorTypeEnum
  Dim Res as IfcServiceLifeFactorTypeEnum
  If Wert = ".A_QUALITYOFCOMPONENTS." Then Res = sfmSLFT_A_QUALITYOFCOMPONENTS
  If Wert = ".B_DESIGNLEVEL." Then Res = sfmSLFT_B_DESIGNLEVEL
  If Wert = ".C_WORKEXECUTIONLEVEL." Then Res = sfmSLFT_C_WORKEXECUTIONLEVEL
  If Wert = ".D_INDOORENVIRONMENT." Then Res = sfmSLFT_D_INDOORENVIRONMENT
  If Wert = ".E_OUTDOORENVIRONMENT." Then Res = sfmSLFT_E_OUTDOORENVIRONMENT
  If Wert = ".F_INUSECONDITIONS." Then Res = sfmSLFT_F_INUSECONDITIONS
  If Wert = ".G_MAINTENANCELEVEL." Then Res = sfmSLFT_G_MAINTENANCELEVEL
  If Wert = ".USERDEFINED." Then Res = sfmSLFT_USERDEFINED
  If Wert = ".NOTDEFINED." Then Res = sfmSLFT_NOTDEFINED
  STEP_to_IfcServiceLifeFactorTypeEnum = Res
End Function</t>
  </si>
  <si>
    <t>Public Enum IfcServiceLifeTypeEnum
  sfmSLT_ACTUALSERVICELIFE = 1
  sfmSLT_EXPECTEDSERVICELIFE = 2
  sfmSLT_OPTIMISTICREFERENCESERVICELIFE = 3
  sfmSLT_PESSIMISTICREFERENCESERVICELIFE = 4
  sfmSLT_REFERENCESERVICELIFE = 5
End Enum
Public Function IfcServiceLifeTypeEnum_to_STEP(Wert as IfcServiceLifeTypeEnum) As String
  Dim Res as String
  If Wert = sfmSLT_ACTUALSERVICELIFE Then Res = ".ACTUALSERVICELIFE."
  If Wert = sfmSLT_EXPECTEDSERVICELIFE Then Res = ".EXPECTEDSERVICELIFE."
  If Wert = sfmSLT_OPTIMISTICREFERENCESERVICELIFE Then Res = ".OPTIMISTICREFERENCESERVICELIFE."
  If Wert = sfmSLT_PESSIMISTICREFERENCESERVICELIFE Then Res = ".PESSIMISTICREFERENCESERVICELIFE."
  If Wert = sfmSLT_REFERENCESERVICELIFE Then Res = ".REFERENCESERVICELIFE."
  IfcServiceLifeTypeEnum_to_STEP = Res
End Function
Public Function STEP_to_IfcServiceLifeTypeEnum(Wert as String) As IfcServiceLifeTypeEnum
  Dim Res as IfcServiceLifeTypeEnum
  If Wert = ".ACTUALSERVICELIFE." Then Res = sfmSLT_ACTUALSERVICELIFE
  If Wert = ".EXPECTEDSERVICELIFE." Then Res = sfmSLT_EXPECTEDSERVICELIFE
  If Wert = ".OPTIMISTICREFERENCESERVICELIFE." Then Res = sfmSLT_OPTIMISTICREFERENCESERVICELIFE
  If Wert = ".PESSIMISTICREFERENCESERVICELIFE." Then Res = sfmSLT_PESSIMISTICREFERENCESERVICELIFE
  If Wert = ".REFERENCESERVICELIFE." Then Res = sfmSLT_REFERENCESERVICELIFE
  STEP_to_IfcServiceLifeTypeEnum = Res
End Function</t>
  </si>
  <si>
    <t>Public Enum IfcSIPrefix
  mesSIP_EXA = 1
  mesSIP_PETA = 2
  mesSIP_TERA = 3
  mesSIP_GIGA = 4
  mesSIP_MEGA = 5
  mesSIP_KILO = 6
  mesSIP_HECTO = 7
  mesSIP_DECA = 8
  mesSIP_DECI = 9
  mesSIP_CENTI = 10
  mesSIP_MILLI = 11
  mesSIP_MICRO = 12
  mesSIP_NANO = 13
  mesSIP_PICO = 14
  mesSIP_FEMTO = 15
  mesSIP_ATTO = 16
End Enum
Public Function IfcSIPrefix_to_STEP(Wert as IfcSIPrefix) As String
  Dim Res as String
  If Wert = mesSIP_EXA Then Res = ".EXA."
  If Wert = mesSIP_PETA Then Res = ".PETA."
  If Wert = mesSIP_TERA Then Res = ".TERA."
  If Wert = mesSIP_GIGA Then Res = ".GIGA."
  If Wert = mesSIP_MEGA Then Res = ".MEGA."
  If Wert = mesSIP_KILO Then Res = ".KILO."
  If Wert = mesSIP_HECTO Then Res = ".HECTO."
  If Wert = mesSIP_DECA Then Res = ".DECA."
  If Wert = mesSIP_DECI Then Res = ".DECI."
  If Wert = mesSIP_CENTI Then Res = ".CENTI."
  If Wert = mesSIP_MILLI Then Res = ".MILLI."
  If Wert = mesSIP_MICRO Then Res = ".MICRO."
  If Wert = mesSIP_NANO Then Res = ".NANO."
  If Wert = mesSIP_PICO Then Res = ".PICO."
  If Wert = mesSIP_FEMTO Then Res = ".FEMTO."
  If Wert = mesSIP_ATTO Then Res = ".ATTO."
  IfcSIPrefix_to_STEP = Res
End Function
Public Function STEP_to_IfcSIPrefix(Wert as String) As IfcSIPrefix
  Dim Res as IfcSIPrefix
  If Wert = ".EXA." Then Res = mesSIP_EXA
  If Wert = ".PETA." Then Res = mesSIP_PETA
  If Wert = ".TERA." Then Res = mesSIP_TERA
  If Wert = ".GIGA." Then Res = mesSIP_GIGA
  If Wert = ".MEGA." Then Res = mesSIP_MEGA
  If Wert = ".KILO." Then Res = mesSIP_KILO
  If Wert = ".HECTO." Then Res = mesSIP_HECTO
  If Wert = ".DECA." Then Res = mesSIP_DECA
  If Wert = ".DECI." Then Res = mesSIP_DECI
  If Wert = ".CENTI." Then Res = mesSIP_CENTI
  If Wert = ".MILLI." Then Res = mesSIP_MILLI
  If Wert = ".MICRO." Then Res = mesSIP_MICRO
  If Wert = ".NANO." Then Res = mesSIP_NANO
  If Wert = ".PICO." Then Res = mesSIP_PICO
  If Wert = ".FEMTO." Then Res = mesSIP_FEMTO
  If Wert = ".ATTO." Then Res = mesSIP_ATTO
  STEP_to_IfcSIPrefix = Res
End Function</t>
  </si>
  <si>
    <t>Public Enum IfcSIUnitName
  mesSIUN_AMPERE = 1
  mesSIUN_BECQUEREL = 2
  mesSIUN_CANDELA = 3
  mesSIUN_COULOMB = 4
  mesSIUN_CUBIC_METRE = 5
  mesSIUN_DEGREE_CELSIUS = 6
  mesSIUN_FARAD = 7
  mesSIUN_GRAM = 8
  mesSIUN_GRAY = 9
  mesSIUN_HENRY = 10
  mesSIUN_HERTZ = 11
  mesSIUN_JOULE = 12
  mesSIUN_KELVIN = 13
  mesSIUN_LUMEN = 14
  mesSIUN_LUX = 15
  mesSIUN_METRE = 16
  mesSIUN_MOLE = 17
  mesSIUN_NEWTON = 18
  mesSIUN_OHM = 19
  mesSIUN_PASCAL = 20
  mesSIUN_RADIAN = 21
  mesSIUN_SECOND = 22
  mesSIUN_SIEMENS = 23
  mesSIUN_SIEVERT = 24
  mesSIUN_SQUARE_METRE = 25
  mesSIUN_STERADIAN = 26
  mesSIUN_TESLA = 27
  mesSIUN_VOLT = 28
  mesSIUN_WATT = 29
  mesSIUN_WEBER = 30
End Enum
Public Function IfcSIUnitName_to_STEP(Wert as IfcSIUnitName) As String
  Dim Res as String
  If Wert = mesSIUN_AMPERE Then Res = ".AMPERE."
  If Wert = mesSIUN_BECQUEREL Then Res = ".BECQUEREL."
  If Wert = mesSIUN_CANDELA Then Res = ".CANDELA."
  If Wert = mesSIUN_COULOMB Then Res = ".COULOMB."
  If Wert = mesSIUN_CUBIC_METRE Then Res = ".CUBIC_METRE."
  If Wert = mesSIUN_DEGREE_CELSIUS Then Res = ".DEGREE_CELSIUS."
  If Wert = mesSIUN_FARAD Then Res = ".FARAD."
  If Wert = mesSIUN_GRAM Then Res = ".GRAM."
  If Wert = mesSIUN_GRAY Then Res = ".GRAY."
  If Wert = mesSIUN_HENRY Then Res = ".HENRY."
  If Wert = mesSIUN_HERTZ Then Res = ".HERTZ."
  If Wert = mesSIUN_JOULE Then Res = ".JOULE."
  If Wert = mesSIUN_KELVIN Then Res = ".KELVIN."
  If Wert = mesSIUN_LUMEN Then Res = ".LUMEN."
  If Wert = mesSIUN_LUX Then Res = ".LUX."
  If Wert = mesSIUN_METRE Then Res = ".METRE."
  If Wert = mesSIUN_MOLE Then Res = ".MOLE."
  If Wert = mesSIUN_NEWTON Then Res = ".NEWTON."
  If Wert = mesSIUN_OHM Then Res = ".OHM."
  If Wert = mesSIUN_PASCAL Then Res = ".PASCAL."
  If Wert = mesSIUN_RADIAN Then Res = ".RADIAN."
  If Wert = mesSIUN_SECOND Then Res = ".SECOND."
  If Wert = mesSIUN_SIEMENS Then Res = ".SIEMENS."
  If Wert = mesSIUN_SIEVERT Then Res = ".SIEVERT."
  If Wert = mesSIUN_SQUARE_METRE Then Res = ".SQUARE_METRE."
  If Wert = mesSIUN_STERADIAN Then Res = ".STERADIAN."
  If Wert = mesSIUN_TESLA Then Res = ".TESLA."
  If Wert = mesSIUN_VOLT Then Res = ".VOLT."
  If Wert = mesSIUN_WATT Then Res = ".WATT."
  If Wert = mesSIUN_WEBER Then Res = ".WEBER."
  IfcSIUnitName_to_STEP = Res
End Function
Public Function STEP_to_IfcSIUnitName(Wert as String) As IfcSIUnitName
  Dim Res as IfcSIUnitName
  If Wert = ".AMPERE." Then Res = mesSIUN_AMPERE
  If Wert = ".BECQUEREL." Then Res = mesSIUN_BECQUEREL
  If Wert = ".CANDELA." Then Res = mesSIUN_CANDELA
  If Wert = ".COULOMB." Then Res = mesSIUN_COULOMB
  If Wert = ".CUBIC_METRE." Then Res = mesSIUN_CUBIC_METRE
  If Wert = ".DEGREE_CELSIUS." Then Res = mesSIUN_DEGREE_CELSIUS
  If Wert = ".FARAD." Then Res = mesSIUN_FARAD
  If Wert = ".GRAM." Then Res = mesSIUN_GRAM
  If Wert = ".GRAY." Then Res = mesSIUN_GRAY
  If Wert = ".HENRY." Then Res = mesSIUN_HENRY
  If Wert = ".HERTZ." Then Res = mesSIUN_HERTZ
  If Wert = ".JOULE." Then Res = mesSIUN_JOULE
  If Wert = ".KELVIN." Then Res = mesSIUN_KELVIN
  If Wert = ".LUMEN." Then Res = mesSIUN_LUMEN
  If Wert = ".LUX." Then Res = mesSIUN_LUX
  If Wert = ".METRE." Then Res = mesSIUN_METRE
  If Wert = ".MOLE." Then Res = mesSIUN_MOLE
  If Wert = ".NEWTON." Then Res = mesSIUN_NEWTON
  If Wert = ".OHM." Then Res = mesSIUN_OHM
  If Wert = ".PASCAL." Then Res = mesSIUN_PASCAL
  If Wert = ".RADIAN." Then Res = mesSIUN_RADIAN
  If Wert = ".SECOND." Then Res = mesSIUN_SECOND
  If Wert = ".SIEMENS." Then Res = mesSIUN_SIEMENS
  If Wert = ".SIEVERT." Then Res = mesSIUN_SIEVERT
  If Wert = ".SQUARE_METRE." Then Res = mesSIUN_SQUARE_METRE
  If Wert = ".STERADIAN." Then Res = mesSIUN_STERADIAN
  If Wert = ".TESLA." Then Res = mesSIUN_TESLA
  If Wert = ".VOLT." Then Res = mesSIUN_VOLT
  If Wert = ".WATT." Then Res = mesSIUN_WATT
  If Wert = ".WEBER." Then Res = mesSIUN_WEBER
  STEP_to_IfcSIUnitName = Res
End Function</t>
  </si>
  <si>
    <t>Public Enum IfcSlabTypeEnum
  sbeST_FLOOR = 1
  sbeST_ROOF = 2
  sbeST_LANDING = 3
  sbeST_BASESLAB = 4
  sbeST_USERDEFINED = 5
  sbeST_NOTDEFINED = 6
End Enum
Public Function IfcSlabTypeEnum_to_STEP(Wert as IfcSlabTypeEnum) As String
  Dim Res as String
  If Wert = sbeST_FLOOR Then Res = ".FLOOR."
  If Wert = sbeST_ROOF Then Res = ".ROOF."
  If Wert = sbeST_LANDING Then Res = ".LANDING."
  If Wert = sbeST_BASESLAB Then Res = ".BASESLAB."
  If Wert = sbeST_USERDEFINED Then Res = ".USERDEFINED."
  If Wert = sbeST_NOTDEFINED Then Res = ".NOTDEFINED."
  IfcSlabTypeEnum_to_STEP = Res
End Function
Public Function STEP_to_IfcSlabTypeEnum(Wert as String) As IfcSlabTypeEnum
  Dim Res as IfcSlabTypeEnum
  If Wert = ".FLOOR." Then Res = sbeST_FLOOR
  If Wert = ".ROOF." Then Res = sbeST_ROOF
  If Wert = ".LANDING." Then Res = sbeST_LANDING
  If Wert = ".BASESLAB." Then Res = sbeST_BASESLAB
  If Wert = ".USERDEFINED." Then Res = sbeST_USERDEFINED
  If Wert = ".NOTDEFINED." Then Res = sbeST_NOTDEFINED
  STEP_to_IfcSlabTypeEnum = Res
End Function</t>
  </si>
  <si>
    <t>Public Enum IfcSoundScaleEnum
  sbsSS_DBA = 1
  sbsSS_DBB = 2
  sbsSS_DBC = 3
  sbsSS_NC = 4
  sbsSS_NR = 5
  sbsSS_USERDEFINED = 6
  sbsSS_NOTDEFINED = 7
End Enum
Public Function IfcSoundScaleEnum_to_STEP(Wert as IfcSoundScaleEnum) As String
  Dim Res as String
  If Wert = sbsSS_DBA Then Res = ".DBA."
  If Wert = sbsSS_DBB Then Res = ".DBB."
  If Wert = sbsSS_DBC Then Res = ".DBC."
  If Wert = sbsSS_NC Then Res = ".NC."
  If Wert = sbsSS_NR Then Res = ".NR."
  If Wert = sbsSS_USERDEFINED Then Res = ".USERDEFINED."
  If Wert = sbsSS_NOTDEFINED Then Res = ".NOTDEFINED."
  IfcSoundScaleEnum_to_STEP = Res
End Function
Public Function STEP_to_IfcSoundScaleEnum(Wert as String) As IfcSoundScaleEnum
  Dim Res as IfcSoundScaleEnum
  If Wert = ".DBA." Then Res = sbsSS_DBA
  If Wert = ".DBB." Then Res = sbsSS_DBB
  If Wert = ".DBC." Then Res = sbsSS_DBC
  If Wert = ".NC." Then Res = sbsSS_NC
  If Wert = ".NR." Then Res = sbsSS_NR
  If Wert = ".USERDEFINED." Then Res = sbsSS_USERDEFINED
  If Wert = ".NOTDEFINED." Then Res = sbsSS_NOTDEFINED
  STEP_to_IfcSoundScaleEnum = Res
End Function</t>
  </si>
  <si>
    <t>Public Enum IfcSpaceHeaterTypeEnum
  hvacSHT_SECTIONALRADIATOR = 1
  hvacSHT_PANELRADIATOR = 2
  hvacSHT_TUBULARRADIATOR = 3
  hvacSHT_CONVECTOR = 4
  hvacSHT_BASEBOARDHEATER = 5
  hvacSHT_FINNEDTUBEUNIT = 6
  hvacSHT_UNITHEATER = 7
  hvacSHT_USERDEFINED = 8
  hvacSHT_NOTDEFINED = 9
End Enum
Public Function IfcSpaceHeaterTypeEnum_to_STEP(Wert as IfcSpaceHeaterTypeEnum) As String
  Dim Res as String
  If Wert = hvacSHT_SECTIONALRADIATOR Then Res = ".SECTIONALRADIATOR."
  If Wert = hvacSHT_PANELRADIATOR Then Res = ".PANELRADIATOR."
  If Wert = hvacSHT_TUBULARRADIATOR Then Res = ".TUBULARRADIATOR."
  If Wert = hvacSHT_CONVECTOR Then Res = ".CONVECTOR."
  If Wert = hvacSHT_BASEBOARDHEATER Then Res = ".BASEBOARDHEATER."
  If Wert = hvacSHT_FINNEDTUBEUNIT Then Res = ".FINNEDTUBEUNIT."
  If Wert = hvacSHT_UNITHEATER Then Res = ".UNITHEATER."
  If Wert = hvacSHT_USERDEFINED Then Res = ".USERDEFINED."
  If Wert = hvacSHT_NOTDEFINED Then Res = ".NOTDEFINED."
  IfcSpaceHeaterTypeEnum_to_STEP = Res
End Function
Public Function STEP_to_IfcSpaceHeaterTypeEnum(Wert as String) As IfcSpaceHeaterTypeEnum
  Dim Res as IfcSpaceHeaterTypeEnum
  If Wert = ".SECTIONALRADIATOR." Then Res = hvacSHT_SECTIONALRADIATOR
  If Wert = ".PANELRADIATOR." Then Res = hvacSHT_PANELRADIATOR
  If Wert = ".TUBULARRADIATOR." Then Res = hvacSHT_TUBULARRADIATOR
  If Wert = ".CONVECTOR." Then Res = hvacSHT_CONVECTOR
  If Wert = ".BASEBOARDHEATER." Then Res = hvacSHT_BASEBOARDHEATER
  If Wert = ".FINNEDTUBEUNIT." Then Res = hvacSHT_FINNEDTUBEUNIT
  If Wert = ".UNITHEATER." Then Res = hvacSHT_UNITHEATER
  If Wert = ".USERDEFINED." Then Res = hvacSHT_USERDEFINED
  If Wert = ".NOTDEFINED." Then Res = hvacSHT_NOTDEFINED
  STEP_to_IfcSpaceHeaterTypeEnum = Res
End Function</t>
  </si>
  <si>
    <t>Public Enum IfcSpaceTypeEnum
  pocST_USERDEFINED = 1
  pocST_NOTDEFINED = 2
End Enum
Public Function IfcSpaceTypeEnum_to_STEP(Wert as IfcSpaceTypeEnum) As String
  Dim Res as String
  If Wert = pocST_USERDEFINED Then Res = ".USERDEFINED."
  If Wert = pocST_NOTDEFINED Then Res = ".NOTDEFINED."
  IfcSpaceTypeEnum_to_STEP = Res
End Function
Public Function STEP_to_IfcSpaceTypeEnum(Wert as String) As IfcSpaceTypeEnum
  Dim Res as IfcSpaceTypeEnum
  If Wert = ".USERDEFINED." Then Res = pocST_USERDEFINED
  If Wert = ".NOTDEFINED." Then Res = pocST_NOTDEFINED
  STEP_to_IfcSpaceTypeEnum = Res
End Function</t>
  </si>
  <si>
    <t>Public Enum IfcStackTerminalTypeEnum
  pfpStTT_BIRDCAGE = 1
  pfpStTT_COWL = 2
  pfpStTT_RAINWATERHOPPER = 3
  pfpStTT_USERDEFINED = 4
  pfpStTT_NOTDEFINED = 5
End Enum
Public Function IfcStackTerminalTypeEnum_to_STEP(Wert as IfcStackTerminalTypeEnum) As String
  Dim Res as String
  If Wert = pfpStTT_BIRDCAGE Then Res = ".BIRDCAGE."
  If Wert = pfpStTT_COWL Then Res = ".COWL."
  If Wert = pfpStTT_RAINWATERHOPPER Then Res = ".RAINWATERHOPPER."
  If Wert = pfpStTT_USERDEFINED Then Res = ".USERDEFINED."
  If Wert = pfpStTT_NOTDEFINED Then Res = ".NOTDEFINED."
  IfcStackTerminalTypeEnum_to_STEP = Res
End Function
Public Function STEP_to_IfcStackTerminalTypeEnum(Wert as String) As IfcStackTerminalTypeEnum
  Dim Res as IfcStackTerminalTypeEnum
  If Wert = ".BIRDCAGE." Then Res = pfpStTT_BIRDCAGE
  If Wert = ".COWL." Then Res = pfpStTT_COWL
  If Wert = ".RAINWATERHOPPER." Then Res = pfpStTT_RAINWATERHOPPER
  If Wert = ".USERDEFINED." Then Res = pfpStTT_USERDEFINED
  If Wert = ".NOTDEFINED." Then Res = pfpStTT_NOTDEFINED
  STEP_to_IfcStackTerminalTypeEnum = Res
End Function</t>
  </si>
  <si>
    <t>Public Enum IfcStairFlightTypeEnum
  sbeSFT_STRAIGHT = 1
  sbeSFT_WINDER = 2
  sbeSFT_SPIRAL = 3
  sbeSFT_CURVED = 4
  sbeSFT_FREEFORM = 5
  sbeSFT_USERDEFINED = 6
  sbeSFT_NOTDEFINED = 7
End Enum
Public Function IfcStairFlightTypeEnum_to_STEP(Wert as IfcStairFlightTypeEnum) As String
  Dim Res as String
  If Wert = sbeSFT_STRAIGHT Then Res = ".STRAIGHT."
  If Wert = sbeSFT_WINDER Then Res = ".WINDER."
  If Wert = sbeSFT_SPIRAL Then Res = ".SPIRAL."
  If Wert = sbeSFT_CURVED Then Res = ".CURVED."
  If Wert = sbeSFT_FREEFORM Then Res = ".FREEFORM."
  If Wert = sbeSFT_USERDEFINED Then Res = ".USERDEFINED."
  If Wert = sbeSFT_NOTDEFINED Then Res = ".NOTDEFINED."
  IfcStairFlightTypeEnum_to_STEP = Res
End Function
Public Function STEP_to_IfcStairFlightTypeEnum(Wert as String) As IfcStairFlightTypeEnum
  Dim Res as IfcStairFlightTypeEnum
  If Wert = ".STRAIGHT." Then Res = sbeSFT_STRAIGHT
  If Wert = ".WINDER." Then Res = sbeSFT_WINDER
  If Wert = ".SPIRAL." Then Res = sbeSFT_SPIRAL
  If Wert = ".CURVED." Then Res = sbeSFT_CURVED
  If Wert = ".FREEFORM." Then Res = sbeSFT_FREEFORM
  If Wert = ".USERDEFINED." Then Res = sbeSFT_USERDEFINED
  If Wert = ".NOTDEFINED." Then Res = sbeSFT_NOTDEFINED
  STEP_to_IfcStairFlightTypeEnum = Res
End Function</t>
  </si>
  <si>
    <t>Public Enum IfcStairTypeEnum
  sbeST_STRAIGHT_RUN_STAIR = 1
  sbeST_TWO_STRAIGHT_RUN_STAIR = 2
  sbeST_QUARTER_WINDING_STAIR = 3
  sbeST_QUARTER_TURN_STAIR = 4
  sbeST_HALF_WINDING_STAIR = 5
  sbeST_HALF_TURN_STAIR = 6
  sbeST_TWO_QUARTER_WINDING_STAIR = 7
  sbeST_TWO_QUARTER_TURN_STAIR = 8
  sbeST_THREE_QUARTER_WINDING_STAIR = 9
  sbeST_THREE_QUARTER_TURN_STAIR = 10
  sbeST_SPIRAL_STAIR = 11
  sbeST_DOUBLE_RETURN_STAIR = 12
  sbeST_CURVED_RUN_STAIR = 13
  sbeST_TWO_CURVED_RUN_STAIR = 14
  sbeST_USERDEFINED = 15
  sbeST_NOTDEFINED = 16
End Enum
Public Function IfcStairTypeEnum_to_STEP(Wert as IfcStairTypeEnum) As String
  Dim Res as String
  If Wert = sbeST_STRAIGHT_RUN_STAIR Then Res = ".STRAIGHT_RUN_STAIR."
  If Wert = sbeST_TWO_STRAIGHT_RUN_STAIR Then Res = ".TWO_STRAIGHT_RUN_STAIR."
  If Wert = sbeST_QUARTER_WINDING_STAIR Then Res = ".QUARTER_WINDING_STAIR."
  If Wert = sbeST_QUARTER_TURN_STAIR Then Res = ".QUARTER_TURN_STAIR."
  If Wert = sbeST_HALF_WINDING_STAIR Then Res = ".HALF_WINDING_STAIR."
  If Wert = sbeST_HALF_TURN_STAIR Then Res = ".HALF_TURN_STAIR."
  If Wert = sbeST_TWO_QUARTER_WINDING_STAIR Then Res = ".TWO_QUARTER_WINDING_STAIR."
  If Wert = sbeST_TWO_QUARTER_TURN_STAIR Then Res = ".TWO_QUARTER_TURN_STAIR."
  If Wert = sbeST_THREE_QUARTER_WINDING_STAIR Then Res = ".THREE_QUARTER_WINDING_STAIR."
  If Wert = sbeST_THREE_QUARTER_TURN_STAIR Then Res = ".THREE_QUARTER_TURN_STAIR."
  If Wert = sbeST_SPIRAL_STAIR Then Res = ".SPIRAL_STAIR."
  If Wert = sbeST_DOUBLE_RETURN_STAIR Then Res = ".DOUBLE_RETURN_STAIR."
  If Wert = sbeST_CURVED_RUN_STAIR Then Res = ".CURVED_RUN_STAIR."
  If Wert = sbeST_TWO_CURVED_RUN_STAIR Then Res = ".TWO_CURVED_RUN_STAIR."
  If Wert = sbeST_USERDEFINED Then Res = ".USERDEFINED."
  If Wert = sbeST_NOTDEFINED Then Res = ".NOTDEFINED."
  IfcStairTypeEnum_to_STEP = Res
End Function
Public Function STEP_to_IfcStairTypeEnum(Wert as String) As IfcStairTypeEnum
  Dim Res as IfcStairTypeEnum
  If Wert = ".STRAIGHT_RUN_STAIR." Then Res = sbeST_STRAIGHT_RUN_STAIR
  If Wert = ".TWO_STRAIGHT_RUN_STAIR." Then Res = sbeST_TWO_STRAIGHT_RUN_STAIR
  If Wert = ".QUARTER_WINDING_STAIR." Then Res = sbeST_QUARTER_WINDING_STAIR
  If Wert = ".QUARTER_TURN_STAIR." Then Res = sbeST_QUARTER_TURN_STAIR
  If Wert = ".HALF_WINDING_STAIR." Then Res = sbeST_HALF_WINDING_STAIR
  If Wert = ".HALF_TURN_STAIR." Then Res = sbeST_HALF_TURN_STAIR
  If Wert = ".TWO_QUARTER_WINDING_STAIR." Then Res = sbeST_TWO_QUARTER_WINDING_STAIR
  If Wert = ".TWO_QUARTER_TURN_STAIR." Then Res = sbeST_TWO_QUARTER_TURN_STAIR
  If Wert = ".THREE_QUARTER_WINDING_STAIR." Then Res = sbeST_THREE_QUARTER_WINDING_STAIR
  If Wert = ".THREE_QUARTER_TURN_STAIR." Then Res = sbeST_THREE_QUARTER_TURN_STAIR
  If Wert = ".SPIRAL_STAIR." Then Res = sbeST_SPIRAL_STAIR
  If Wert = ".DOUBLE_RETURN_STAIR." Then Res = sbeST_DOUBLE_RETURN_STAIR
  If Wert = ".CURVED_RUN_STAIR." Then Res = sbeST_CURVED_RUN_STAIR
  If Wert = ".TWO_CURVED_RUN_STAIR." Then Res = sbeST_TWO_CURVED_RUN_STAIR
  If Wert = ".USERDEFINED." Then Res = sbeST_USERDEFINED
  If Wert = ".NOTDEFINED." Then Res = sbeST_NOTDEFINED
  STEP_to_IfcStairTypeEnum = Res
End Function</t>
  </si>
  <si>
    <t>Public Enum IfcStateEnum
  utlS_READWRITE = 1
  utlS_READONLY = 2
  utlS_LOCKED = 3
  utlS_READWRITELOCKED = 4
  utlS_READONLYLOCKED = 5
End Enum
Public Function IfcStateEnum_to_STEP(Wert as IfcStateEnum) As String
  Dim Res as String
  If Wert = utlS_READWRITE Then Res = ".READWRITE."
  If Wert = utlS_READONLY Then Res = ".READONLY."
  If Wert = utlS_LOCKED Then Res = ".LOCKED."
  If Wert = utlS_READWRITELOCKED Then Res = ".READWRITELOCKED."
  If Wert = utlS_READONLYLOCKED Then Res = ".READONLYLOCKED."
  IfcStateEnum_to_STEP = Res
End Function
Public Function STEP_to_IfcStateEnum(Wert as String) As IfcStateEnum
  Dim Res as IfcStateEnum
  If Wert = ".READWRITE." Then Res = utlS_READWRITE
  If Wert = ".READONLY." Then Res = utlS_READONLY
  If Wert = ".LOCKED." Then Res = utlS_LOCKED
  If Wert = ".READWRITELOCKED." Then Res = utlS_READWRITELOCKED
  If Wert = ".READONLYLOCKED." Then Res = utlS_READONLYLOCKED
  STEP_to_IfcStateEnum = Res
End Function</t>
  </si>
  <si>
    <t>Public Enum IfcStructuralCurveTypeEnum
  stcSCT_RIGID_JOINED_MEMBER = 1
  stcSCT_PIN_JOINED_MEMBER = 2
  stcSCT_CABLE = 3
  stcSCT_TENSION_MEMBER = 4
  stcSCT_COMPRESSION_MEMBER = 5
  stcSCT_USERDEFINED = 6
  stcSCT_NOTDEFINED = 7
End Enum
Public Function IfcStructuralCurveTypeEnum_to_STEP(Wert as IfcStructuralCurveTypeEnum) As String
  Dim Res as String
  If Wert = stcSCT_RIGID_JOINED_MEMBER Then Res = ".RIGID_JOINED_MEMBER."
  If Wert = stcSCT_PIN_JOINED_MEMBER Then Res = ".PIN_JOINED_MEMBER."
  If Wert = stcSCT_CABLE Then Res = ".CABLE."
  If Wert = stcSCT_TENSION_MEMBER Then Res = ".TENSION_MEMBER."
  If Wert = stcSCT_COMPRESSION_MEMBER Then Res = ".COMPRESSION_MEMBER."
  If Wert = stcSCT_USERDEFINED Then Res = ".USERDEFINED."
  If Wert = stcSCT_NOTDEFINED Then Res = ".NOTDEFINED."
  IfcStructuralCurveTypeEnum_to_STEP = Res
End Function
Public Function STEP_to_IfcStructuralCurveTypeEnum(Wert as String) As IfcStructuralCurveTypeEnum
  Dim Res as IfcStructuralCurveTypeEnum
  If Wert = ".RIGID_JOINED_MEMBER." Then Res = stcSCT_RIGID_JOINED_MEMBER
  If Wert = ".PIN_JOINED_MEMBER." Then Res = stcSCT_PIN_JOINED_MEMBER
  If Wert = ".CABLE." Then Res = stcSCT_CABLE
  If Wert = ".TENSION_MEMBER." Then Res = stcSCT_TENSION_MEMBER
  If Wert = ".COMPRESSION_MEMBER." Then Res = stcSCT_COMPRESSION_MEMBER
  If Wert = ".USERDEFINED." Then Res = stcSCT_USERDEFINED
  If Wert = ".NOTDEFINED." Then Res = stcSCT_NOTDEFINED
  STEP_to_IfcStructuralCurveTypeEnum = Res
End Function</t>
  </si>
  <si>
    <t>Public Enum IfcStructuralSurfaceTypeEnum
  stcSST_BENDING_ELEMENT = 1
  stcSST_MEMBRANE_ELEMENT = 2
  stcSST_SHELL = 3
  stcSST_USERDEFINED = 4
  stcSST_NOTDEFINED = 5
End Enum
Public Function IfcStructuralSurfaceTypeEnum_to_STEP(Wert as IfcStructuralSurfaceTypeEnum) As String
  Dim Res as String
  If Wert = stcSST_BENDING_ELEMENT Then Res = ".BENDING_ELEMENT."
  If Wert = stcSST_MEMBRANE_ELEMENT Then Res = ".MEMBRANE_ELEMENT."
  If Wert = stcSST_SHELL Then Res = ".SHELL."
  If Wert = stcSST_USERDEFINED Then Res = ".USERDEFINED."
  If Wert = stcSST_NOTDEFINED Then Res = ".NOTDEFINED."
  IfcStructuralSurfaceTypeEnum_to_STEP = Res
End Function
Public Function STEP_to_IfcStructuralSurfaceTypeEnum(Wert as String) As IfcStructuralSurfaceTypeEnum
  Dim Res as IfcStructuralSurfaceTypeEnum
  If Wert = ".BENDING_ELEMENT." Then Res = stcSST_BENDING_ELEMENT
  If Wert = ".MEMBRANE_ELEMENT." Then Res = stcSST_MEMBRANE_ELEMENT
  If Wert = ".SHELL." Then Res = stcSST_SHELL
  If Wert = ".USERDEFINED." Then Res = stcSST_USERDEFINED
  If Wert = ".NOTDEFINED." Then Res = stcSST_NOTDEFINED
  STEP_to_IfcStructuralSurfaceTypeEnum = Res
End Function</t>
  </si>
  <si>
    <t>Public Enum IfcSurfaceSide
  repSS_POSITIVE = 1
  repSS_NEGATIVE = 2
  repSS_BOTH = 3
End Enum
Public Function IfcSurfaceSide_to_STEP(Wert as IfcSurfaceSide) As String
  Dim Res as String
  If Wert = repSS_POSITIVE Then Res = ".POSITIVE."
  If Wert = repSS_NEGATIVE Then Res = ".NEGATIVE."
  If Wert = repSS_BOTH Then Res = ".BOTH."
  IfcSurfaceSide_to_STEP = Res
End Function
Public Function STEP_to_IfcSurfaceSide(Wert as String) As IfcSurfaceSide
  Dim Res as IfcSurfaceSide
  If Wert = ".POSITIVE." Then Res = repSS_POSITIVE
  If Wert = ".NEGATIVE." Then Res = repSS_NEGATIVE
  If Wert = ".BOTH." Then Res = repSS_BOTH
  STEP_to_IfcSurfaceSide = Res
End Function</t>
  </si>
  <si>
    <t>Public Enum IfcSurfaceTextureEnum
  repST_BUMP = 1
  repST_OPACITY = 2
  repST_REFLECTION = 3
  repST_SELFILLUMINATION = 4
  repST_SHININESS = 5
  repST_SPECULAR = 6
  repST_TEXTURE = 7
  repST_TRANSPARENCYMAP = 8
  repST_NOTDEFINED = 9
End Enum
Public Function IfcSurfaceTextureEnum_to_STEP(Wert as IfcSurfaceTextureEnum) As String
  Dim Res as String
  If Wert = repST_BUMP Then Res = ".BUMP."
  If Wert = repST_OPACITY Then Res = ".OPACITY."
  If Wert = repST_REFLECTION Then Res = ".REFLECTION."
  If Wert = repST_SELFILLUMINATION Then Res = ".SELFILLUMINATION."
  If Wert = repST_SHININESS Then Res = ".SHININESS."
  If Wert = repST_SPECULAR Then Res = ".SPECULAR."
  If Wert = repST_TEXTURE Then Res = ".TEXTURE."
  If Wert = repST_TRANSPARENCYMAP Then Res = ".TRANSPARENCYMAP."
  If Wert = repST_NOTDEFINED Then Res = ".NOTDEFINED."
  IfcSurfaceTextureEnum_to_STEP = Res
End Function
Public Function STEP_to_IfcSurfaceTextureEnum(Wert as String) As IfcSurfaceTextureEnum
  Dim Res as IfcSurfaceTextureEnum
  If Wert = ".BUMP." Then Res = repST_BUMP
  If Wert = ".OPACITY." Then Res = repST_OPACITY
  If Wert = ".REFLECTION." Then Res = repST_REFLECTION
  If Wert = ".SELFILLUMINATION." Then Res = repST_SELFILLUMINATION
  If Wert = ".SHININESS." Then Res = repST_SHININESS
  If Wert = ".SPECULAR." Then Res = repST_SPECULAR
  If Wert = ".TEXTURE." Then Res = repST_TEXTURE
  If Wert = ".TRANSPARENCYMAP." Then Res = repST_TRANSPARENCYMAP
  If Wert = ".NOTDEFINED." Then Res = repST_NOTDEFINED
  STEP_to_IfcSurfaceTextureEnum = Res
End Function</t>
  </si>
  <si>
    <t>Public Enum IfcSwitchingDeviceTypeEnum
  eleSDT_CONTACTOR = 1
  eleSDT_EMERGENCYSTOP = 2
  eleSDT_STARTER = 3
  eleSDT_SWITCHDISCONNECTOR = 4
  eleSDT_TOGGLESWITCH = 5
  eleSDT_USERDEFINED = 6
  eleSDT_NOTDEFINED = 7
End Enum
Public Function IfcSwitchingDeviceTypeEnum_to_STEP(Wert as IfcSwitchingDeviceTypeEnum) As String
  Dim Res as String
  If Wert = eleSDT_CONTACTOR Then Res = ".CONTACTOR."
  If Wert = eleSDT_EMERGENCYSTOP Then Res = ".EMERGENCYSTOP."
  If Wert = eleSDT_STARTER Then Res = ".STARTER."
  If Wert = eleSDT_SWITCHDISCONNECTOR Then Res = ".SWITCHDISCONNECTOR."
  If Wert = eleSDT_TOGGLESWITCH Then Res = ".TOGGLESWITCH."
  If Wert = eleSDT_USERDEFINED Then Res = ".USERDEFINED."
  If Wert = eleSDT_NOTDEFINED Then Res = ".NOTDEFINED."
  IfcSwitchingDeviceTypeEnum_to_STEP = Res
End Function
Public Function STEP_to_IfcSwitchingDeviceTypeEnum(Wert as String) As IfcSwitchingDeviceTypeEnum
  Dim Res as IfcSwitchingDeviceTypeEnum
  If Wert = ".CONTACTOR." Then Res = eleSDT_CONTACTOR
  If Wert = ".EMERGENCYSTOP." Then Res = eleSDT_EMERGENCYSTOP
  If Wert = ".STARTER." Then Res = eleSDT_STARTER
  If Wert = ".SWITCHDISCONNECTOR." Then Res = eleSDT_SWITCHDISCONNECTOR
  If Wert = ".TOGGLESWITCH." Then Res = eleSDT_TOGGLESWITCH
  If Wert = ".USERDEFINED." Then Res = eleSDT_USERDEFINED
  If Wert = ".NOTDEFINED." Then Res = eleSDT_NOTDEFINED
  STEP_to_IfcSwitchingDeviceTypeEnum = Res
End Function</t>
  </si>
  <si>
    <t>Public Enum IfcTankTypeEnum
  hvacTT_PREFORMED = 1
  hvacTT_SECTIONAL = 2
  hvacTT_EXPANSION = 3
  hvacTT_PRESSUREVESSEL = 4
  hvacTT_USERDEFINED = 5
  hvacTT_NOTDEFINED = 6
End Enum
Public Function IfcTankTypeEnum_to_STEP(Wert as IfcTankTypeEnum) As String
  Dim Res as String
  If Wert = hvacTT_PREFORMED Then Res = ".PREFORMED."
  If Wert = hvacTT_SECTIONAL Then Res = ".SECTIONAL."
  If Wert = hvacTT_EXPANSION Then Res = ".EXPANSION."
  If Wert = hvacTT_PRESSUREVESSEL Then Res = ".PRESSUREVESSEL."
  If Wert = hvacTT_USERDEFINED Then Res = ".USERDEFINED."
  If Wert = hvacTT_NOTDEFINED Then Res = ".NOTDEFINED."
  IfcTankTypeEnum_to_STEP = Res
End Function
Public Function STEP_to_IfcTankTypeEnum(Wert as String) As IfcTankTypeEnum
  Dim Res as IfcTankTypeEnum
  If Wert = ".PREFORMED." Then Res = hvacTT_PREFORMED
  If Wert = ".SECTIONAL." Then Res = hvacTT_SECTIONAL
  If Wert = ".EXPANSION." Then Res = hvacTT_EXPANSION
  If Wert = ".PRESSUREVESSEL." Then Res = hvacTT_PRESSUREVESSEL
  If Wert = ".USERDEFINED." Then Res = hvacTT_USERDEFINED
  If Wert = ".NOTDEFINED." Then Res = hvacTT_NOTDEFINED
  STEP_to_IfcTankTypeEnum = Res
End Function</t>
  </si>
  <si>
    <t>Public Enum IfcTendonTypeEnum
  stcTT_STRAND = 1
  stcTT_WIRE = 2
  stcTT_BAR = 3
  stcTT_COATED = 4
  stcTT_USERDEFINED = 5
  stcTT_NOTDEFINED = 6
End Enum
Public Function IfcTendonTypeEnum_to_STEP(Wert as IfcTendonTypeEnum) As String
  Dim Res as String
  If Wert = stcTT_STRAND Then Res = ".STRAND."
  If Wert = stcTT_WIRE Then Res = ".WIRE."
  If Wert = stcTT_BAR Then Res = ".BAR."
  If Wert = stcTT_COATED Then Res = ".COATED."
  If Wert = stcTT_USERDEFINED Then Res = ".USERDEFINED."
  If Wert = stcTT_NOTDEFINED Then Res = ".NOTDEFINED."
  IfcTendonTypeEnum_to_STEP = Res
End Function
Public Function STEP_to_IfcTendonTypeEnum(Wert as String) As IfcTendonTypeEnum
  Dim Res as IfcTendonTypeEnum
  If Wert = ".STRAND." Then Res = stcTT_STRAND
  If Wert = ".WIRE." Then Res = stcTT_WIRE
  If Wert = ".BAR." Then Res = stcTT_BAR
  If Wert = ".COATED." Then Res = stcTT_COATED
  If Wert = ".USERDEFINED." Then Res = stcTT_USERDEFINED
  If Wert = ".NOTDEFINED." Then Res = stcTT_NOTDEFINED
  STEP_to_IfcTendonTypeEnum = Res
End Function</t>
  </si>
  <si>
    <t>Public Enum IfcTextPath
  repTP_LEFT = 1
  repTP_RIGHT = 2
  repTP_UP = 3
  repTP_DOWN = 4
End Enum
Public Function IfcTextPath_to_STEP(Wert as IfcTextPath) As String
  Dim Res as String
  If Wert = repTP_LEFT Then Res = ".LEFT."
  If Wert = repTP_RIGHT Then Res = ".RIGHT."
  If Wert = repTP_UP Then Res = ".UP."
  If Wert = repTP_DOWN Then Res = ".DOWN."
  IfcTextPath_to_STEP = Res
End Function
Public Function STEP_to_IfcTextPath(Wert as String) As IfcTextPath
  Dim Res as IfcTextPath
  If Wert = ".LEFT." Then Res = repTP_LEFT
  If Wert = ".RIGHT." Then Res = repTP_RIGHT
  If Wert = ".UP." Then Res = repTP_UP
  If Wert = ".DOWN." Then Res = repTP_DOWN
  STEP_to_IfcTextPath = Res
End Function</t>
  </si>
  <si>
    <t>Public Enum IfcThermalLoadSourceEnum
  sbsTLS_PEOPLE = 1
  sbsTLS_LIGHTING = 2
  sbsTLS_EQUIPMENT = 3
  sbsTLS_VENTILATIONINDOORAIR = 4
  sbsTLS_VENTILATIONOUTSIDEAIR = 5
  sbsTLS_RECIRCULATEDAIR = 6
  sbsTLS_EXHAUSTAIR = 7
  sbsTLS_AIREXCHANGERATE = 8
  sbsTLS_DRYBULBTEMPERATURE = 9
  sbsTLS_RELATIVEHUMIDITY = 10
  sbsTLS_INFILTRATION = 11
  sbsTLS_USERDEFINED = 12
  sbsTLS_NOTDEFINED = 13
End Enum
Public Function IfcThermalLoadSourceEnum_to_STEP(Wert as IfcThermalLoadSourceEnum) As String
  Dim Res as String
  If Wert = sbsTLS_PEOPLE Then Res = ".PEOPLE."
  If Wert = sbsTLS_LIGHTING Then Res = ".LIGHTING."
  If Wert = sbsTLS_EQUIPMENT Then Res = ".EQUIPMENT."
  If Wert = sbsTLS_VENTILATIONINDOORAIR Then Res = ".VENTILATIONINDOORAIR."
  If Wert = sbsTLS_VENTILATIONOUTSIDEAIR Then Res = ".VENTILATIONOUTSIDEAIR."
  If Wert = sbsTLS_RECIRCULATEDAIR Then Res = ".RECIRCULATEDAIR."
  If Wert = sbsTLS_EXHAUSTAIR Then Res = ".EXHAUSTAIR."
  If Wert = sbsTLS_AIREXCHANGERATE Then Res = ".AIREXCHANGERATE."
  If Wert = sbsTLS_DRYBULBTEMPERATURE Then Res = ".DRYBULBTEMPERATURE."
  If Wert = sbsTLS_RELATIVEHUMIDITY Then Res = ".RELATIVEHUMIDITY."
  If Wert = sbsTLS_INFILTRATION Then Res = ".INFILTRATION."
  If Wert = sbsTLS_USERDEFINED Then Res = ".USERDEFINED."
  If Wert = sbsTLS_NOTDEFINED Then Res = ".NOTDEFINED."
  IfcThermalLoadSourceEnum_to_STEP = Res
End Function
Public Function STEP_to_IfcThermalLoadSourceEnum(Wert as String) As IfcThermalLoadSourceEnum
  Dim Res as IfcThermalLoadSourceEnum
  If Wert = ".PEOPLE." Then Res = sbsTLS_PEOPLE
  If Wert = ".LIGHTING." Then Res = sbsTLS_LIGHTING
  If Wert = ".EQUIPMENT." Then Res = sbsTLS_EQUIPMENT
  If Wert = ".VENTILATIONINDOORAIR." Then Res = sbsTLS_VENTILATIONINDOORAIR
  If Wert = ".VENTILATIONOUTSIDEAIR." Then Res = sbsTLS_VENTILATIONOUTSIDEAIR
  If Wert = ".RECIRCULATEDAIR." Then Res = sbsTLS_RECIRCULATEDAIR
  If Wert = ".EXHAUSTAIR." Then Res = sbsTLS_EXHAUSTAIR
  If Wert = ".AIREXCHANGERATE." Then Res = sbsTLS_AIREXCHANGERATE
  If Wert = ".DRYBULBTEMPERATURE." Then Res = sbsTLS_DRYBULBTEMPERATURE
  If Wert = ".RELATIVEHUMIDITY." Then Res = sbsTLS_RELATIVEHUMIDITY
  If Wert = ".INFILTRATION." Then Res = sbsTLS_INFILTRATION
  If Wert = ".USERDEFINED." Then Res = sbsTLS_USERDEFINED
  If Wert = ".NOTDEFINED." Then Res = sbsTLS_NOTDEFINED
  STEP_to_IfcThermalLoadSourceEnum = Res
End Function</t>
  </si>
  <si>
    <t>Public Enum IfcThermalLoadTypeEnum
  sbsTLT_SENSIBLE = 1
  sbsTLT_LATENT = 2
  sbsTLT_RADIANT = 3
  sbsTLT_NOTDEFINED = 4
End Enum
Public Function IfcThermalLoadTypeEnum_to_STEP(Wert as IfcThermalLoadTypeEnum) As String
  Dim Res as String
  If Wert = sbsTLT_SENSIBLE Then Res = ".SENSIBLE."
  If Wert = sbsTLT_LATENT Then Res = ".LATENT."
  If Wert = sbsTLT_RADIANT Then Res = ".RADIANT."
  If Wert = sbsTLT_NOTDEFINED Then Res = ".NOTDEFINED."
  IfcThermalLoadTypeEnum_to_STEP = Res
End Function
Public Function STEP_to_IfcThermalLoadTypeEnum(Wert as String) As IfcThermalLoadTypeEnum
  Dim Res as IfcThermalLoadTypeEnum
  If Wert = ".SENSIBLE." Then Res = sbsTLT_SENSIBLE
  If Wert = ".LATENT." Then Res = sbsTLT_LATENT
  If Wert = ".RADIANT." Then Res = sbsTLT_RADIANT
  If Wert = ".NOTDEFINED." Then Res = sbsTLT_NOTDEFINED
  STEP_to_IfcThermalLoadTypeEnum = Res
End Function</t>
  </si>
  <si>
    <t>Public Enum IfcTimeSeriesDataTypeEnum
  tisTSDT_CONTINUOUS = 1
  tisTSDT_DISCRETE = 2
  tisTSDT_DISCRETEBINARY = 3
  tisTSDT_PIECEWISEBINARY = 4
  tisTSDT_PIECEWISECONSTANT = 5
  tisTSDT_PIECEWISECONTINUOUS = 6
  tisTSDT_NOTDEFINED = 7
End Enum
Public Function IfcTimeSeriesDataTypeEnum_to_STEP(Wert as IfcTimeSeriesDataTypeEnum) As String
  Dim Res as String
  If Wert = tisTSDT_CONTINUOUS Then Res = ".CONTINUOUS."
  If Wert = tisTSDT_DISCRETE Then Res = ".DISCRETE."
  If Wert = tisTSDT_DISCRETEBINARY Then Res = ".DISCRETEBINARY."
  If Wert = tisTSDT_PIECEWISEBINARY Then Res = ".PIECEWISEBINARY."
  If Wert = tisTSDT_PIECEWISECONSTANT Then Res = ".PIECEWISECONSTANT."
  If Wert = tisTSDT_PIECEWISECONTINUOUS Then Res = ".PIECEWISECONTINUOUS."
  If Wert = tisTSDT_NOTDEFINED Then Res = ".NOTDEFINED."
  IfcTimeSeriesDataTypeEnum_to_STEP = Res
End Function
Public Function STEP_to_IfcTimeSeriesDataTypeEnum(Wert as String) As IfcTimeSeriesDataTypeEnum
  Dim Res as IfcTimeSeriesDataTypeEnum
  If Wert = ".CONTINUOUS." Then Res = tisTSDT_CONTINUOUS
  If Wert = ".DISCRETE." Then Res = tisTSDT_DISCRETE
  If Wert = ".DISCRETEBINARY." Then Res = tisTSDT_DISCRETEBINARY
  If Wert = ".PIECEWISEBINARY." Then Res = tisTSDT_PIECEWISEBINARY
  If Wert = ".PIECEWISECONSTANT." Then Res = tisTSDT_PIECEWISECONSTANT
  If Wert = ".PIECEWISECONTINUOUS." Then Res = tisTSDT_PIECEWISECONTINUOUS
  If Wert = ".NOTDEFINED." Then Res = tisTSDT_NOTDEFINED
  STEP_to_IfcTimeSeriesDataTypeEnum = Res
End Function</t>
  </si>
  <si>
    <t>Public Enum IfcTimeSeriesScheduleTypeEnum
  ctrTSST_ANNUAL = 1
  ctrTSST_MONTHLY = 2
  ctrTSST_WEEKLY = 3
  ctrTSST_DAILY = 4
  ctrTSST_USERDEFINED = 5
  ctrTSST_NOTDEFINED = 6
End Enum
Public Function IfcTimeSeriesScheduleTypeEnum_to_STEP(Wert as IfcTimeSeriesScheduleTypeEnum) As String
  Dim Res as String
  If Wert = ctrTSST_ANNUAL Then Res = ".ANNUAL."
  If Wert = ctrTSST_MONTHLY Then Res = ".MONTHLY."
  If Wert = ctrTSST_WEEKLY Then Res = ".WEEKLY."
  If Wert = ctrTSST_DAILY Then Res = ".DAILY."
  If Wert = ctrTSST_USERDEFINED Then Res = ".USERDEFINED."
  If Wert = ctrTSST_NOTDEFINED Then Res = ".NOTDEFINED."
  IfcTimeSeriesScheduleTypeEnum_to_STEP = Res
End Function
Public Function STEP_to_IfcTimeSeriesScheduleTypeEnum(Wert as String) As IfcTimeSeriesScheduleTypeEnum
  Dim Res as IfcTimeSeriesScheduleTypeEnum
  If Wert = ".ANNUAL." Then Res = ctrTSST_ANNUAL
  If Wert = ".MONTHLY." Then Res = ctrTSST_MONTHLY
  If Wert = ".WEEKLY." Then Res = ctrTSST_WEEKLY
  If Wert = ".DAILY." Then Res = ctrTSST_DAILY
  If Wert = ".USERDEFINED." Then Res = ctrTSST_USERDEFINED
  If Wert = ".NOTDEFINED." Then Res = ctrTSST_NOTDEFINED
  STEP_to_IfcTimeSeriesScheduleTypeEnum = Res
End Function</t>
  </si>
  <si>
    <t>Public Enum IfcTransformerTypeEnum
  eleTT_CURRENT = 1
  eleTT_FREQUENCY = 2
  eleTT_VOLTAGE = 3
  eleTT_USERDEFINED = 4
  eleTT_NOTDEFINED = 5
End Enum
Public Function IfcTransformerTypeEnum_to_STEP(Wert as IfcTransformerTypeEnum) As String
  Dim Res as String
  If Wert = eleTT_CURRENT Then Res = ".CURRENT."
  If Wert = eleTT_FREQUENCY Then Res = ".FREQUENCY."
  If Wert = eleTT_VOLTAGE Then Res = ".VOLTAGE."
  If Wert = eleTT_USERDEFINED Then Res = ".USERDEFINED."
  If Wert = eleTT_NOTDEFINED Then Res = ".NOTDEFINED."
  IfcTransformerTypeEnum_to_STEP = Res
End Function
Public Function STEP_to_IfcTransformerTypeEnum(Wert as String) As IfcTransformerTypeEnum
  Dim Res as IfcTransformerTypeEnum
  If Wert = ".CURRENT." Then Res = eleTT_CURRENT
  If Wert = ".FREQUENCY." Then Res = eleTT_FREQUENCY
  If Wert = ".VOLTAGE." Then Res = eleTT_VOLTAGE
  If Wert = ".USERDEFINED." Then Res = eleTT_USERDEFINED
  If Wert = ".NOTDEFINED." Then Res = eleTT_NOTDEFINED
  STEP_to_IfcTransformerTypeEnum = Res
End Function</t>
  </si>
  <si>
    <t>Public Enum IfcTransitionCode
  geoTC_DISCONTINUOUS = 1
  geoTC_CONTINUOUS = 2
  geoTC_CONTSAMEGRADIENT = 3
  geoTC_CONTSAMEGRADIENTSAMECURVATURE = 4
End Enum
Public Function IfcTransitionCode_to_STEP(Wert as IfcTransitionCode) As String
  Dim Res as String
  If Wert = geoTC_DISCONTINUOUS Then Res = ".DISCONTINUOUS."
  If Wert = geoTC_CONTINUOUS Then Res = ".CONTINUOUS."
  If Wert = geoTC_CONTSAMEGRADIENT Then Res = ".CONTSAMEGRADIENT."
  If Wert = geoTC_CONTSAMEGRADIENTSAMECURVATURE Then Res = ".CONTSAMEGRADIENTSAMECURVATURE."
  IfcTransitionCode_to_STEP = Res
End Function
Public Function STEP_to_IfcTransitionCode(Wert as String) As IfcTransitionCode
  Dim Res as IfcTransitionCode
  If Wert = ".DISCONTINUOUS." Then Res = geoTC_DISCONTINUOUS
  If Wert = ".CONTINUOUS." Then Res = geoTC_CONTINUOUS
  If Wert = ".CONTSAMEGRADIENT." Then Res = geoTC_CONTSAMEGRADIENT
  If Wert = ".CONTSAMEGRADIENTSAMECURVATURE." Then Res = geoTC_CONTSAMEGRADIENTSAMECURVATURE
  STEP_to_IfcTransitionCode = Res
End Function</t>
  </si>
  <si>
    <t>Public Enum IfcTransportElementTypeEnum
  pocTET_ELEVATOR = 1
  pocTET_ESCALATOR = 2
  pocTET_MOVINGWALKWAY = 3
  pocTET_USERDEFINED = 4
  pocTET_NOTDEFINED = 5
End Enum
Public Function IfcTransportElementTypeEnum_to_STEP(Wert as IfcTransportElementTypeEnum) As String
  Dim Res as String
  If Wert = pocTET_ELEVATOR Then Res = ".ELEVATOR."
  If Wert = pocTET_ESCALATOR Then Res = ".ESCALATOR."
  If Wert = pocTET_MOVINGWALKWAY Then Res = ".MOVINGWALKWAY."
  If Wert = pocTET_USERDEFINED Then Res = ".USERDEFINED."
  If Wert = pocTET_NOTDEFINED Then Res = ".NOTDEFINED."
  IfcTransportElementTypeEnum_to_STEP = Res
End Function
Public Function STEP_to_IfcTransportElementTypeEnum(Wert as String) As IfcTransportElementTypeEnum
  Dim Res as IfcTransportElementTypeEnum
  If Wert = ".ELEVATOR." Then Res = pocTET_ELEVATOR
  If Wert = ".ESCALATOR." Then Res = pocTET_ESCALATOR
  If Wert = ".MOVINGWALKWAY." Then Res = pocTET_MOVINGWALKWAY
  If Wert = ".USERDEFINED." Then Res = pocTET_USERDEFINED
  If Wert = ".NOTDEFINED." Then Res = pocTET_NOTDEFINED
  STEP_to_IfcTransportElementTypeEnum = Res
End Function</t>
  </si>
  <si>
    <t>Public Enum IfcTrimmingPreference
  geoTP_CARTESIAN = 1
  geoTP_PARAMETER = 2
  geoTP_UNSPECIFIED = 3
End Enum
Public Function IfcTrimmingPreference_to_STEP(Wert as IfcTrimmingPreference) As String
  Dim Res as String
  If Wert = geoTP_CARTESIAN Then Res = ".CARTESIAN."
  If Wert = geoTP_PARAMETER Then Res = ".PARAMETER."
  If Wert = geoTP_UNSPECIFIED Then Res = ".UNSPECIFIED."
  IfcTrimmingPreference_to_STEP = Res
End Function
Public Function STEP_to_IfcTrimmingPreference(Wert as String) As IfcTrimmingPreference
  Dim Res as IfcTrimmingPreference
  If Wert = ".CARTESIAN." Then Res = geoTP_CARTESIAN
  If Wert = ".PARAMETER." Then Res = geoTP_PARAMETER
  If Wert = ".UNSPECIFIED." Then Res = geoTP_UNSPECIFIED
  STEP_to_IfcTrimmingPreference = Res
End Function</t>
  </si>
  <si>
    <t>Public Enum IfcTubeBundleTypeEnum
  hvacTBT_FINNED = 1
  hvacTBT_USERDEFINED = 2
  hvacTBT_NOTDEFINED = 3
End Enum
Public Function IfcTubeBundleTypeEnum_to_STEP(Wert as IfcTubeBundleTypeEnum) As String
  Dim Res as String
  If Wert = hvacTBT_FINNED Then Res = ".FINNED."
  If Wert = hvacTBT_USERDEFINED Then Res = ".USERDEFINED."
  If Wert = hvacTBT_NOTDEFINED Then Res = ".NOTDEFINED."
  IfcTubeBundleTypeEnum_to_STEP = Res
End Function
Public Function STEP_to_IfcTubeBundleTypeEnum(Wert as String) As IfcTubeBundleTypeEnum
  Dim Res as IfcTubeBundleTypeEnum
  If Wert = ".FINNED." Then Res = hvacTBT_FINNED
  If Wert = ".USERDEFINED." Then Res = hvacTBT_USERDEFINED
  If Wert = ".NOTDEFINED." Then Res = hvacTBT_NOTDEFINED
  STEP_to_IfcTubeBundleTypeEnum = Res
End Function</t>
  </si>
  <si>
    <t>Public Enum IfcUnitaryEquipmentTypeEnum
  hvacUET_AIRHANDLER = 1
  hvacUET_AIRCONDITIONINGUNIT = 2
  hvacUET_SPLITSYSTEM = 3
  hvacUET_ROOFTOPUNIT = 4
  hvacUET_USERDEFINED = 5
  hvacUET_NOTDEFINED = 6
End Enum
Public Function IfcUnitaryEquipmentTypeEnum_to_STEP(Wert as IfcUnitaryEquipmentTypeEnum) As String
  Dim Res as String
  If Wert = hvacUET_AIRHANDLER Then Res = ".AIRHANDLER."
  If Wert = hvacUET_AIRCONDITIONINGUNIT Then Res = ".AIRCONDITIONINGUNIT."
  If Wert = hvacUET_SPLITSYSTEM Then Res = ".SPLITSYSTEM."
  If Wert = hvacUET_ROOFTOPUNIT Then Res = ".ROOFTOPUNIT."
  If Wert = hvacUET_USERDEFINED Then Res = ".USERDEFINED."
  If Wert = hvacUET_NOTDEFINED Then Res = ".NOTDEFINED."
  IfcUnitaryEquipmentTypeEnum_to_STEP = Res
End Function
Public Function STEP_to_IfcUnitaryEquipmentTypeEnum(Wert as String) As IfcUnitaryEquipmentTypeEnum
  Dim Res as IfcUnitaryEquipmentTypeEnum
  If Wert = ".AIRHANDLER." Then Res = hvacUET_AIRHANDLER
  If Wert = ".AIRCONDITIONINGUNIT." Then Res = hvacUET_AIRCONDITIONINGUNIT
  If Wert = ".SPLITSYSTEM." Then Res = hvacUET_SPLITSYSTEM
  If Wert = ".ROOFTOPUNIT." Then Res = hvacUET_ROOFTOPUNIT
  If Wert = ".USERDEFINED." Then Res = hvacUET_USERDEFINED
  If Wert = ".NOTDEFINED." Then Res = hvacUET_NOTDEFINED
  STEP_to_IfcUnitaryEquipmentTypeEnum = Res
End Function</t>
  </si>
  <si>
    <t>Public Enum IfcUnitEnum
  mesU_ABSORBEDDOSEUNIT = 1
  mesU_AMOUNTOFSUBSTANCEUNIT = 2
  mesU_AREAUNIT = 3
  mesU_DOSEEQUIVALENTUNIT = 4
  mesU_ELECTRICCAPACITANCEUNIT = 5
  mesU_ELECTRICCHARGEUNIT = 6
  mesU_ELECTRICCONDUCTANCEUNIT = 7
  mesU_ELECTRICCURRENTUNIT = 8
  mesU_ELECTRICRESISTANCEUNIT = 9
  mesU_ELECTRICVOLTAGEUNIT = 10
  mesU_ENERGYUNIT = 11
  mesU_FORCEUNIT = 12
  mesU_FREQUENCYUNIT = 13
  mesU_ILLUMINANCEUNIT = 14
  mesU_INDUCTANCEUNIT = 15
  mesU_LENGTHUNIT = 16
  mesU_LUMINOUSFLUXUNIT = 17
  mesU_LUMINOUSINTENSITYUNIT = 18
  mesU_MAGNETICFLUXDENSITYUNIT = 19
  mesU_MAGNETICFLUXUNIT = 20
  mesU_MASSUNIT = 21
  mesU_PLANEANGLEUNIT = 22
  mesU_POWERUNIT = 23
  mesU_PRESSUREUNIT = 24
  mesU_RADIOACTIVITYUNIT = 25
  mesU_SOLIDANGLEUNIT = 26
  mesU_THERMODYNAMICTEMPERATUREUNIT = 27
  mesU_TIMEUNIT = 28
  mesU_VOLUMEUNIT = 29
  mesU_USERDEFINED = 30
End Enum
Public Function IfcUnitEnum_to_STEP(Wert as IfcUnitEnum) As String
  Dim Res as String
  If Wert = mesU_ABSORBEDDOSEUNIT Then Res = ".ABSORBEDDOSEUNIT."
  If Wert = mesU_AMOUNTOFSUBSTANCEUNIT Then Res = ".AMOUNTOFSUBSTANCEUNIT."
  If Wert = mesU_AREAUNIT Then Res = ".AREAUNIT."
  If Wert = mesU_DOSEEQUIVALENTUNIT Then Res = ".DOSEEQUIVALENTUNIT."
  If Wert = mesU_ELECTRICCAPACITANCEUNIT Then Res = ".ELECTRICCAPACITANCEUNIT."
  If Wert = mesU_ELECTRICCHARGEUNIT Then Res = ".ELECTRICCHARGEUNIT."
  If Wert = mesU_ELECTRICCONDUCTANCEUNIT Then Res = ".ELECTRICCONDUCTANCEUNIT."
  If Wert = mesU_ELECTRICCURRENTUNIT Then Res = ".ELECTRICCURRENTUNIT."
  If Wert = mesU_ELECTRICRESISTANCEUNIT Then Res = ".ELECTRICRESISTANCEUNIT."
  If Wert = mesU_ELECTRICVOLTAGEUNIT Then Res = ".ELECTRICVOLTAGEUNIT."
  If Wert = mesU_ENERGYUNIT Then Res = ".ENERGYUNIT."
  If Wert = mesU_FORCEUNIT Then Res = ".FORCEUNIT."
  If Wert = mesU_FREQUENCYUNIT Then Res = ".FREQUENCYUNIT."
  If Wert = mesU_ILLUMINANCEUNIT Then Res = ".ILLUMINANCEUNIT."
  If Wert = mesU_INDUCTANCEUNIT Then Res = ".INDUCTANCEUNIT."
  If Wert = mesU_LENGTHUNIT Then Res = ".LENGTHUNIT."
  If Wert = mesU_LUMINOUSFLUXUNIT Then Res = ".LUMINOUSFLUXUNIT."
  If Wert = mesU_LUMINOUSINTENSITYUNIT Then Res = ".LUMINOUSINTENSITYUNIT."
  If Wert = mesU_MAGNETICFLUXDENSITYUNIT Then Res = ".MAGNETICFLUXDENSITYUNIT."
  If Wert = mesU_MAGNETICFLUXUNIT Then Res = ".MAGNETICFLUXUNIT."
  If Wert = mesU_MASSUNIT Then Res = ".MASSUNIT."
  If Wert = mesU_PLANEANGLEUNIT Then Res = ".PLANEANGLEUNIT."
  If Wert = mesU_POWERUNIT Then Res = ".POWERUNIT."
  If Wert = mesU_PRESSUREUNIT Then Res = ".PRESSUREUNIT."
  If Wert = mesU_RADIOACTIVITYUNIT Then Res = ".RADIOACTIVITYUNIT."
  If Wert = mesU_SOLIDANGLEUNIT Then Res = ".SOLIDANGLEUNIT."
  If Wert = mesU_THERMODYNAMICTEMPERATUREUNIT Then Res = ".THERMODYNAMICTEMPERATUREUNIT."
  If Wert = mesU_TIMEUNIT Then Res = ".TIMEUNIT."
  If Wert = mesU_VOLUMEUNIT Then Res = ".VOLUMEUNIT."
  If Wert = mesU_USERDEFINED Then Res = ".USERDEFINED."
  IfcUnitEnum_to_STEP = Res
End Function
Public Function STEP_to_IfcUnitEnum(Wert as String) As IfcUnitEnum
  Dim Res as IfcUnitEnum
  If Wert = ".ABSORBEDDOSEUNIT." Then Res = mesU_ABSORBEDDOSEUNIT
  If Wert = ".AMOUNTOFSUBSTANCEUNIT." Then Res = mesU_AMOUNTOFSUBSTANCEUNIT
  If Wert = ".AREAUNIT." Then Res = mesU_AREAUNIT
  If Wert = ".DOSEEQUIVALENTUNIT." Then Res = mesU_DOSEEQUIVALENTUNIT
  If Wert = ".ELECTRICCAPACITANCEUNIT." Then Res = mesU_ELECTRICCAPACITANCEUNIT
  If Wert = ".ELECTRICCHARGEUNIT." Then Res = mesU_ELECTRICCHARGEUNIT
  If Wert = ".ELECTRICCONDUCTANCEUNIT." Then Res = mesU_ELECTRICCONDUCTANCEUNIT
  If Wert = ".ELECTRICCURRENTUNIT." Then Res = mesU_ELECTRICCURRENTUNIT
  If Wert = ".ELECTRICRESISTANCEUNIT." Then Res = mesU_ELECTRICRESISTANCEUNIT
  If Wert = ".ELECTRICVOLTAGEUNIT." Then Res = mesU_ELECTRICVOLTAGEUNIT
  If Wert = ".ENERGYUNIT." Then Res = mesU_ENERGYUNIT
  If Wert = ".FORCEUNIT." Then Res = mesU_FORCEUNIT
  If Wert = ".FREQUENCYUNIT." Then Res = mesU_FREQUENCYUNIT
  If Wert = ".ILLUMINANCEUNIT." Then Res = mesU_ILLUMINANCEUNIT
  If Wert = ".INDUCTANCEUNIT." Then Res = mesU_INDUCTANCEUNIT
  If Wert = ".LENGTHUNIT." Then Res = mesU_LENGTHUNIT
  If Wert = ".LUMINOUSFLUXUNIT." Then Res = mesU_LUMINOUSFLUXUNIT
  If Wert = ".LUMINOUSINTENSITYUNIT." Then Res = mesU_LUMINOUSINTENSITYUNIT
  If Wert = ".MAGNETICFLUXDENSITYUNIT." Then Res = mesU_MAGNETICFLUXDENSITYUNIT
  If Wert = ".MAGNETICFLUXUNIT." Then Res = mesU_MAGNETICFLUXUNIT
  If Wert = ".MASSUNIT." Then Res = mesU_MASSUNIT
  If Wert = ".PLANEANGLEUNIT." Then Res = mesU_PLANEANGLEUNIT
  If Wert = ".POWERUNIT." Then Res = mesU_POWERUNIT
  If Wert = ".PRESSUREUNIT." Then Res = mesU_PRESSUREUNIT
  If Wert = ".RADIOACTIVITYUNIT." Then Res = mesU_RADIOACTIVITYUNIT
  If Wert = ".SOLIDANGLEUNIT." Then Res = mesU_SOLIDANGLEUNIT
  If Wert = ".THERMODYNAMICTEMPERATUREUNIT." Then Res = mesU_THERMODYNAMICTEMPERATUREUNIT
  If Wert = ".TIMEUNIT." Then Res = mesU_TIMEUNIT
  If Wert = ".VOLUMEUNIT." Then Res = mesU_VOLUMEUNIT
  If Wert = ".USERDEFINED." Then Res = mesU_USERDEFINED
  STEP_to_IfcUnitEnum = Res
End Function</t>
  </si>
  <si>
    <t>Public Enum IfcValveTypeEnum
  hvacVaT_AIRRELEASE = 1
  hvacVaT_ANTIVACUUM = 2
  hvacVaT_CHANGEOVER = 3
  hvacVaT_CHECK = 4
  hvacVaT_COMMISSIONING = 5
  hvacVaT_DIVERTING = 6
  hvacVaT_DRAWOFFCOCK = 7
  hvacVaT_DOUBLECHECK = 8
  hvacVaT_DOUBLEREGULATING = 9
  hvacVaT_FAUCET = 10
  hvacVaT_FLUSHING = 11
  hvacVaT_GASCOCK = 12
  hvacVaT_GASTAP = 13
  hvacVaT_ISOLATING = 14
  hvacVaT_MIXING = 15
  hvacVaT_PRESSUREREDUCING = 16
  hvacVaT_PRESSURERELIEF = 17
  hvacVaT_REGULATING = 18
  hvacVaT_SAFETYCUTOFF = 19
  hvacVaT_STEAMTRAP = 20
  hvacVaT_STOPCOCK = 21
  hvacVaT_USERDEFINED = 22
  hvacVaT_NOTDEFINED = 23
End Enum
Public Function IfcValveTypeEnum_to_STEP(Wert as IfcValveTypeEnum) As String
  Dim Res as String
  If Wert = hvacVaT_AIRRELEASE Then Res = ".AIRRELEASE."
  If Wert = hvacVaT_ANTIVACUUM Then Res = ".ANTIVACUUM."
  If Wert = hvacVaT_CHANGEOVER Then Res = ".CHANGEOVER."
  If Wert = hvacVaT_CHECK Then Res = ".CHECK."
  If Wert = hvacVaT_COMMISSIONING Then Res = ".COMMISSIONING."
  If Wert = hvacVaT_DIVERTING Then Res = ".DIVERTING."
  If Wert = hvacVaT_DRAWOFFCOCK Then Res = ".DRAWOFFCOCK."
  If Wert = hvacVaT_DOUBLECHECK Then Res = ".DOUBLECHECK."
  If Wert = hvacVaT_DOUBLEREGULATING Then Res = ".DOUBLEREGULATING."
  If Wert = hvacVaT_FAUCET Then Res = ".FAUCET."
  If Wert = hvacVaT_FLUSHING Then Res = ".FLUSHING."
  If Wert = hvacVaT_GASCOCK Then Res = ".GASCOCK."
  If Wert = hvacVaT_GASTAP Then Res = ".GASTAP."
  If Wert = hvacVaT_ISOLATING Then Res = ".ISOLATING."
  If Wert = hvacVaT_MIXING Then Res = ".MIXING."
  If Wert = hvacVaT_PRESSUREREDUCING Then Res = ".PRESSUREREDUCING."
  If Wert = hvacVaT_PRESSURERELIEF Then Res = ".PRESSURERELIEF."
  If Wert = hvacVaT_REGULATING Then Res = ".REGULATING."
  If Wert = hvacVaT_SAFETYCUTOFF Then Res = ".SAFETYCUTOFF."
  If Wert = hvacVaT_STEAMTRAP Then Res = ".STEAMTRAP."
  If Wert = hvacVaT_STOPCOCK Then Res = ".STOPCOCK."
  If Wert = hvacVaT_USERDEFINED Then Res = ".USERDEFINED."
  If Wert = hvacVaT_NOTDEFINED Then Res = ".NOTDEFINED."
  IfcValveTypeEnum_to_STEP = Res
End Function
Public Function STEP_to_IfcValveTypeEnum(Wert as String) As IfcValveTypeEnum
  Dim Res as IfcValveTypeEnum
  If Wert = ".AIRRELEASE." Then Res = hvacVaT_AIRRELEASE
  If Wert = ".ANTIVACUUM." Then Res = hvacVaT_ANTIVACUUM
  If Wert = ".CHANGEOVER." Then Res = hvacVaT_CHANGEOVER
  If Wert = ".CHECK." Then Res = hvacVaT_CHECK
  If Wert = ".COMMISSIONING." Then Res = hvacVaT_COMMISSIONING
  If Wert = ".DIVERTING." Then Res = hvacVaT_DIVERTING
  If Wert = ".DRAWOFFCOCK." Then Res = hvacVaT_DRAWOFFCOCK
  If Wert = ".DOUBLECHECK." Then Res = hvacVaT_DOUBLECHECK
  If Wert = ".DOUBLEREGULATING." Then Res = hvacVaT_DOUBLEREGULATING
  If Wert = ".FAUCET." Then Res = hvacVaT_FAUCET
  If Wert = ".FLUSHING." Then Res = hvacVaT_FLUSHING
  If Wert = ".GASCOCK." Then Res = hvacVaT_GASCOCK
  If Wert = ".GASTAP." Then Res = hvacVaT_GASTAP
  If Wert = ".ISOLATING." Then Res = hvacVaT_ISOLATING
  If Wert = ".MIXING." Then Res = hvacVaT_MIXING
  If Wert = ".PRESSUREREDUCING." Then Res = hvacVaT_PRESSUREREDUCING
  If Wert = ".PRESSURERELIEF." Then Res = hvacVaT_PRESSURERELIEF
  If Wert = ".REGULATING." Then Res = hvacVaT_REGULATING
  If Wert = ".SAFETYCUTOFF." Then Res = hvacVaT_SAFETYCUTOFF
  If Wert = ".STEAMTRAP." Then Res = hvacVaT_STEAMTRAP
  If Wert = ".STOPCOCK." Then Res = hvacVaT_STOPCOCK
  If Wert = ".USERDEFINED." Then Res = hvacVaT_USERDEFINED
  If Wert = ".NOTDEFINED." Then Res = hvacVaT_NOTDEFINED
  STEP_to_IfcValveTypeEnum = Res
End Function</t>
  </si>
  <si>
    <t>Public Enum IfcVibrationIsolatorTypeEnum
  hvacViT_COMPRESSION = 1
  hvacViT_SPRING = 2
  hvacViT_USERDEFINED = 3
  hvacViT_NOTDEFINED = 4
End Enum
Public Function IfcVibrationIsolatorTypeEnum_to_STEP(Wert as IfcVibrationIsolatorTypeEnum) As String
  Dim Res as String
  If Wert = hvacViT_COMPRESSION Then Res = ".COMPRESSION."
  If Wert = hvacViT_SPRING Then Res = ".SPRING."
  If Wert = hvacViT_USERDEFINED Then Res = ".USERDEFINED."
  If Wert = hvacViT_NOTDEFINED Then Res = ".NOTDEFINED."
  IfcVibrationIsolatorTypeEnum_to_STEP = Res
End Function
Public Function STEP_to_IfcVibrationIsolatorTypeEnum(Wert as String) As IfcVibrationIsolatorTypeEnum
  Dim Res as IfcVibrationIsolatorTypeEnum
  If Wert = ".COMPRESSION." Then Res = hvacViT_COMPRESSION
  If Wert = ".SPRING." Then Res = hvacViT_SPRING
  If Wert = ".USERDEFINED." Then Res = hvacViT_USERDEFINED
  If Wert = ".NOTDEFINED." Then Res = hvacViT_NOTDEFINED
  STEP_to_IfcVibrationIsolatorTypeEnum = Res
End Function</t>
  </si>
  <si>
    <t>Public Enum IfcWallTypeEnum
  sbeWS_STANDARD = 1
  sbeWS_POLYGONAL = 2
  sbeWS_SHEAR = 3
  sbeWS_ELEMENTEDWALL = 4
  sbeWS_PLUMBINGWALL = 5
  sbeWS_USERDEFINED = 6
  sbeWS_NOTDEFINED = 7
End Enum
Public Function IfcWallTypeEnum_to_STEP(Wert as IfcWallTypeEnum) As String
  Dim Res as String
  If Wert = sbeWS_STANDARD Then Res = ".STANDARD."
  If Wert = sbeWS_POLYGONAL Then Res = ".POLYGONAL."
  If Wert = sbeWS_SHEAR Then Res = ".SHEAR."
  If Wert = sbeWS_ELEMENTEDWALL Then Res = ".ELEMENTEDWALL."
  If Wert = sbeWS_PLUMBINGWALL Then Res = ".PLUMBINGWALL."
  If Wert = sbeWS_USERDEFINED Then Res = ".USERDEFINED."
  If Wert = sbeWS_NOTDEFINED Then Res = ".NOTDEFINED."
  IfcWallTypeEnum_to_STEP = Res
End Function
Public Function STEP_to_IfcWallTypeEnum(Wert as String) As IfcWallTypeEnum
  Dim Res as IfcWallTypeEnum
  If Wert = ".STANDARD." Then Res = sbeWS_STANDARD
  If Wert = ".POLYGONAL." Then Res = sbeWS_POLYGONAL
  If Wert = ".SHEAR." Then Res = sbeWS_SHEAR
  If Wert = ".ELEMENTEDWALL." Then Res = sbeWS_ELEMENTEDWALL
  If Wert = ".PLUMBINGWALL." Then Res = sbeWS_PLUMBINGWALL
  If Wert = ".USERDEFINED." Then Res = sbeWS_USERDEFINED
  If Wert = ".NOTDEFINED." Then Res = sbeWS_NOTDEFINED
  STEP_to_IfcWallTypeEnum = Res
End Function</t>
  </si>
  <si>
    <t>Public Enum IfcWasteTerminalTypeEnum
  pfpWTT_FLOORTRAP = 1
  pfpWTT_FLOORWASTE = 2
  pfpWTT_GULLYSUMP = 3
  pfpWTT_GULLYTRAP = 4
  pfpWTT_GREASEINTERCEPTOR = 5
  pfpWTT_OILINTERCEPTOR = 6
  pfpWTT_PETROLINTERCEPTOR = 7
  pfpWTT_ROOFDRAIN = 8
  pfpWTT_WASTEDISPOSALUNIT = 9
  pfpWTT_WASTETRAP = 10
  pfpWTT_USERDEFINED = 11
  pfpWTT_NOTDEFINED = 12
End Enum
Public Function IfcWasteTerminalTypeEnum_to_STEP(Wert as IfcWasteTerminalTypeEnum) As String
  Dim Res as String
  If Wert = pfpWTT_FLOORTRAP Then Res = ".FLOORTRAP."
  If Wert = pfpWTT_FLOORWASTE Then Res = ".FLOORWASTE."
  If Wert = pfpWTT_GULLYSUMP Then Res = ".GULLYSUMP."
  If Wert = pfpWTT_GULLYTRAP Then Res = ".GULLYTRAP."
  If Wert = pfpWTT_GREASEINTERCEPTOR Then Res = ".GREASEINTERCEPTOR."
  If Wert = pfpWTT_OILINTERCEPTOR Then Res = ".OILINTERCEPTOR."
  If Wert = pfpWTT_PETROLINTERCEPTOR Then Res = ".PETROLINTERCEPTOR."
  If Wert = pfpWTT_ROOFDRAIN Then Res = ".ROOFDRAIN."
  If Wert = pfpWTT_WASTEDISPOSALUNIT Then Res = ".WASTEDISPOSALUNIT."
  If Wert = pfpWTT_WASTETRAP Then Res = ".WASTETRAP."
  If Wert = pfpWTT_USERDEFINED Then Res = ".USERDEFINED."
  If Wert = pfpWTT_NOTDEFINED Then Res = ".NOTDEFINED."
  IfcWasteTerminalTypeEnum_to_STEP = Res
End Function
Public Function STEP_to_IfcWasteTerminalTypeEnum(Wert as String) As IfcWasteTerminalTypeEnum
  Dim Res as IfcWasteTerminalTypeEnum
  If Wert = ".FLOORTRAP." Then Res = pfpWTT_FLOORTRAP
  If Wert = ".FLOORWASTE." Then Res = pfpWTT_FLOORWASTE
  If Wert = ".GULLYSUMP." Then Res = pfpWTT_GULLYSUMP
  If Wert = ".GULLYTRAP." Then Res = pfpWTT_GULLYTRAP
  If Wert = ".GREASEINTERCEPTOR." Then Res = pfpWTT_GREASEINTERCEPTOR
  If Wert = ".OILINTERCEPTOR." Then Res = pfpWTT_OILINTERCEPTOR
  If Wert = ".PETROLINTERCEPTOR." Then Res = pfpWTT_PETROLINTERCEPTOR
  If Wert = ".ROOFDRAIN." Then Res = pfpWTT_ROOFDRAIN
  If Wert = ".WASTEDISPOSALUNIT." Then Res = pfpWTT_WASTEDISPOSALUNIT
  If Wert = ".WASTETRAP." Then Res = pfpWTT_WASTETRAP
  If Wert = ".USERDEFINED." Then Res = pfpWTT_USERDEFINED
  If Wert = ".NOTDEFINED." Then Res = pfpWTT_NOTDEFINED
  STEP_to_IfcWasteTerminalTypeEnum = Res
End Function</t>
  </si>
  <si>
    <t>Public Enum IfcWindowPanelOperationEnum
  sbeWPO_SIDEHUNGRIGHTHAND = 1
  sbeWPO_SIDEHUNGLEFTHAND = 2
  sbeWPO_TILTANDTURNRIGHTHAND = 3
  sbeWPO_TILTANDTURNLEFTHAND = 4
  sbeWPO_TOPHUNG = 5
  sbeWPO_BOTTOMHUNG = 6
  sbeWPO_PIVOTHORIZONTAL = 7
  sbeWPO_PIVOTVERTICAL = 8
  sbeWPO_SLIDINGHORIZONTAL = 9
  sbeWPO_SLIDINGVERTICAL = 10
  sbeWPO_REMOVABLECASEMENT = 11
  sbeWPO_FIXEDCASEMENT = 12
  sbeWPO_OTHEROPERATION = 13
  sbeWPO_NOTDEFINED = 14
End Enum
Public Function IfcWindowPanelOperationEnum_to_STEP(Wert as IfcWindowPanelOperationEnum) As String
  Dim Res as String
  If Wert = sbeWPO_SIDEHUNGRIGHTHAND Then Res = ".SIDEHUNGRIGHTHAND."
  If Wert = sbeWPO_SIDEHUNGLEFTHAND Then Res = ".SIDEHUNGLEFTHAND."
  If Wert = sbeWPO_TILTANDTURNRIGHTHAND Then Res = ".TILTANDTURNRIGHTHAND."
  If Wert = sbeWPO_TILTANDTURNLEFTHAND Then Res = ".TILTANDTURNLEFTHAND."
  If Wert = sbeWPO_TOPHUNG Then Res = ".TOPHUNG."
  If Wert = sbeWPO_BOTTOMHUNG Then Res = ".BOTTOMHUNG."
  If Wert = sbeWPO_PIVOTHORIZONTAL Then Res = ".PIVOTHORIZONTAL."
  If Wert = sbeWPO_PIVOTVERTICAL Then Res = ".PIVOTVERTICAL."
  If Wert = sbeWPO_SLIDINGHORIZONTAL Then Res = ".SLIDINGHORIZONTAL."
  If Wert = sbeWPO_SLIDINGVERTICAL Then Res = ".SLIDINGVERTICAL."
  If Wert = sbeWPO_REMOVABLECASEMENT Then Res = ".REMOVABLECASEMENT."
  If Wert = sbeWPO_FIXEDCASEMENT Then Res = ".FIXEDCASEMENT."
  If Wert = sbeWPO_OTHEROPERATION Then Res = ".OTHEROPERATION."
  If Wert = sbeWPO_NOTDEFINED Then Res = ".NOTDEFINED."
  IfcWindowPanelOperationEnum_to_STEP = Res
End Function
Public Function STEP_to_IfcWindowPanelOperationEnum(Wert as String) As IfcWindowPanelOperationEnum
  Dim Res as IfcWindowPanelOperationEnum
  If Wert = ".SIDEHUNGRIGHTHAND." Then Res = sbeWPO_SIDEHUNGRIGHTHAND
  If Wert = ".SIDEHUNGLEFTHAND." Then Res = sbeWPO_SIDEHUNGLEFTHAND
  If Wert = ".TILTANDTURNRIGHTHAND." Then Res = sbeWPO_TILTANDTURNRIGHTHAND
  If Wert = ".TILTANDTURNLEFTHAND." Then Res = sbeWPO_TILTANDTURNLEFTHAND
  If Wert = ".TOPHUNG." Then Res = sbeWPO_TOPHUNG
  If Wert = ".BOTTOMHUNG." Then Res = sbeWPO_BOTTOMHUNG
  If Wert = ".PIVOTHORIZONTAL." Then Res = sbeWPO_PIVOTHORIZONTAL
  If Wert = ".PIVOTVERTICAL." Then Res = sbeWPO_PIVOTVERTICAL
  If Wert = ".SLIDINGHORIZONTAL." Then Res = sbeWPO_SLIDINGHORIZONTAL
  If Wert = ".SLIDINGVERTICAL." Then Res = sbeWPO_SLIDINGVERTICAL
  If Wert = ".REMOVABLECASEMENT." Then Res = sbeWPO_REMOVABLECASEMENT
  If Wert = ".FIXEDCASEMENT." Then Res = sbeWPO_FIXEDCASEMENT
  If Wert = ".OTHEROPERATION." Then Res = sbeWPO_OTHEROPERATION
  If Wert = ".NOTDEFINED." Then Res = sbeWPO_NOTDEFINED
  STEP_to_IfcWindowPanelOperationEnum = Res
End Function</t>
  </si>
  <si>
    <t>Public Enum IfcWindowPanelPositionEnum
  sbeWPP_LEFT = 1
  sbeWPP_MIDDLE = 2
  sbeWPP_RIGHT = 3
  sbeWPP_BOTTOM = 4
  sbeWPP_TOP = 5
  sbeWPP_NOTDEFINED = 6
End Enum
Public Function IfcWindowPanelPositionEnum_to_STEP(Wert as IfcWindowPanelPositionEnum) As String
  Dim Res as String
  If Wert = sbeWPP_LEFT Then Res = ".LEFT."
  If Wert = sbeWPP_MIDDLE Then Res = ".MIDDLE."
  If Wert = sbeWPP_RIGHT Then Res = ".RIGHT."
  If Wert = sbeWPP_BOTTOM Then Res = ".BOTTOM."
  If Wert = sbeWPP_TOP Then Res = ".TOP."
  If Wert = sbeWPP_NOTDEFINED Then Res = ".NOTDEFINED."
  IfcWindowPanelPositionEnum_to_STEP = Res
End Function
Public Function STEP_to_IfcWindowPanelPositionEnum(Wert as String) As IfcWindowPanelPositionEnum
  Dim Res as IfcWindowPanelPositionEnum
  If Wert = ".LEFT." Then Res = sbeWPP_LEFT
  If Wert = ".MIDDLE." Then Res = sbeWPP_MIDDLE
  If Wert = ".RIGHT." Then Res = sbeWPP_RIGHT
  If Wert = ".BOTTOM." Then Res = sbeWPP_BOTTOM
  If Wert = ".TOP." Then Res = sbeWPP_TOP
  If Wert = ".NOTDEFINED." Then Res = sbeWPP_NOTDEFINED
  STEP_to_IfcWindowPanelPositionEnum = Res
End Function</t>
  </si>
  <si>
    <t>Public Enum IfcWindowStyleConstructionEnum
  sbeWSC_ALUMINIUM = 1
  sbeWSC_HIGH_GRADE_STEEL = 2
  sbeWSC_STEEL = 3
  sbeWSC_WOOD = 4
  sbeWSC_ALUMINIUM_WOOD = 5
  sbeWSC_PLASTIC = 6
  sbeWSC_OTHER_CONSTRUCTION = 7
  sbeWSC_NOTDEFINED = 8
End Enum
Public Function IfcWindowStyleConstructionEnum_to_STEP(Wert as IfcWindowStyleConstructionEnum) As String
  Dim Res as String
  If Wert = sbeWSC_ALUMINIUM Then Res = ".ALUMINIUM."
  If Wert = sbeWSC_HIGH_GRADE_STEEL Then Res = ".HIGH_GRADE_STEEL."
  If Wert = sbeWSC_STEEL Then Res = ".STEEL."
  If Wert = sbeWSC_WOOD Then Res = ".WOOD."
  If Wert = sbeWSC_ALUMINIUM_WOOD Then Res = ".ALUMINIUM_WOOD."
  If Wert = sbeWSC_PLASTIC Then Res = ".PLASTIC."
  If Wert = sbeWSC_OTHER_CONSTRUCTION Then Res = ".OTHER_CONSTRUCTION."
  If Wert = sbeWSC_NOTDEFINED Then Res = ".NOTDEFINED."
  IfcWindowStyleConstructionEnum_to_STEP = Res
End Function
Public Function STEP_to_IfcWindowStyleConstructionEnum(Wert as String) As IfcWindowStyleConstructionEnum
  Dim Res as IfcWindowStyleConstructionEnum
  If Wert = ".ALUMINIUM." Then Res = sbeWSC_ALUMINIUM
  If Wert = ".HIGH_GRADE_STEEL." Then Res = sbeWSC_HIGH_GRADE_STEEL
  If Wert = ".STEEL." Then Res = sbeWSC_STEEL
  If Wert = ".WOOD." Then Res = sbeWSC_WOOD
  If Wert = ".ALUMINIUM_WOOD." Then Res = sbeWSC_ALUMINIUM_WOOD
  If Wert = ".PLASTIC." Then Res = sbeWSC_PLASTIC
  If Wert = ".OTHER_CONSTRUCTION." Then Res = sbeWSC_OTHER_CONSTRUCTION
  If Wert = ".NOTDEFINED." Then Res = sbeWSC_NOTDEFINED
  STEP_to_IfcWindowStyleConstructionEnum = Res
End Function</t>
  </si>
  <si>
    <t>Public Enum IfcWindowStyleOperationEnum
  sbeWSO_SINGLE_PANEL = 1
  sbeWSO_DOUBLE_PANEL_VERTICAL = 2
  sbeWSO_DOUBLE_PANEL_HORIZONTAL = 3
  sbeWSO_TRIPLE_PANEL_VERTICAL = 4
  sbeWSO_TRIPLE_PANEL_BOTTOM = 5
  sbeWSO_TRIPLE_PANEL_TOP = 6
  sbeWSO_TRIPLE_PANEL_LEFT = 7
  sbeWSO_TRIPLE_PANEL_RIGHT = 8
  sbeWSO_TRIPLE_PANEL_HORIZONTAL = 9
  sbeWSO_USERDEFINED = 10
  sbeWSO_NOTDEFINED = 11
End Enum
Public Function IfcWindowStyleOperationEnum_to_STEP(Wert as IfcWindowStyleOperationEnum) As String
  Dim Res as String
  If Wert = sbeWSO_SINGLE_PANEL Then Res = ".SINGLE_PANEL."
  If Wert = sbeWSO_DOUBLE_PANEL_VERTICAL Then Res = ".DOUBLE_PANEL_VERTICAL."
  If Wert = sbeWSO_DOUBLE_PANEL_HORIZONTAL Then Res = ".DOUBLE_PANEL_HORIZONTAL."
  If Wert = sbeWSO_TRIPLE_PANEL_VERTICAL Then Res = ".TRIPLE_PANEL_VERTICAL."
  If Wert = sbeWSO_TRIPLE_PANEL_BOTTOM Then Res = ".TRIPLE_PANEL_BOTTOM."
  If Wert = sbeWSO_TRIPLE_PANEL_TOP Then Res = ".TRIPLE_PANEL_TOP."
  If Wert = sbeWSO_TRIPLE_PANEL_LEFT Then Res = ".TRIPLE_PANEL_LEFT."
  If Wert = sbeWSO_TRIPLE_PANEL_RIGHT Then Res = ".TRIPLE_PANEL_RIGHT."
  If Wert = sbeWSO_TRIPLE_PANEL_HORIZONTAL Then Res = ".TRIPLE_PANEL_HORIZONTAL."
  If Wert = sbeWSO_USERDEFINED Then Res = ".USERDEFINED."
  If Wert = sbeWSO_NOTDEFINED Then Res = ".NOTDEFINED."
  IfcWindowStyleOperationEnum_to_STEP = Res
End Function
Public Function STEP_to_IfcWindowStyleOperationEnum(Wert as String) As IfcWindowStyleOperationEnum
  Dim Res as IfcWindowStyleOperationEnum
  If Wert = ".SINGLE_PANEL." Then Res = sbeWSO_SINGLE_PANEL
  If Wert = ".DOUBLE_PANEL_VERTICAL." Then Res = sbeWSO_DOUBLE_PANEL_VERTICAL
  If Wert = ".DOUBLE_PANEL_HORIZONTAL." Then Res = sbeWSO_DOUBLE_PANEL_HORIZONTAL
  If Wert = ".TRIPLE_PANEL_VERTICAL." Then Res = sbeWSO_TRIPLE_PANEL_VERTICAL
  If Wert = ".TRIPLE_PANEL_BOTTOM." Then Res = sbeWSO_TRIPLE_PANEL_BOTTOM
  If Wert = ".TRIPLE_PANEL_TOP." Then Res = sbeWSO_TRIPLE_PANEL_TOP
  If Wert = ".TRIPLE_PANEL_LEFT." Then Res = sbeWSO_TRIPLE_PANEL_LEFT
  If Wert = ".TRIPLE_PANEL_RIGHT." Then Res = sbeWSO_TRIPLE_PANEL_RIGHT
  If Wert = ".TRIPLE_PANEL_HORIZONTAL." Then Res = sbeWSO_TRIPLE_PANEL_HORIZONTAL
  If Wert = ".USERDEFINED." Then Res = sbeWSO_USERDEFINED
  If Wert = ".NOTDEFINED." Then Res = sbeWSO_NOTDEFINED
  STEP_to_IfcWindowStyleOperationEnum = Res
End Function</t>
  </si>
  <si>
    <t>Public Enum IfcWorkControlTypeEnum
  pocWCT_ACTUAL = 1
  pocWCT_BASELINE = 2
  pocWCT_PLANNED = 3
  pocWCT_USERDEFINED = 4
  pocWCT_NOTDEFINED = 5
End Enum
Public Function IfcWorkControlTypeEnum_to_STEP(Wert as IfcWorkControlTypeEnum) As String
  Dim Res as String
  If Wert = pocWCT_ACTUAL Then Res = ".ACTUAL."
  If Wert = pocWCT_BASELINE Then Res = ".BASELINE."
  If Wert = pocWCT_PLANNED Then Res = ".PLANNED."
  If Wert = pocWCT_USERDEFINED Then Res = ".USERDEFINED."
  If Wert = pocWCT_NOTDEFINED Then Res = ".NOTDEFINED."
  IfcWorkControlTypeEnum_to_STEP = Res
End Function
Public Function STEP_to_IfcWorkControlTypeEnum(Wert as String) As IfcWorkControlTypeEnum
  Dim Res as IfcWorkControlTypeEnum
  If Wert = ".ACTUAL." Then Res = pocWCT_ACTUAL
  If Wert = ".BASELINE." Then Res = pocWCT_BASELINE
  If Wert = ".PLANNED." Then Res = pocWCT_PLANNED
  If Wert = ".USERDEFINED." Then Res = pocWCT_USERDEFINED
  If Wert = ".NOTDEFINED." Then Res = pocWCT_NOTDEFINED
  STEP_to_IfcWorkControlTypeEnum = Res
End Function</t>
  </si>
  <si>
    <t>CodeName</t>
  </si>
  <si>
    <t>Modul-ID</t>
  </si>
  <si>
    <t>H:\Progs\BIM\IFC2x3\EXPRESS\IFC2X3_TC1.exp</t>
  </si>
  <si>
    <t>Output-Verzeichnis</t>
  </si>
  <si>
    <t>HTML-Doku-Pfad</t>
  </si>
  <si>
    <t>H:\Progs\BIM\IFC2x3\Entwicklung\ExpressToVBA</t>
  </si>
  <si>
    <t>H:\Progs\BIM\IFC2x3\HTML_Doku\IFC2x3_TC1_HTML_distribution\R2x3_TC1</t>
  </si>
  <si>
    <t>Output-Pfad</t>
  </si>
  <si>
    <t>ohneModul</t>
  </si>
  <si>
    <t>Link HTML-Doku</t>
  </si>
  <si>
    <t>Hyperlink
Doku</t>
  </si>
  <si>
    <t>Link Output</t>
  </si>
  <si>
    <t>clsMain.ReadHTML_R2x3_TC1</t>
  </si>
  <si>
    <t>Modul ifcutilityresource vollständig.</t>
  </si>
  <si>
    <t>ohne</t>
  </si>
  <si>
    <t>DokuName</t>
  </si>
</sst>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1"/>
      <color theme="1"/>
      <name val="Calibri"/>
      <family val="2"/>
      <scheme val="minor"/>
    </font>
    <font>
      <sz val="8"/>
      <color theme="1"/>
      <name val="Arial"/>
      <family val="2"/>
    </font>
    <font>
      <sz val="9"/>
      <color theme="1"/>
      <name val="Arial"/>
      <family val="2"/>
    </font>
    <font>
      <i/>
      <sz val="9"/>
      <color theme="1"/>
      <name val="Arial"/>
      <family val="2"/>
    </font>
    <font>
      <sz val="9"/>
      <color theme="1"/>
      <name val="Arial"/>
    </font>
    <font>
      <sz val="7"/>
      <color theme="1"/>
      <name val="Arial"/>
      <family val="2"/>
    </font>
    <font>
      <u/>
      <sz val="11"/>
      <color theme="10"/>
      <name val="Calibri"/>
      <family val="2"/>
      <scheme val="minor"/>
    </font>
    <font>
      <b/>
      <sz val="8"/>
      <color theme="1"/>
      <name val="Arial"/>
      <family val="2"/>
    </font>
    <font>
      <sz val="8"/>
      <color theme="0" tint="-0.34998626667073579"/>
      <name val="Arial"/>
      <family val="2"/>
    </font>
    <font>
      <b/>
      <sz val="9"/>
      <color indexed="81"/>
      <name val="Tahoma"/>
      <charset val="1"/>
    </font>
    <font>
      <i/>
      <sz val="9"/>
      <color theme="1"/>
      <name val="Arial"/>
    </font>
    <font>
      <sz val="8"/>
      <color theme="1"/>
      <name val="Arial"/>
    </font>
    <font>
      <sz val="7"/>
      <color theme="1"/>
      <name val="Arial"/>
    </font>
    <font>
      <sz val="6"/>
      <color theme="0" tint="-0.34998626667073579"/>
      <name val="Arial"/>
      <family val="2"/>
    </font>
    <font>
      <b/>
      <sz val="9"/>
      <color indexed="81"/>
      <name val="Tahoma"/>
      <family val="2"/>
    </font>
    <font>
      <sz val="9"/>
      <name val="Arial"/>
      <family val="2"/>
    </font>
    <font>
      <sz val="9"/>
      <color rgb="FFFF0000"/>
      <name val="Arial"/>
      <family val="2"/>
    </font>
    <font>
      <sz val="8"/>
      <color rgb="FF00B050"/>
      <name val="Arial"/>
      <family val="2"/>
    </font>
    <font>
      <sz val="9"/>
      <color rgb="FF00B050"/>
      <name val="Arial"/>
      <family val="2"/>
    </font>
    <font>
      <i/>
      <sz val="9"/>
      <color rgb="FF00B050"/>
      <name val="Arial"/>
      <family val="2"/>
    </font>
    <font>
      <sz val="6"/>
      <color rgb="FF00B050"/>
      <name val="Arial"/>
      <family val="2"/>
    </font>
    <font>
      <sz val="7"/>
      <color rgb="FF00B050"/>
      <name val="Arial"/>
      <family val="2"/>
    </font>
    <font>
      <sz val="8"/>
      <name val="Arial"/>
      <family val="2"/>
    </font>
    <font>
      <i/>
      <sz val="9"/>
      <color rgb="FFFF0000"/>
      <name val="Arial"/>
      <family val="2"/>
    </font>
    <font>
      <sz val="8"/>
      <color rgb="FFFF0000"/>
      <name val="Arial"/>
      <family val="2"/>
    </font>
    <font>
      <sz val="7"/>
      <color rgb="FFFF0000"/>
      <name val="Arial"/>
      <family val="2"/>
    </font>
    <font>
      <sz val="6"/>
      <color rgb="FFFF0000"/>
      <name val="Arial"/>
      <family val="2"/>
    </font>
    <font>
      <sz val="11"/>
      <color rgb="FFFF0000"/>
      <name val="Calibri"/>
      <family val="2"/>
      <scheme val="minor"/>
    </font>
    <font>
      <sz val="8"/>
      <color rgb="FF000000"/>
      <name val="Tahoma"/>
      <family val="2"/>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59">
    <xf numFmtId="0" fontId="0" fillId="0" borderId="0" xfId="0"/>
    <xf numFmtId="0" fontId="2" fillId="0" borderId="0" xfId="0" applyFont="1" applyAlignment="1">
      <alignment horizontal="left" vertical="center" indent="1"/>
    </xf>
    <xf numFmtId="0" fontId="2" fillId="0" borderId="0" xfId="0" applyFont="1" applyAlignment="1">
      <alignment horizontal="right" vertical="center" indent="1"/>
    </xf>
    <xf numFmtId="0" fontId="2" fillId="0" borderId="0" xfId="0" applyFont="1" applyAlignment="1">
      <alignment horizontal="center" vertical="center"/>
    </xf>
    <xf numFmtId="0" fontId="3" fillId="0" borderId="0" xfId="0" applyFont="1" applyAlignment="1">
      <alignment horizontal="left" vertical="center" indent="1"/>
    </xf>
    <xf numFmtId="0" fontId="3" fillId="0" borderId="0" xfId="0" applyFont="1" applyAlignment="1">
      <alignment horizontal="center" vertical="center"/>
    </xf>
    <xf numFmtId="0" fontId="4" fillId="0" borderId="0" xfId="0" applyFont="1" applyAlignment="1">
      <alignment horizontal="right" vertical="center" indent="1"/>
    </xf>
    <xf numFmtId="0" fontId="4"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horizontal="right" vertical="center" indent="1"/>
    </xf>
    <xf numFmtId="0" fontId="1" fillId="0" borderId="0" xfId="0" applyFont="1" applyAlignment="1">
      <alignment horizontal="center" vertical="center"/>
    </xf>
    <xf numFmtId="0" fontId="4" fillId="0" borderId="0" xfId="0" applyNumberFormat="1" applyFont="1" applyAlignment="1">
      <alignment horizontal="right" vertical="center" indent="1"/>
    </xf>
    <xf numFmtId="0" fontId="5" fillId="0" borderId="0" xfId="0" applyFont="1" applyAlignment="1">
      <alignment horizontal="left" vertical="center" wrapText="1" indent="1"/>
    </xf>
    <xf numFmtId="0" fontId="2" fillId="0" borderId="0" xfId="0" applyNumberFormat="1" applyFont="1" applyAlignment="1">
      <alignment horizontal="right" vertical="center" indent="1"/>
    </xf>
    <xf numFmtId="0" fontId="7" fillId="0" borderId="0" xfId="0" applyFont="1" applyAlignment="1">
      <alignment horizontal="center" vertical="center"/>
    </xf>
    <xf numFmtId="0" fontId="2" fillId="0" borderId="0" xfId="0" applyFont="1" applyAlignment="1">
      <alignment horizontal="center" vertical="center" wrapText="1"/>
    </xf>
    <xf numFmtId="0" fontId="8" fillId="0" borderId="0" xfId="0" applyFont="1" applyAlignment="1">
      <alignment horizontal="center" vertical="center"/>
    </xf>
    <xf numFmtId="0" fontId="8" fillId="0" borderId="0" xfId="0" applyNumberFormat="1" applyFont="1" applyAlignment="1">
      <alignment horizontal="left" vertical="center" wrapText="1"/>
    </xf>
    <xf numFmtId="0" fontId="8" fillId="0" borderId="0" xfId="0" applyFont="1" applyAlignment="1">
      <alignment horizontal="left" vertical="center" wrapText="1"/>
    </xf>
    <xf numFmtId="0" fontId="4" fillId="0" borderId="0" xfId="0" applyNumberFormat="1" applyFont="1" applyAlignment="1">
      <alignment horizontal="left" vertical="center" indent="1"/>
    </xf>
    <xf numFmtId="0" fontId="10" fillId="0" borderId="0" xfId="0" applyFont="1" applyAlignment="1">
      <alignment horizontal="left" vertical="center" indent="1"/>
    </xf>
    <xf numFmtId="0" fontId="11" fillId="0" borderId="0" xfId="0" applyFont="1" applyAlignment="1">
      <alignment horizontal="center" vertical="center"/>
    </xf>
    <xf numFmtId="0" fontId="12" fillId="0" borderId="0" xfId="0" applyFont="1" applyAlignment="1">
      <alignment horizontal="left" vertical="center" wrapText="1" indent="1"/>
    </xf>
    <xf numFmtId="0" fontId="4" fillId="0" borderId="0" xfId="0" quotePrefix="1" applyFont="1" applyAlignment="1">
      <alignment horizontal="right" vertical="center" indent="1"/>
    </xf>
    <xf numFmtId="0" fontId="7" fillId="0" borderId="0" xfId="0" applyFont="1" applyAlignment="1">
      <alignment horizontal="center"/>
    </xf>
    <xf numFmtId="0" fontId="6" fillId="0" borderId="0" xfId="1" applyNumberFormat="1" applyAlignment="1">
      <alignment horizontal="left" vertical="center" indent="1"/>
    </xf>
    <xf numFmtId="0" fontId="4" fillId="0" borderId="0" xfId="1" applyNumberFormat="1" applyFont="1" applyAlignment="1">
      <alignment horizontal="left" vertical="center" indent="1"/>
    </xf>
    <xf numFmtId="0" fontId="2" fillId="0" borderId="0" xfId="0" applyFont="1" applyAlignment="1">
      <alignment horizontal="center" vertical="center" textRotation="90" wrapText="1"/>
    </xf>
    <xf numFmtId="0" fontId="2" fillId="0" borderId="0" xfId="0" applyNumberFormat="1" applyFont="1" applyAlignment="1">
      <alignment horizontal="left" vertical="center" indent="1"/>
    </xf>
    <xf numFmtId="0" fontId="13" fillId="0" borderId="0" xfId="0" applyNumberFormat="1" applyFont="1" applyAlignment="1">
      <alignment horizontal="left" vertical="center" wrapText="1" indent="1"/>
    </xf>
    <xf numFmtId="0" fontId="13" fillId="0" borderId="0" xfId="0" applyFont="1" applyAlignment="1">
      <alignment horizontal="left" vertical="center" wrapText="1" indent="1"/>
    </xf>
    <xf numFmtId="0" fontId="15" fillId="0" borderId="0" xfId="0" applyNumberFormat="1" applyFont="1" applyAlignment="1">
      <alignment horizontal="right" vertical="center" indent="1"/>
    </xf>
    <xf numFmtId="0" fontId="1" fillId="0" borderId="0" xfId="0" applyFont="1" applyAlignment="1">
      <alignment vertical="top" wrapText="1"/>
    </xf>
    <xf numFmtId="0" fontId="1" fillId="0" borderId="0" xfId="0" applyFont="1"/>
    <xf numFmtId="0" fontId="1" fillId="0" borderId="0" xfId="0" applyNumberFormat="1" applyFont="1" applyAlignment="1">
      <alignment horizontal="left" vertical="center" indent="1"/>
    </xf>
    <xf numFmtId="0" fontId="1" fillId="0" borderId="0" xfId="0" applyFont="1" applyAlignment="1">
      <alignment horizontal="left" vertical="center" indent="1"/>
    </xf>
    <xf numFmtId="0" fontId="16" fillId="0" borderId="0" xfId="0" applyFont="1" applyAlignment="1">
      <alignment horizontal="left" vertical="center" indent="1"/>
    </xf>
    <xf numFmtId="0" fontId="17" fillId="0" borderId="0" xfId="0" applyFont="1" applyAlignment="1">
      <alignment vertical="top" wrapText="1"/>
    </xf>
    <xf numFmtId="0" fontId="18" fillId="0" borderId="0" xfId="0" applyFont="1" applyAlignment="1">
      <alignment horizontal="left" vertical="center" indent="1"/>
    </xf>
    <xf numFmtId="0" fontId="18" fillId="0" borderId="0" xfId="0" applyFont="1" applyAlignment="1">
      <alignment horizontal="right" vertical="center" indent="1"/>
    </xf>
    <xf numFmtId="0" fontId="19" fillId="0" borderId="0" xfId="0" applyFont="1" applyAlignment="1">
      <alignment horizontal="left" vertical="center" indent="1"/>
    </xf>
    <xf numFmtId="0" fontId="20" fillId="0" borderId="0" xfId="0" applyFont="1" applyAlignment="1">
      <alignment horizontal="left" vertical="center" wrapText="1" indent="1"/>
    </xf>
    <xf numFmtId="0" fontId="21" fillId="0" borderId="0" xfId="0" applyFont="1" applyAlignment="1">
      <alignment vertical="top" wrapText="1"/>
    </xf>
    <xf numFmtId="0" fontId="11" fillId="0" borderId="0" xfId="0" applyFont="1" applyAlignment="1">
      <alignment horizontal="left" vertical="center" indent="1"/>
    </xf>
    <xf numFmtId="0" fontId="22" fillId="0" borderId="0" xfId="0" applyNumberFormat="1" applyFont="1" applyAlignment="1">
      <alignment horizontal="left" vertical="center" indent="1"/>
    </xf>
    <xf numFmtId="0" fontId="22" fillId="0" borderId="0" xfId="0" applyFont="1" applyAlignment="1">
      <alignment horizontal="left" vertical="center" indent="1"/>
    </xf>
    <xf numFmtId="0" fontId="2" fillId="0" borderId="0" xfId="0" applyFont="1" applyAlignment="1">
      <alignment horizontal="left" vertical="center" wrapText="1" indent="1"/>
    </xf>
    <xf numFmtId="0" fontId="16" fillId="0" borderId="0" xfId="0" applyNumberFormat="1" applyFont="1" applyAlignment="1">
      <alignment horizontal="left" vertical="center" indent="1"/>
    </xf>
    <xf numFmtId="0" fontId="16" fillId="0" borderId="0" xfId="0" applyFont="1" applyAlignment="1">
      <alignment horizontal="right" vertical="center" indent="1"/>
    </xf>
    <xf numFmtId="0" fontId="23" fillId="0" borderId="0" xfId="0" applyFont="1" applyAlignment="1">
      <alignment horizontal="left" vertical="center" indent="1"/>
    </xf>
    <xf numFmtId="0" fontId="24" fillId="0" borderId="0" xfId="0" applyFont="1" applyAlignment="1">
      <alignment horizontal="center" vertical="center"/>
    </xf>
    <xf numFmtId="0" fontId="25" fillId="0" borderId="0" xfId="0" applyFont="1" applyAlignment="1">
      <alignment horizontal="left" vertical="center" wrapText="1" indent="1"/>
    </xf>
    <xf numFmtId="0" fontId="26" fillId="0" borderId="0" xfId="0" applyNumberFormat="1" applyFont="1" applyAlignment="1">
      <alignment horizontal="left" vertical="center" wrapText="1" indent="1"/>
    </xf>
    <xf numFmtId="0" fontId="26" fillId="0" borderId="0" xfId="0" applyFont="1" applyAlignment="1">
      <alignment horizontal="left" vertical="center" wrapText="1" indent="1"/>
    </xf>
    <xf numFmtId="0" fontId="16" fillId="0" borderId="0" xfId="0" applyFont="1" applyAlignment="1">
      <alignment horizontal="left" vertical="center" wrapText="1" indent="1"/>
    </xf>
    <xf numFmtId="0" fontId="1" fillId="0" borderId="0" xfId="0" applyFont="1" applyAlignment="1">
      <alignment horizontal="left" vertical="top" indent="1"/>
    </xf>
    <xf numFmtId="0" fontId="6" fillId="0" borderId="0" xfId="1" applyAlignment="1">
      <alignment horizontal="left" vertical="center" indent="1"/>
    </xf>
    <xf numFmtId="0" fontId="27" fillId="0" borderId="0" xfId="0" applyFont="1"/>
    <xf numFmtId="0" fontId="0" fillId="0" borderId="0" xfId="0" applyAlignment="1">
      <alignment vertical="center"/>
    </xf>
  </cellXfs>
  <cellStyles count="2">
    <cellStyle name="Hyperlink" xfId="1" builtinId="8"/>
    <cellStyle name="Standard" xfId="0" builtinId="0"/>
  </cellStyles>
  <dxfs count="98">
    <dxf>
      <font>
        <color rgb="FFFF0000"/>
      </font>
    </dxf>
    <dxf>
      <font>
        <color rgb="FFFF0000"/>
      </font>
    </dxf>
    <dxf>
      <font>
        <color rgb="FFFF0000"/>
      </font>
    </dxf>
    <dxf>
      <font>
        <b val="0"/>
        <i val="0"/>
        <strike val="0"/>
        <condense val="0"/>
        <extend val="0"/>
        <outline val="0"/>
        <shadow val="0"/>
        <u val="none"/>
        <vertAlign val="baseline"/>
        <sz val="9"/>
        <color theme="1"/>
        <name val="Arial"/>
        <scheme val="none"/>
      </font>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left" vertical="center" textRotation="0" wrapText="0" indent="1" justifyLastLine="0" shrinkToFit="0" readingOrder="0"/>
    </dxf>
    <dxf>
      <font>
        <b val="0"/>
        <i/>
        <strike val="0"/>
        <condense val="0"/>
        <extend val="0"/>
        <outline val="0"/>
        <shadow val="0"/>
        <u val="none"/>
        <vertAlign val="baseline"/>
        <sz val="9"/>
        <color theme="1"/>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8"/>
        <color auto="1"/>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8"/>
        <color auto="1"/>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8"/>
        <color auto="1"/>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8"/>
        <color auto="1"/>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8"/>
        <color auto="1"/>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8"/>
        <color auto="1"/>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8"/>
        <color auto="1"/>
        <name val="Arial"/>
        <scheme val="none"/>
      </font>
      <alignment horizontal="left" vertical="center" textRotation="0" wrapText="0" indent="1" justifyLastLine="0" shrinkToFit="0" readingOrder="0"/>
    </dxf>
    <dxf>
      <font>
        <b val="0"/>
        <i val="0"/>
        <strike val="0"/>
        <condense val="0"/>
        <extend val="0"/>
        <outline val="0"/>
        <shadow val="0"/>
        <u val="none"/>
        <vertAlign val="baseline"/>
        <sz val="8"/>
        <color auto="1"/>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8"/>
        <color auto="1"/>
        <name val="Arial"/>
        <scheme val="none"/>
      </font>
      <alignment horizontal="left" vertical="center" textRotation="0" wrapText="0" indent="1" justifyLastLine="0" shrinkToFit="0" readingOrder="0"/>
    </dxf>
    <dxf>
      <font>
        <b val="0"/>
        <i val="0"/>
        <strike val="0"/>
        <condense val="0"/>
        <extend val="0"/>
        <outline val="0"/>
        <shadow val="0"/>
        <u val="none"/>
        <vertAlign val="baseline"/>
        <sz val="8"/>
        <color theme="1"/>
        <name val="Arial"/>
        <scheme val="none"/>
      </font>
      <alignment horizontal="left" vertical="center" textRotation="0" wrapText="0" indent="1" justifyLastLine="0" shrinkToFit="0" readingOrder="0"/>
    </dxf>
    <dxf>
      <font>
        <b val="0"/>
        <i val="0"/>
        <strike val="0"/>
        <condense val="0"/>
        <extend val="0"/>
        <outline val="0"/>
        <shadow val="0"/>
        <u val="none"/>
        <vertAlign val="baseline"/>
        <sz val="6"/>
        <color theme="0" tint="-0.34998626667073579"/>
        <name val="Arial"/>
        <scheme val="none"/>
      </font>
      <alignment horizontal="left" vertical="center" textRotation="0" wrapText="1" indent="1" justifyLastLine="0" shrinkToFit="0" readingOrder="0"/>
    </dxf>
    <dxf>
      <font>
        <b val="0"/>
        <i/>
        <strike val="0"/>
        <condense val="0"/>
        <extend val="0"/>
        <outline val="0"/>
        <shadow val="0"/>
        <u val="none"/>
        <vertAlign val="baseline"/>
        <sz val="9"/>
        <color theme="1"/>
        <name val="Arial"/>
        <scheme val="none"/>
      </font>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left" vertical="center" textRotation="0" wrapText="0" indent="1"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left" vertical="center" textRotation="0" wrapText="0" indent="1" justifyLastLine="0" shrinkToFit="0" readingOrder="0"/>
    </dxf>
    <dxf>
      <font>
        <b val="0"/>
        <i val="0"/>
        <strike val="0"/>
        <condense val="0"/>
        <extend val="0"/>
        <outline val="0"/>
        <shadow val="0"/>
        <u val="none"/>
        <vertAlign val="baseline"/>
        <sz val="6"/>
        <color theme="0" tint="-0.34998626667073579"/>
        <name val="Arial"/>
        <scheme val="none"/>
      </font>
      <alignment horizontal="left" vertical="center" textRotation="0" wrapText="1" indent="1" justifyLastLine="0" shrinkToFit="0" readingOrder="0"/>
    </dxf>
    <dxf>
      <font>
        <b val="0"/>
        <i/>
        <strike val="0"/>
        <condense val="0"/>
        <extend val="0"/>
        <outline val="0"/>
        <shadow val="0"/>
        <u val="none"/>
        <vertAlign val="baseline"/>
        <sz val="9"/>
        <color theme="1"/>
        <name val="Arial"/>
        <scheme val="none"/>
      </font>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left" vertical="center" textRotation="0" wrapText="0" indent="1"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6"/>
        <color theme="0" tint="-0.34998626667073579"/>
        <name val="Arial"/>
        <scheme val="none"/>
      </font>
      <alignment horizontal="left" vertical="center" textRotation="0" wrapText="1" indent="1" justifyLastLine="0" shrinkToFit="0" readingOrder="0"/>
    </dxf>
    <dxf>
      <font>
        <b val="0"/>
        <i/>
        <strike val="0"/>
        <condense val="0"/>
        <extend val="0"/>
        <outline val="0"/>
        <shadow val="0"/>
        <u val="none"/>
        <vertAlign val="baseline"/>
        <sz val="9"/>
        <color theme="1"/>
        <name val="Arial"/>
        <scheme val="none"/>
      </font>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left" vertical="center" textRotation="0" wrapText="0" indent="1"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left" vertical="center" textRotation="0" wrapText="0" indent="1" justifyLastLine="0" shrinkToFit="0" readingOrder="0"/>
    </dxf>
    <dxf>
      <font>
        <strike val="0"/>
        <outline val="0"/>
        <shadow val="0"/>
        <u val="none"/>
        <vertAlign val="baseline"/>
        <sz val="8"/>
        <name val="Arial"/>
        <scheme val="none"/>
      </font>
      <numFmt numFmtId="0" formatCode="General"/>
      <alignment horizontal="general" vertical="top" textRotation="0" wrapText="1" indent="0" justifyLastLine="0" shrinkToFit="0" readingOrder="0"/>
    </dxf>
    <dxf>
      <font>
        <strike val="0"/>
        <outline val="0"/>
        <shadow val="0"/>
        <u val="none"/>
        <vertAlign val="baseline"/>
        <sz val="7"/>
        <color theme="1"/>
        <name val="Arial"/>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9"/>
        <color theme="1"/>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left" vertical="center" textRotation="0" wrapText="0" indent="1" justifyLastLine="0" shrinkToFit="0" readingOrder="0"/>
    </dxf>
    <dxf>
      <font>
        <b val="0"/>
        <i val="0"/>
        <strike val="0"/>
        <condense val="0"/>
        <extend val="0"/>
        <outline val="0"/>
        <shadow val="0"/>
        <u val="none"/>
        <vertAlign val="baseline"/>
        <sz val="6"/>
        <color theme="0" tint="-0.34998626667073579"/>
        <name val="Arial"/>
        <scheme val="none"/>
      </font>
      <alignment horizontal="left" vertical="center" textRotation="0" wrapText="1" indent="1" justifyLastLine="0" shrinkToFit="0" readingOrder="0"/>
    </dxf>
    <dxf>
      <font>
        <b val="0"/>
        <i val="0"/>
        <strike val="0"/>
        <condense val="0"/>
        <extend val="0"/>
        <outline val="0"/>
        <shadow val="0"/>
        <u val="none"/>
        <vertAlign val="baseline"/>
        <sz val="9"/>
        <color theme="1"/>
        <name val="Arial"/>
        <scheme val="none"/>
      </font>
      <alignment horizontal="left" vertical="center" textRotation="0" wrapText="0" indent="1" justifyLastLine="0" shrinkToFit="0" readingOrder="0"/>
    </dxf>
    <dxf>
      <font>
        <b val="0"/>
        <i/>
        <strike val="0"/>
        <condense val="0"/>
        <extend val="0"/>
        <outline val="0"/>
        <shadow val="0"/>
        <u val="none"/>
        <vertAlign val="baseline"/>
        <sz val="9"/>
        <color theme="1"/>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left" vertical="center" textRotation="0" wrapText="0" indent="1"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6"/>
        <color theme="0" tint="-0.34998626667073579"/>
        <name val="Arial"/>
        <scheme val="none"/>
      </font>
      <numFmt numFmtId="0" formatCode="General"/>
      <alignment horizontal="left" vertical="center" textRotation="0" wrapText="1"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7"/>
        <color theme="1"/>
        <name val="Arial"/>
        <scheme val="none"/>
      </font>
      <alignment horizontal="left" vertical="center" textRotation="0" wrapText="1" indent="1" justifyLastLine="0" shrinkToFit="0" readingOrder="0"/>
    </dxf>
    <dxf>
      <font>
        <b val="0"/>
        <i val="0"/>
        <strike val="0"/>
        <condense val="0"/>
        <extend val="0"/>
        <outline val="0"/>
        <shadow val="0"/>
        <u val="none"/>
        <vertAlign val="baseline"/>
        <sz val="8"/>
        <color theme="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8"/>
        <color theme="0" tint="-0.34998626667073579"/>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8"/>
        <color theme="0" tint="-0.34998626667073579"/>
        <name val="Arial"/>
        <scheme val="none"/>
      </font>
      <numFmt numFmtId="0" formatCode="General"/>
      <alignment horizontal="left" vertical="center" textRotation="0" wrapText="1" indent="0"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right" vertical="center" textRotation="0" wrapText="0" indent="1" justifyLastLine="0" shrinkToFit="0" readingOrder="0"/>
    </dxf>
    <dxf>
      <font>
        <b val="0"/>
        <i val="0"/>
        <strike val="0"/>
        <condense val="0"/>
        <extend val="0"/>
        <outline val="0"/>
        <shadow val="0"/>
        <u val="none"/>
        <vertAlign val="baseline"/>
        <sz val="9"/>
        <color auto="1"/>
        <name val="Arial"/>
        <scheme val="none"/>
      </font>
      <numFmt numFmtId="0" formatCode="General"/>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lef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9"/>
        <color theme="1"/>
        <name val="Arial"/>
        <scheme val="none"/>
      </font>
      <alignment horizontal="right" vertical="center" textRotation="0" wrapText="0" indent="1"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CheckBox" checked="Checked" fmlaLink="CreateModulSubPath" lockText="1" noThreeD="1"/>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xdr:col>
      <xdr:colOff>28576</xdr:colOff>
      <xdr:row>0</xdr:row>
      <xdr:rowOff>95250</xdr:rowOff>
    </xdr:from>
    <xdr:to>
      <xdr:col>2</xdr:col>
      <xdr:colOff>2085976</xdr:colOff>
      <xdr:row>0</xdr:row>
      <xdr:rowOff>438150</xdr:rowOff>
    </xdr:to>
    <xdr:sp macro="[0]!tabModule.SetModuleFromHTML" textlink="">
      <xdr:nvSpPr>
        <xdr:cNvPr id="2" name="Abgerundetes Rechteck 1"/>
        <xdr:cNvSpPr/>
      </xdr:nvSpPr>
      <xdr:spPr>
        <a:xfrm>
          <a:off x="866776" y="95250"/>
          <a:ext cx="2057400" cy="342900"/>
        </a:xfrm>
        <a:prstGeom prst="roundRect">
          <a:avLst>
            <a:gd name="adj" fmla="val 50000"/>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de-DE" sz="1100"/>
            <a:t>Werte aus HTML-Doku lesen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0</xdr:row>
      <xdr:rowOff>180975</xdr:rowOff>
    </xdr:from>
    <xdr:to>
      <xdr:col>2</xdr:col>
      <xdr:colOff>0</xdr:colOff>
      <xdr:row>2</xdr:row>
      <xdr:rowOff>9525</xdr:rowOff>
    </xdr:to>
    <xdr:sp macro="[0]!tabSettings.GetEXPRESSFile" textlink="">
      <xdr:nvSpPr>
        <xdr:cNvPr id="3" name="Abgerundetes Rechteck 2"/>
        <xdr:cNvSpPr/>
      </xdr:nvSpPr>
      <xdr:spPr>
        <a:xfrm>
          <a:off x="771525" y="180975"/>
          <a:ext cx="800100" cy="276225"/>
        </a:xfrm>
        <a:prstGeom prst="roundRect">
          <a:avLst>
            <a:gd name="adj" fmla="val 43138"/>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xdr:col>
      <xdr:colOff>19050</xdr:colOff>
      <xdr:row>3</xdr:row>
      <xdr:rowOff>0</xdr:rowOff>
    </xdr:from>
    <xdr:to>
      <xdr:col>2</xdr:col>
      <xdr:colOff>0</xdr:colOff>
      <xdr:row>4</xdr:row>
      <xdr:rowOff>9525</xdr:rowOff>
    </xdr:to>
    <xdr:sp macro="[0]!tabSettings.GetOutputPath" textlink="">
      <xdr:nvSpPr>
        <xdr:cNvPr id="4" name="Abgerundetes Rechteck 3"/>
        <xdr:cNvSpPr/>
      </xdr:nvSpPr>
      <xdr:spPr>
        <a:xfrm>
          <a:off x="781050" y="704850"/>
          <a:ext cx="790575" cy="276225"/>
        </a:xfrm>
        <a:prstGeom prst="roundRect">
          <a:avLst>
            <a:gd name="adj" fmla="val 43138"/>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xdr:col>
      <xdr:colOff>0</xdr:colOff>
      <xdr:row>5</xdr:row>
      <xdr:rowOff>0</xdr:rowOff>
    </xdr:from>
    <xdr:to>
      <xdr:col>1</xdr:col>
      <xdr:colOff>657225</xdr:colOff>
      <xdr:row>6</xdr:row>
      <xdr:rowOff>9525</xdr:rowOff>
    </xdr:to>
    <xdr:sp macro="[0]!tabSettings.GetHTMLDokuPath" textlink="">
      <xdr:nvSpPr>
        <xdr:cNvPr id="9" name="Abgerundetes Rechteck 8"/>
        <xdr:cNvSpPr/>
      </xdr:nvSpPr>
      <xdr:spPr>
        <a:xfrm>
          <a:off x="390525" y="1104900"/>
          <a:ext cx="657225" cy="333375"/>
        </a:xfrm>
        <a:prstGeom prst="roundRect">
          <a:avLst>
            <a:gd name="adj" fmla="val 43138"/>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6</xdr:col>
          <xdr:colOff>685800</xdr:colOff>
          <xdr:row>3</xdr:row>
          <xdr:rowOff>314325</xdr:rowOff>
        </xdr:to>
        <xdr:sp macro="" textlink="">
          <xdr:nvSpPr>
            <xdr:cNvPr id="9218" name="Check Box 2" hidden="1">
              <a:extLst>
                <a:ext uri="{63B3BB69-23CF-44E3-9099-C40C66FF867C}">
                  <a14:compatExt spid="_x0000_s92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erzeuge Unterverzeichnis pro Modul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28575</xdr:rowOff>
        </xdr:from>
        <xdr:to>
          <xdr:col>5</xdr:col>
          <xdr:colOff>9525</xdr:colOff>
          <xdr:row>63</xdr:row>
          <xdr:rowOff>85725</xdr:rowOff>
        </xdr:to>
        <xdr:sp macro="" textlink="">
          <xdr:nvSpPr>
            <xdr:cNvPr id="9219" name="DebugInfoListBox" hidden="1">
              <a:extLst>
                <a:ext uri="{63B3BB69-23CF-44E3-9099-C40C66FF867C}">
                  <a14:compatExt spid="_x0000_s9219"/>
                </a:ext>
              </a:extLst>
            </xdr:cNvPr>
            <xdr:cNvSpPr/>
          </xdr:nvSpPr>
          <xdr:spPr>
            <a:xfrm>
              <a:off x="0" y="0"/>
              <a:ext cx="0" cy="0"/>
            </a:xfrm>
            <a:prstGeom prst="rect">
              <a:avLst/>
            </a:prstGeom>
          </xdr:spPr>
        </xdr:sp>
        <xdr:clientData/>
      </xdr:twoCellAnchor>
    </mc:Choice>
    <mc:Fallback/>
  </mc:AlternateContent>
</xdr:wsDr>
</file>

<file path=xl/tables/table1.xml><?xml version="1.0" encoding="utf-8"?>
<table xmlns="http://schemas.openxmlformats.org/spreadsheetml/2006/main" id="1" name="Modul" displayName="Modul" ref="B2:S47" headerRowDxfId="97">
  <autoFilter ref="B2:S47"/>
  <sortState ref="B3:Q47">
    <sortCondition ref="B2:B47"/>
  </sortState>
  <tableColumns count="18">
    <tableColumn id="1" name="ID" totalsRowLabel="Ergebnis" dataDxfId="96" totalsRowDxfId="95"/>
    <tableColumn id="2" name="DokuName" dataDxfId="94" totalsRowDxfId="93"/>
    <tableColumn id="15" name="Modul-CodeName" dataDxfId="92" totalsRowDxfId="91"/>
    <tableColumn id="14" name="Hyperlink_x000a_Doku" dataDxfId="90" totalsRowDxfId="89" dataCellStyle="Hyperlink">
      <calculatedColumnFormula>IF(Modul[[#This Row],[Link HTML-Doku]]="","",HYPERLINK(HTMLDokuPath&amp;Modul[[#This Row],[Link HTML-Doku]],"Doku"))</calculatedColumnFormula>
    </tableColumn>
    <tableColumn id="18" name="Link Output" dataDxfId="88" totalsRowDxfId="87" dataCellStyle="Hyperlink">
      <calculatedColumnFormula>HYPERLINK(Modul[[#This Row],[Output-Pfad]],"Output-Pfad")</calculatedColumnFormula>
    </tableColumn>
    <tableColumn id="4" name="Soll _x000a_Entities" totalsRowFunction="sum" dataDxfId="86" totalsRowDxfId="85"/>
    <tableColumn id="3" name="Ist _x000a_Entities" dataDxfId="84" totalsRowDxfId="83">
      <calculatedColumnFormula>COUNTIF(Entity[ID-Modul],Modul[[#This Row],[ID]])</calculatedColumnFormula>
    </tableColumn>
    <tableColumn id="8" name="Soll _x000a_Defined Types" totalsRowFunction="sum" dataDxfId="82" totalsRowDxfId="81"/>
    <tableColumn id="9" name="Ist _x000a_Defined Types" dataDxfId="80" totalsRowDxfId="79">
      <calculatedColumnFormula>COUNTIF(DType[ID-Modul],Modul[[#This Row],[ID]])</calculatedColumnFormula>
    </tableColumn>
    <tableColumn id="6" name="Soll _x000a_Select Types" totalsRowFunction="sum" dataDxfId="78" totalsRowDxfId="77"/>
    <tableColumn id="10" name="Ist _x000a_Select Types" dataDxfId="76" totalsRowDxfId="75">
      <calculatedColumnFormula>COUNTIF(SType[ID-Modul],Modul[[#This Row],[ID]])</calculatedColumnFormula>
    </tableColumn>
    <tableColumn id="5" name="Soll _x000a_Enums" totalsRowFunction="sum" dataDxfId="74" totalsRowDxfId="73"/>
    <tableColumn id="11" name="Ist _x000a_Enums" dataDxfId="72" totalsRowDxfId="71">
      <calculatedColumnFormula>COUNTIF(Enum[ID-Modul],Modul[[#This Row],[ID]])</calculatedColumnFormula>
    </tableColumn>
    <tableColumn id="7" name="Soll _x000a_Functions" totalsRowFunction="sum" dataDxfId="70"/>
    <tableColumn id="12" name="Ist _x000a_Functions" dataDxfId="69" totalsRowDxfId="68">
      <calculatedColumnFormula>COUNTIF(Function[ID-Modul],Modul[[#This Row],[ID]])</calculatedColumnFormula>
    </tableColumn>
    <tableColumn id="13" name="Link HTML-Doku" dataDxfId="67" totalsRowDxfId="66"/>
    <tableColumn id="17" name="Output-Pfad" dataDxfId="65" totalsRowDxfId="64">
      <calculatedColumnFormula>IF(AND(CreateModulSubPath,Modul[[#This Row],[Modul-CodeName]]&lt;&gt;""),OutputPath&amp; "\"&amp;Modul[[#This Row],[Modul-CodeName]],OutputPath)</calculatedColumnFormula>
    </tableColumn>
    <tableColumn id="16" name="Kontrolle_x000a_Modul-Name" dataDxfId="63" totalsRowDxfId="62">
      <calculatedColumnFormula>LOWER(Modul[[#This Row],[Modul-CodeName]])= Modul[[#This Row],[DokuName]]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Entity" displayName="Entity" ref="B3:O656" totalsRowShown="0" headerRowDxfId="61">
  <autoFilter ref="B3:O656"/>
  <sortState ref="C4:P656">
    <sortCondition ref="D3:D656"/>
  </sortState>
  <tableColumns count="14">
    <tableColumn id="2" name="IFC-Name" dataDxfId="3"/>
    <tableColumn id="1" name="Doku" dataDxfId="6">
      <calculatedColumnFormula>IF(Entity[[#This Row],[Link]]="","",HYPERLINK(HTMLDokuPath&amp;Entity[[#This Row],[Link]],"Doku"))</calculatedColumnFormula>
    </tableColumn>
    <tableColumn id="3" name="ID-Modul" dataDxfId="60"/>
    <tableColumn id="4" name="IFC-Name Modul" dataDxfId="5">
      <calculatedColumnFormula>IFERROR(IF(VLOOKUP(Entity[ID-Modul],Modul[],3,FALSE)=0,VLOOKUP(Entity[ID-Modul],Modul[],2,FALSE),VLOOKUP(Entity[ID-Modul],Modul[],3,FALSE)),"unbekannt")</calculatedColumnFormula>
    </tableColumn>
    <tableColumn id="5" name="Subtype" dataDxfId="59"/>
    <tableColumn id="6" name="Supertype" dataDxfId="58"/>
    <tableColumn id="7" name="DeclarationLine" dataDxfId="57"/>
    <tableColumn id="8" name="Länge IFCName" dataDxfId="56">
      <calculatedColumnFormula>LEN(Entity[[#This Row],[IFC-Name]])</calculatedColumnFormula>
    </tableColumn>
    <tableColumn id="9" name="Klassen-Name" dataDxfId="55"/>
    <tableColumn id="10" name="Länge KlassenName" dataDxfId="54">
      <calculatedColumnFormula>LEN(Entity[[#This Row],[Klassen-Name]])</calculatedColumnFormula>
    </tableColumn>
    <tableColumn id="11" name="seen in IFC" dataDxfId="53"/>
    <tableColumn id="12" name="Klasse?" dataDxfId="52">
      <calculatedColumnFormula>IF(NOT(Entity[[#This Row],[Supertype]]),TRUE,AND(Entity[[#This Row],[Supertype]],Entity[[#This Row],[Subtype]]))</calculatedColumnFormula>
    </tableColumn>
    <tableColumn id="14" name="ID" dataDxfId="4"/>
    <tableColumn id="13" name="Link" dataDxfId="51"/>
  </tableColumns>
  <tableStyleInfo name="TableStyleMedium2" showFirstColumn="0" showLastColumn="0" showRowStripes="1" showColumnStripes="0"/>
</table>
</file>

<file path=xl/tables/table3.xml><?xml version="1.0" encoding="utf-8"?>
<table xmlns="http://schemas.openxmlformats.org/spreadsheetml/2006/main" id="3" name="DType" displayName="DType" ref="B3:M120" totalsRowShown="0" headerRowDxfId="50">
  <autoFilter ref="B3:M120"/>
  <sortState ref="B4:M120">
    <sortCondition ref="C3:C120"/>
  </sortState>
  <tableColumns count="12">
    <tableColumn id="1" name="Doku" dataDxfId="49">
      <calculatedColumnFormula>IF(DType[[#This Row],[Link]]="","",HYPERLINK(HTML_Doku&amp;DType[[#This Row],[Link]],"Doku"))</calculatedColumnFormula>
    </tableColumn>
    <tableColumn id="2" name="IFC-Name" dataDxfId="48"/>
    <tableColumn id="3" name="ID-Modul" dataDxfId="47"/>
    <tableColumn id="4" name="IFC-Name Modul" dataDxfId="46">
      <calculatedColumnFormula>IFERROR(VLOOKUP(DType[ID-Modul],Modul[],15,FALSE),"unbekannt")</calculatedColumnFormula>
    </tableColumn>
    <tableColumn id="5" name="IFC-Type" dataDxfId="45"/>
    <tableColumn id="6" name="Link" dataDxfId="44"/>
    <tableColumn id="7" name="ID" dataDxfId="43"/>
    <tableColumn id="8" name="Grundtype" dataDxfId="42">
      <calculatedColumnFormula>IFERROR(VLOOKUP(DType[[#This Row],[IFC-Type]],DType[[IFC-Name]:[IFC-Type]],4,FALSE),DType[[#This Row],[IFC-Type]])</calculatedColumnFormula>
    </tableColumn>
    <tableColumn id="9" name="Create Funktion" dataDxfId="41">
      <calculatedColumnFormula>"Public Function New_"&amp;DType[[#This Row],[IFC-Name]]&amp;"() As exp"&amp;DType[[#This Row],[Grundtype]]&amp;CHAR(13)&amp;"  Set New_"&amp;DType[[#This Row],[IFC-Name]]&amp;" = ExpressSimpleTypes.New_"&amp;DType[[#This Row],[Grundtype]]&amp;CHAR(13)&amp;"End Function" &amp; CHAR(13) &amp; CHAR(13)</calculatedColumnFormula>
    </tableColumn>
    <tableColumn id="10" name="Test Creation" dataDxfId="40">
      <calculatedColumnFormula xml:space="preserve"> "  Set TestVar = New_"&amp;DType[[#This Row],[IFC-Name]]</calculatedColumnFormula>
    </tableColumn>
    <tableColumn id="11" name="internal Creation Test" dataDxfId="39"/>
    <tableColumn id="12" name="extrnal Creation Test" dataDxfId="38"/>
  </tableColumns>
  <tableStyleInfo name="TableStyleMedium2" showFirstColumn="0" showLastColumn="0" showRowStripes="1" showColumnStripes="0"/>
</table>
</file>

<file path=xl/tables/table4.xml><?xml version="1.0" encoding="utf-8"?>
<table xmlns="http://schemas.openxmlformats.org/spreadsheetml/2006/main" id="4" name="SType" displayName="SType" ref="B3:F49" totalsRowShown="0" headerRowDxfId="37">
  <autoFilter ref="B3:F49"/>
  <sortState ref="B4:M656">
    <sortCondition ref="C3:C656"/>
  </sortState>
  <tableColumns count="5">
    <tableColumn id="1" name="Doku" dataDxfId="36">
      <calculatedColumnFormula>IF(SType[[#This Row],[Link]]="","",HYPERLINK(HTML_Doku&amp;SType[[#This Row],[Link]],"Doku"))</calculatedColumnFormula>
    </tableColumn>
    <tableColumn id="2" name="IFC-Name" dataDxfId="35"/>
    <tableColumn id="3" name="ID-Modul" dataDxfId="34"/>
    <tableColumn id="4" name="IFC-Name Modul" dataDxfId="33">
      <calculatedColumnFormula>IFERROR(VLOOKUP(SType[ID-Modul],Modul[],2,FALSE),"unbekannt")</calculatedColumnFormula>
    </tableColumn>
    <tableColumn id="6" name="Link" dataDxfId="32"/>
  </tableColumns>
  <tableStyleInfo name="TableStyleMedium2" showFirstColumn="0" showLastColumn="0" showRowStripes="1" showColumnStripes="0"/>
</table>
</file>

<file path=xl/tables/table5.xml><?xml version="1.0" encoding="utf-8"?>
<table xmlns="http://schemas.openxmlformats.org/spreadsheetml/2006/main" id="5" name="Enum" displayName="Enum" ref="B3:I167" totalsRowShown="0" headerRowDxfId="31">
  <autoFilter ref="B3:I167"/>
  <sortState ref="B4:I167">
    <sortCondition ref="D3:D167"/>
  </sortState>
  <tableColumns count="8">
    <tableColumn id="1" name="Doku" dataDxfId="30">
      <calculatedColumnFormula>IF(Enum[[#This Row],[Link]]="","",HYPERLINK(HTML_Doku&amp;Enum[[#This Row],[Link]],"Doku"))</calculatedColumnFormula>
    </tableColumn>
    <tableColumn id="2" name="IFC-Name" dataDxfId="29"/>
    <tableColumn id="3" name="ID-Modul" dataDxfId="28"/>
    <tableColumn id="4" name="IFC-Name Modul" dataDxfId="27">
      <calculatedColumnFormula>IFERROR(VLOOKUP(Enum[ID-Modul],Modul[],2,FALSE),"unbekannt")</calculatedColumnFormula>
    </tableColumn>
    <tableColumn id="6" name="Link" dataDxfId="26"/>
    <tableColumn id="5" name="Präfix" dataDxfId="25"/>
    <tableColumn id="7" name="Code" dataDxfId="24"/>
    <tableColumn id="8" name="File" dataDxfId="23">
      <calculatedColumnFormula>VLOOKUP(Enum[[#This Row],[ID-Modul]],Modul[],17,FALSE)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Function" displayName="Function" ref="B3:F41" totalsRowShown="0" headerRowDxfId="22">
  <autoFilter ref="B3:F41"/>
  <sortState ref="B4:F41">
    <sortCondition ref="E3:E41"/>
  </sortState>
  <tableColumns count="5">
    <tableColumn id="1" name="Doku" dataDxfId="21">
      <calculatedColumnFormula xml:space="preserve"> IF(Function[[#This Row],[Link]]="","",HYPERLINK(HTML_Doku&amp;Function[[#This Row],[Link]],"Doku"))</calculatedColumnFormula>
    </tableColumn>
    <tableColumn id="2" name="IFC-Name" dataDxfId="20"/>
    <tableColumn id="3" name="ID-Modul" dataDxfId="19"/>
    <tableColumn id="4" name="IFC-Name Modul" dataDxfId="18">
      <calculatedColumnFormula>IFERROR(VLOOKUP(Function[ID-Modul],Modul[],2,FALSE),"unbekannt")</calculatedColumnFormula>
    </tableColumn>
    <tableColumn id="6" name="Link" dataDxfId="17"/>
  </tableColumns>
  <tableStyleInfo name="TableStyleMedium2" showFirstColumn="0" showLastColumn="0" showRowStripes="1" showColumnStripes="0"/>
</table>
</file>

<file path=xl/tables/table7.xml><?xml version="1.0" encoding="utf-8"?>
<table xmlns="http://schemas.openxmlformats.org/spreadsheetml/2006/main" id="7" name="Tabelle7" displayName="Tabelle7" ref="B2:I1313" totalsRowShown="0" headerRowDxfId="16" dataDxfId="15">
  <autoFilter ref="B2:I1313"/>
  <sortState ref="C3:F1313">
    <sortCondition ref="E2:E1313"/>
  </sortState>
  <tableColumns count="8">
    <tableColumn id="2" name="Wert" dataDxfId="14"/>
    <tableColumn id="1" name="EnumName" dataDxfId="13"/>
    <tableColumn id="3" name="EnuRohValue" dataDxfId="12"/>
    <tableColumn id="5" name="EnuValue" dataDxfId="11">
      <calculatedColumnFormula>VLOOKUP(Tabelle7[[#This Row],[EnumName]],Enum[[IFC-Name]:[Präfix]],5,FALSE)&amp;Tabelle7[[#This Row],[EnuRohValue]]</calculatedColumnFormula>
    </tableColumn>
    <tableColumn id="6" name="Kontrolle Unique" dataDxfId="10">
      <calculatedColumnFormula>COUNTIF(Tabelle7[EnuValue],Tabelle7[[#This Row],[EnuValue]])</calculatedColumnFormula>
    </tableColumn>
    <tableColumn id="4" name="EnuDek" dataDxfId="9">
      <calculatedColumnFormula xml:space="preserve"> "  " &amp; Tabelle7[[#This Row],[EnuValue]] &amp; " = " &amp; Tabelle7[[#This Row],[Wert]]</calculatedColumnFormula>
    </tableColumn>
    <tableColumn id="7" name="To STEP" dataDxfId="8">
      <calculatedColumnFormula>"  If Wert = " &amp; Tabelle7[[#This Row],[EnuValue]] &amp; " then Res = ""." &amp; Tabelle7[[#This Row],[EnuRohValue]] &amp; "."""</calculatedColumnFormula>
    </tableColumn>
    <tableColumn id="8" name="From STEP" dataDxfId="7">
      <calculatedColumnFormula>"  If wert = ""." &amp; Tabelle7[[#This Row],[EnuRohValue]] &amp; "."" Then Res = " &amp; Tabelle7[[#This Row],[EnuValue]]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Module"/>
  <dimension ref="B1:S47"/>
  <sheetViews>
    <sheetView tabSelected="1" workbookViewId="0">
      <selection activeCell="J1" sqref="J1"/>
    </sheetView>
  </sheetViews>
  <sheetFormatPr baseColWidth="10" defaultColWidth="20.140625" defaultRowHeight="19.5" customHeight="1" x14ac:dyDescent="0.25"/>
  <cols>
    <col min="1" max="1" width="5.42578125" style="1" customWidth="1"/>
    <col min="2" max="2" width="7.140625" style="2" bestFit="1" customWidth="1"/>
    <col min="3" max="3" width="32.28515625" style="1" bestFit="1" customWidth="1"/>
    <col min="4" max="4" width="33.42578125" style="1" bestFit="1" customWidth="1"/>
    <col min="5" max="5" width="13.140625" style="1" bestFit="1" customWidth="1"/>
    <col min="6" max="6" width="14.85546875" style="1" bestFit="1" customWidth="1"/>
    <col min="7" max="7" width="10" style="1" customWidth="1"/>
    <col min="8" max="8" width="10" style="1" bestFit="1" customWidth="1"/>
    <col min="9" max="13" width="10" style="1" customWidth="1"/>
    <col min="14" max="14" width="10" style="18" bestFit="1" customWidth="1"/>
    <col min="15" max="16" width="13.140625" style="1" bestFit="1" customWidth="1"/>
    <col min="17" max="17" width="56.7109375" style="1" bestFit="1" customWidth="1"/>
    <col min="18" max="18" width="63.85546875" style="1" bestFit="1" customWidth="1"/>
    <col min="19" max="19" width="14.85546875" style="1" bestFit="1" customWidth="1"/>
    <col min="20" max="16384" width="20.140625" style="1"/>
  </cols>
  <sheetData>
    <row r="1" spans="2:19" s="14" customFormat="1" ht="50.25" customHeight="1" x14ac:dyDescent="0.2">
      <c r="B1" s="24">
        <v>1</v>
      </c>
      <c r="C1" s="24">
        <v>2</v>
      </c>
      <c r="D1" s="24">
        <v>3</v>
      </c>
      <c r="E1" s="24">
        <v>4</v>
      </c>
      <c r="F1" s="24">
        <v>5</v>
      </c>
      <c r="G1" s="24">
        <v>6</v>
      </c>
      <c r="H1" s="24">
        <v>7</v>
      </c>
      <c r="I1" s="24">
        <v>8</v>
      </c>
      <c r="J1" s="24">
        <v>9</v>
      </c>
      <c r="K1" s="24">
        <v>10</v>
      </c>
      <c r="L1" s="24">
        <v>11</v>
      </c>
      <c r="M1" s="24">
        <v>12</v>
      </c>
      <c r="N1" s="24">
        <v>13</v>
      </c>
      <c r="O1" s="24">
        <v>14</v>
      </c>
      <c r="P1" s="24">
        <v>15</v>
      </c>
      <c r="Q1" s="24">
        <v>16</v>
      </c>
      <c r="R1" s="24">
        <v>17</v>
      </c>
      <c r="S1" s="24">
        <v>18</v>
      </c>
    </row>
    <row r="2" spans="2:19" ht="79.5" customHeight="1" x14ac:dyDescent="0.25">
      <c r="B2" s="3" t="s">
        <v>0</v>
      </c>
      <c r="C2" s="3" t="s">
        <v>5048</v>
      </c>
      <c r="D2" s="3" t="s">
        <v>1751</v>
      </c>
      <c r="E2" s="15" t="s">
        <v>5043</v>
      </c>
      <c r="F2" s="3" t="s">
        <v>5044</v>
      </c>
      <c r="G2" s="27" t="s">
        <v>1283</v>
      </c>
      <c r="H2" s="27" t="s">
        <v>1286</v>
      </c>
      <c r="I2" s="27" t="s">
        <v>1282</v>
      </c>
      <c r="J2" s="27" t="s">
        <v>1287</v>
      </c>
      <c r="K2" s="27" t="s">
        <v>1281</v>
      </c>
      <c r="L2" s="27" t="s">
        <v>1288</v>
      </c>
      <c r="M2" s="27" t="s">
        <v>1284</v>
      </c>
      <c r="N2" s="27" t="s">
        <v>1289</v>
      </c>
      <c r="O2" s="27" t="s">
        <v>1285</v>
      </c>
      <c r="P2" s="27" t="s">
        <v>1290</v>
      </c>
      <c r="Q2" s="16" t="s">
        <v>5042</v>
      </c>
      <c r="R2" s="3" t="s">
        <v>5040</v>
      </c>
      <c r="S2" s="15" t="s">
        <v>1749</v>
      </c>
    </row>
    <row r="3" spans="2:19" ht="19.5" customHeight="1" x14ac:dyDescent="0.25">
      <c r="B3" s="6">
        <v>1</v>
      </c>
      <c r="C3" s="7" t="s">
        <v>1752</v>
      </c>
      <c r="D3" s="19" t="s">
        <v>1705</v>
      </c>
      <c r="E3" s="25" t="str">
        <f>IF(Modul[[#This Row],[Link HTML-Doku]]="","",HYPERLINK(HTMLDokuPath&amp;Modul[[#This Row],[Link HTML-Doku]],"Doku"))</f>
        <v>Doku</v>
      </c>
      <c r="F3" s="56" t="str">
        <f>HYPERLINK(Modul[[#This Row],[Output-Pfad]],"Output-Pfad")</f>
        <v>Output-Pfad</v>
      </c>
      <c r="G3" s="11">
        <v>8</v>
      </c>
      <c r="H3" s="11">
        <f>COUNTIF(Entity[ID-Modul],Modul[[#This Row],[ID]])</f>
        <v>8</v>
      </c>
      <c r="I3" s="11"/>
      <c r="J3" s="11">
        <f>COUNTIF(DType[ID-Modul],Modul[[#This Row],[ID]])</f>
        <v>0</v>
      </c>
      <c r="K3" s="11">
        <v>1</v>
      </c>
      <c r="L3" s="11">
        <f>COUNTIF(SType[ID-Modul],Modul[[#This Row],[ID]])</f>
        <v>1</v>
      </c>
      <c r="M3" s="11">
        <v>2</v>
      </c>
      <c r="N3" s="11">
        <f>COUNTIF(Enum[ID-Modul],Modul[[#This Row],[ID]])</f>
        <v>2</v>
      </c>
      <c r="O3" s="31"/>
      <c r="P3" s="11">
        <f>COUNTIF(Function[ID-Modul],Modul[[#This Row],[ID]])</f>
        <v>0</v>
      </c>
      <c r="Q3" s="17" t="s">
        <v>2814</v>
      </c>
      <c r="R3" s="34" t="str">
        <f>IF(AND(CreateModulSubPath,Modul[[#This Row],[Modul-CodeName]]&lt;&gt;""),OutputPath&amp; "\"&amp;Modul[[#This Row],[Modul-CodeName]],OutputPath)</f>
        <v>H:\Progs\BIM\IFC2x3\Entwicklung\ExpressToVBA\IfcActorResource</v>
      </c>
      <c r="S3" s="1" t="b">
        <f>LOWER(Modul[[#This Row],[Modul-CodeName]])= Modul[[#This Row],[DokuName]]</f>
        <v>1</v>
      </c>
    </row>
    <row r="4" spans="2:19" ht="19.5" customHeight="1" x14ac:dyDescent="0.25">
      <c r="B4" s="6">
        <v>2</v>
      </c>
      <c r="C4" s="7" t="s">
        <v>1753</v>
      </c>
      <c r="D4" s="19" t="s">
        <v>1706</v>
      </c>
      <c r="E4" s="25" t="str">
        <f>IF(Modul[[#This Row],[Link HTML-Doku]]="","",HYPERLINK(HTMLDokuPath&amp;Modul[[#This Row],[Link HTML-Doku]],"Doku"))</f>
        <v>Doku</v>
      </c>
      <c r="F4" s="56" t="str">
        <f>HYPERLINK(Modul[[#This Row],[Output-Pfad]],"Output-Pfad")</f>
        <v>Output-Pfad</v>
      </c>
      <c r="G4" s="11">
        <v>4</v>
      </c>
      <c r="H4" s="11">
        <f>COUNTIF(Entity[ID-Modul],Modul[[#This Row],[ID]])</f>
        <v>4</v>
      </c>
      <c r="I4" s="11"/>
      <c r="J4" s="11">
        <f>COUNTIF(DType[ID-Modul],Modul[[#This Row],[ID]])</f>
        <v>0</v>
      </c>
      <c r="K4" s="11"/>
      <c r="L4" s="11">
        <f>COUNTIF(SType[ID-Modul],Modul[[#This Row],[ID]])</f>
        <v>0</v>
      </c>
      <c r="M4" s="11"/>
      <c r="N4" s="11">
        <f>COUNTIF(Enum[ID-Modul],Modul[[#This Row],[ID]])</f>
        <v>0</v>
      </c>
      <c r="O4" s="31"/>
      <c r="P4" s="11">
        <f>COUNTIF(Function[ID-Modul],Modul[[#This Row],[ID]])</f>
        <v>0</v>
      </c>
      <c r="Q4" s="17" t="s">
        <v>2815</v>
      </c>
      <c r="R4" s="34" t="str">
        <f>IF(AND(CreateModulSubPath,Modul[[#This Row],[Modul-CodeName]]&lt;&gt;""),OutputPath&amp; "\"&amp;Modul[[#This Row],[Modul-CodeName]],OutputPath)</f>
        <v>H:\Progs\BIM\IFC2x3\Entwicklung\ExpressToVBA\IfcApprovalResource</v>
      </c>
      <c r="S4" s="1" t="b">
        <f>LOWER(Modul[[#This Row],[Modul-CodeName]])= Modul[[#This Row],[DokuName]]</f>
        <v>1</v>
      </c>
    </row>
    <row r="5" spans="2:19" ht="19.5" customHeight="1" x14ac:dyDescent="0.25">
      <c r="B5" s="6">
        <v>3</v>
      </c>
      <c r="C5" s="7" t="s">
        <v>1754</v>
      </c>
      <c r="D5" s="19" t="s">
        <v>1707</v>
      </c>
      <c r="E5" s="25" t="str">
        <f>IF(Modul[[#This Row],[Link HTML-Doku]]="","",HYPERLINK(HTMLDokuPath&amp;Modul[[#This Row],[Link HTML-Doku]],"Doku"))</f>
        <v>Doku</v>
      </c>
      <c r="F5" s="56" t="str">
        <f>HYPERLINK(Modul[[#This Row],[Output-Pfad]],"Output-Pfad")</f>
        <v>Output-Pfad</v>
      </c>
      <c r="G5" s="11">
        <v>3</v>
      </c>
      <c r="H5" s="11">
        <f>COUNTIF(Entity[ID-Modul],Modul[[#This Row],[ID]])</f>
        <v>3</v>
      </c>
      <c r="I5" s="11"/>
      <c r="J5" s="11">
        <f>COUNTIF(DType[ID-Modul],Modul[[#This Row],[ID]])</f>
        <v>0</v>
      </c>
      <c r="K5" s="11"/>
      <c r="L5" s="11">
        <f>COUNTIF(SType[ID-Modul],Modul[[#This Row],[ID]])</f>
        <v>0</v>
      </c>
      <c r="M5" s="11">
        <v>1</v>
      </c>
      <c r="N5" s="11">
        <f>COUNTIF(Enum[ID-Modul],Modul[[#This Row],[ID]])</f>
        <v>1</v>
      </c>
      <c r="O5" s="31"/>
      <c r="P5" s="11">
        <f>COUNTIF(Function[ID-Modul],Modul[[#This Row],[ID]])</f>
        <v>0</v>
      </c>
      <c r="Q5" s="17" t="s">
        <v>2816</v>
      </c>
      <c r="R5" s="34" t="str">
        <f>IF(AND(CreateModulSubPath,Modul[[#This Row],[Modul-CodeName]]&lt;&gt;""),OutputPath&amp; "\"&amp;Modul[[#This Row],[Modul-CodeName]],OutputPath)</f>
        <v>H:\Progs\BIM\IFC2x3\Entwicklung\ExpressToVBA\IfcArchitectureDomain</v>
      </c>
      <c r="S5" s="1" t="b">
        <f>LOWER(Modul[[#This Row],[Modul-CodeName]])= Modul[[#This Row],[DokuName]]</f>
        <v>1</v>
      </c>
    </row>
    <row r="6" spans="2:19" ht="19.5" customHeight="1" x14ac:dyDescent="0.25">
      <c r="B6" s="6">
        <v>4</v>
      </c>
      <c r="C6" s="7" t="s">
        <v>1755</v>
      </c>
      <c r="D6" s="19" t="s">
        <v>1708</v>
      </c>
      <c r="E6" s="25" t="str">
        <f>IF(Modul[[#This Row],[Link HTML-Doku]]="","",HYPERLINK(HTMLDokuPath&amp;Modul[[#This Row],[Link HTML-Doku]],"Doku"))</f>
        <v>Doku</v>
      </c>
      <c r="F6" s="56" t="str">
        <f>HYPERLINK(Modul[[#This Row],[Output-Pfad]],"Output-Pfad")</f>
        <v>Output-Pfad</v>
      </c>
      <c r="G6" s="11">
        <v>5</v>
      </c>
      <c r="H6" s="11">
        <f>COUNTIF(Entity[ID-Modul],Modul[[#This Row],[ID]])</f>
        <v>5</v>
      </c>
      <c r="I6" s="11"/>
      <c r="J6" s="11">
        <f>COUNTIF(DType[ID-Modul],Modul[[#This Row],[ID]])</f>
        <v>0</v>
      </c>
      <c r="K6" s="11"/>
      <c r="L6" s="11">
        <f>COUNTIF(SType[ID-Modul],Modul[[#This Row],[ID]])</f>
        <v>0</v>
      </c>
      <c r="M6" s="11">
        <v>5</v>
      </c>
      <c r="N6" s="11">
        <f>COUNTIF(Enum[ID-Modul],Modul[[#This Row],[ID]])</f>
        <v>5</v>
      </c>
      <c r="O6" s="31"/>
      <c r="P6" s="11">
        <f>COUNTIF(Function[ID-Modul],Modul[[#This Row],[ID]])</f>
        <v>0</v>
      </c>
      <c r="Q6" s="17" t="s">
        <v>2817</v>
      </c>
      <c r="R6" s="34" t="str">
        <f>IF(AND(CreateModulSubPath,Modul[[#This Row],[Modul-CodeName]]&lt;&gt;""),OutputPath&amp; "\"&amp;Modul[[#This Row],[Modul-CodeName]],OutputPath)</f>
        <v>H:\Progs\BIM\IFC2x3\Entwicklung\ExpressToVBA\IfcBuildingControlsDomain</v>
      </c>
      <c r="S6" s="1" t="b">
        <f>LOWER(Modul[[#This Row],[Modul-CodeName]])= Modul[[#This Row],[DokuName]]</f>
        <v>1</v>
      </c>
    </row>
    <row r="7" spans="2:19" ht="19.5" customHeight="1" x14ac:dyDescent="0.25">
      <c r="B7" s="6">
        <v>5</v>
      </c>
      <c r="C7" s="7" t="s">
        <v>1756</v>
      </c>
      <c r="D7" s="19" t="s">
        <v>1709</v>
      </c>
      <c r="E7" s="25" t="str">
        <f>IF(Modul[[#This Row],[Link HTML-Doku]]="","",HYPERLINK(HTMLDokuPath&amp;Modul[[#This Row],[Link HTML-Doku]],"Doku"))</f>
        <v>Doku</v>
      </c>
      <c r="F7" s="56" t="str">
        <f>HYPERLINK(Modul[[#This Row],[Output-Pfad]],"Output-Pfad")</f>
        <v>Output-Pfad</v>
      </c>
      <c r="G7" s="11">
        <v>7</v>
      </c>
      <c r="H7" s="11">
        <f>COUNTIF(Entity[ID-Modul],Modul[[#This Row],[ID]])</f>
        <v>7</v>
      </c>
      <c r="I7" s="11"/>
      <c r="J7" s="11">
        <f>COUNTIF(DType[ID-Modul],Modul[[#This Row],[ID]])</f>
        <v>0</v>
      </c>
      <c r="K7" s="11">
        <v>1</v>
      </c>
      <c r="L7" s="11">
        <f>COUNTIF(SType[ID-Modul],Modul[[#This Row],[ID]])</f>
        <v>1</v>
      </c>
      <c r="M7" s="11">
        <v>4</v>
      </c>
      <c r="N7" s="11">
        <f>COUNTIF(Enum[ID-Modul],Modul[[#This Row],[ID]])</f>
        <v>4</v>
      </c>
      <c r="O7" s="31"/>
      <c r="P7" s="11">
        <f>COUNTIF(Function[ID-Modul],Modul[[#This Row],[ID]])</f>
        <v>0</v>
      </c>
      <c r="Q7" s="17" t="s">
        <v>2818</v>
      </c>
      <c r="R7" s="34" t="str">
        <f>IF(AND(CreateModulSubPath,Modul[[#This Row],[Modul-CodeName]]&lt;&gt;""),OutputPath&amp; "\"&amp;Modul[[#This Row],[Modul-CodeName]],OutputPath)</f>
        <v>H:\Progs\BIM\IFC2x3\Entwicklung\ExpressToVBA\IfcConstraintResource</v>
      </c>
      <c r="S7" s="1" t="b">
        <f>LOWER(Modul[[#This Row],[Modul-CodeName]])= Modul[[#This Row],[DokuName]]</f>
        <v>1</v>
      </c>
    </row>
    <row r="8" spans="2:19" ht="19.5" customHeight="1" x14ac:dyDescent="0.25">
      <c r="B8" s="6">
        <v>6</v>
      </c>
      <c r="C8" s="1" t="s">
        <v>1757</v>
      </c>
      <c r="D8" s="26" t="s">
        <v>1710</v>
      </c>
      <c r="E8" s="25" t="str">
        <f>IF(Modul[[#This Row],[Link HTML-Doku]]="","",HYPERLINK(HTMLDokuPath&amp;Modul[[#This Row],[Link HTML-Doku]],"Doku"))</f>
        <v>Doku</v>
      </c>
      <c r="F8" s="56" t="str">
        <f>HYPERLINK(Modul[[#This Row],[Output-Pfad]],"Output-Pfad")</f>
        <v>Output-Pfad</v>
      </c>
      <c r="G8" s="13">
        <v>7</v>
      </c>
      <c r="H8" s="11">
        <f>COUNTIF(Entity[ID-Modul],Modul[[#This Row],[ID]])</f>
        <v>7</v>
      </c>
      <c r="I8" s="13"/>
      <c r="J8" s="11">
        <f>COUNTIF(DType[ID-Modul],Modul[[#This Row],[ID]])</f>
        <v>0</v>
      </c>
      <c r="K8" s="13"/>
      <c r="L8" s="11">
        <f>COUNTIF(SType[ID-Modul],Modul[[#This Row],[ID]])</f>
        <v>0</v>
      </c>
      <c r="M8" s="13">
        <v>1</v>
      </c>
      <c r="N8" s="11">
        <f>COUNTIF(Enum[ID-Modul],Modul[[#This Row],[ID]])</f>
        <v>1</v>
      </c>
      <c r="O8" s="31"/>
      <c r="P8" s="11">
        <f>COUNTIF(Function[ID-Modul],Modul[[#This Row],[ID]])</f>
        <v>0</v>
      </c>
      <c r="Q8" s="17" t="s">
        <v>2819</v>
      </c>
      <c r="R8" s="34" t="str">
        <f>IF(AND(CreateModulSubPath,Modul[[#This Row],[Modul-CodeName]]&lt;&gt;""),OutputPath&amp; "\"&amp;Modul[[#This Row],[Modul-CodeName]],OutputPath)</f>
        <v>H:\Progs\BIM\IFC2x3\Entwicklung\ExpressToVBA\IfcConstructionMgmtDomain</v>
      </c>
      <c r="S8" s="1" t="b">
        <f>LOWER(Modul[[#This Row],[Modul-CodeName]])= Modul[[#This Row],[DokuName]]</f>
        <v>1</v>
      </c>
    </row>
    <row r="9" spans="2:19" ht="19.5" customHeight="1" x14ac:dyDescent="0.25">
      <c r="B9" s="6">
        <v>7</v>
      </c>
      <c r="C9" s="7" t="s">
        <v>1758</v>
      </c>
      <c r="D9" s="26" t="s">
        <v>1711</v>
      </c>
      <c r="E9" s="25" t="str">
        <f>IF(Modul[[#This Row],[Link HTML-Doku]]="","",HYPERLINK(HTMLDokuPath&amp;Modul[[#This Row],[Link HTML-Doku]],"Doku"))</f>
        <v>Doku</v>
      </c>
      <c r="F9" s="56" t="str">
        <f>HYPERLINK(Modul[[#This Row],[Output-Pfad]],"Output-Pfad")</f>
        <v>Output-Pfad</v>
      </c>
      <c r="G9" s="11">
        <v>4</v>
      </c>
      <c r="H9" s="11">
        <f>COUNTIF(Entity[ID-Modul],Modul[[#This Row],[ID]])</f>
        <v>4</v>
      </c>
      <c r="I9" s="11"/>
      <c r="J9" s="11">
        <f>COUNTIF(DType[ID-Modul],Modul[[#This Row],[ID]])</f>
        <v>0</v>
      </c>
      <c r="K9" s="11"/>
      <c r="L9" s="11">
        <f>COUNTIF(SType[ID-Modul],Modul[[#This Row],[ID]])</f>
        <v>0</v>
      </c>
      <c r="M9" s="11">
        <v>1</v>
      </c>
      <c r="N9" s="11">
        <f>COUNTIF(Enum[ID-Modul],Modul[[#This Row],[ID]])</f>
        <v>1</v>
      </c>
      <c r="O9" s="31"/>
      <c r="P9" s="11">
        <f>COUNTIF(Function[ID-Modul],Modul[[#This Row],[ID]])</f>
        <v>0</v>
      </c>
      <c r="Q9" s="17" t="s">
        <v>2820</v>
      </c>
      <c r="R9" s="34" t="str">
        <f>IF(AND(CreateModulSubPath,Modul[[#This Row],[Modul-CodeName]]&lt;&gt;""),OutputPath&amp; "\"&amp;Modul[[#This Row],[Modul-CodeName]],OutputPath)</f>
        <v>H:\Progs\BIM\IFC2x3\Entwicklung\ExpressToVBA\IfcControlExtension</v>
      </c>
      <c r="S9" s="1" t="b">
        <f>LOWER(Modul[[#This Row],[Modul-CodeName]])= Modul[[#This Row],[DokuName]]</f>
        <v>1</v>
      </c>
    </row>
    <row r="10" spans="2:19" ht="19.5" customHeight="1" x14ac:dyDescent="0.25">
      <c r="B10" s="6">
        <v>8</v>
      </c>
      <c r="C10" s="7" t="s">
        <v>1759</v>
      </c>
      <c r="D10" s="19" t="s">
        <v>1712</v>
      </c>
      <c r="E10" s="25" t="str">
        <f>IF(Modul[[#This Row],[Link HTML-Doku]]="","",HYPERLINK(HTMLDokuPath&amp;Modul[[#This Row],[Link HTML-Doku]],"Doku"))</f>
        <v>Doku</v>
      </c>
      <c r="F10" s="56" t="str">
        <f>HYPERLINK(Modul[[#This Row],[Output-Pfad]],"Output-Pfad")</f>
        <v>Output-Pfad</v>
      </c>
      <c r="G10" s="11">
        <v>6</v>
      </c>
      <c r="H10" s="11">
        <f>COUNTIF(Entity[ID-Modul],Modul[[#This Row],[ID]])</f>
        <v>6</v>
      </c>
      <c r="I10" s="11"/>
      <c r="J10" s="11">
        <f>COUNTIF(DType[ID-Modul],Modul[[#This Row],[ID]])</f>
        <v>0</v>
      </c>
      <c r="K10" s="11">
        <v>1</v>
      </c>
      <c r="L10" s="11">
        <f>COUNTIF(SType[ID-Modul],Modul[[#This Row],[ID]])</f>
        <v>1</v>
      </c>
      <c r="M10" s="11">
        <v>2</v>
      </c>
      <c r="N10" s="11">
        <f>COUNTIF(Enum[ID-Modul],Modul[[#This Row],[ID]])</f>
        <v>2</v>
      </c>
      <c r="O10" s="31"/>
      <c r="P10" s="11">
        <f>COUNTIF(Function[ID-Modul],Modul[[#This Row],[ID]])</f>
        <v>0</v>
      </c>
      <c r="Q10" s="17" t="s">
        <v>2821</v>
      </c>
      <c r="R10" s="34" t="str">
        <f>IF(AND(CreateModulSubPath,Modul[[#This Row],[Modul-CodeName]]&lt;&gt;""),OutputPath&amp; "\"&amp;Modul[[#This Row],[Modul-CodeName]],OutputPath)</f>
        <v>H:\Progs\BIM\IFC2x3\Entwicklung\ExpressToVBA\IfcCostResource</v>
      </c>
      <c r="S10" s="1" t="b">
        <f>LOWER(Modul[[#This Row],[Modul-CodeName]])= Modul[[#This Row],[DokuName]]</f>
        <v>1</v>
      </c>
    </row>
    <row r="11" spans="2:19" ht="19.5" customHeight="1" x14ac:dyDescent="0.25">
      <c r="B11" s="6">
        <v>9</v>
      </c>
      <c r="C11" s="7" t="s">
        <v>1760</v>
      </c>
      <c r="D11" s="19" t="s">
        <v>1747</v>
      </c>
      <c r="E11" s="25" t="str">
        <f>IF(Modul[[#This Row],[Link HTML-Doku]]="","",HYPERLINK(HTMLDokuPath&amp;Modul[[#This Row],[Link HTML-Doku]],"Doku"))</f>
        <v>Doku</v>
      </c>
      <c r="F11" s="56" t="str">
        <f>HYPERLINK(Modul[[#This Row],[Output-Pfad]],"Output-Pfad")</f>
        <v>Output-Pfad</v>
      </c>
      <c r="G11" s="11">
        <v>4</v>
      </c>
      <c r="H11" s="11">
        <f>COUNTIF(Entity[ID-Modul],Modul[[#This Row],[ID]])</f>
        <v>4</v>
      </c>
      <c r="I11" s="11">
        <v>7</v>
      </c>
      <c r="J11" s="11">
        <f>COUNTIF(DType[ID-Modul],Modul[[#This Row],[ID]])</f>
        <v>7</v>
      </c>
      <c r="K11" s="11">
        <v>1</v>
      </c>
      <c r="L11" s="11">
        <f>COUNTIF(SType[ID-Modul],Modul[[#This Row],[ID]])</f>
        <v>1</v>
      </c>
      <c r="M11" s="11">
        <v>1</v>
      </c>
      <c r="N11" s="11">
        <f>COUNTIF(Enum[ID-Modul],Modul[[#This Row],[ID]])</f>
        <v>1</v>
      </c>
      <c r="O11" s="31">
        <v>3</v>
      </c>
      <c r="P11" s="11">
        <f>COUNTIF(Function[ID-Modul],Modul[[#This Row],[ID]])</f>
        <v>3</v>
      </c>
      <c r="Q11" s="17" t="s">
        <v>2822</v>
      </c>
      <c r="R11" s="34" t="str">
        <f>IF(AND(CreateModulSubPath,Modul[[#This Row],[Modul-CodeName]]&lt;&gt;""),OutputPath&amp; "\"&amp;Modul[[#This Row],[Modul-CodeName]],OutputPath)</f>
        <v>H:\Progs\BIM\IFC2x3\Entwicklung\ExpressToVBA\IfcDateTimeResource</v>
      </c>
      <c r="S11" s="1" t="b">
        <f>LOWER(Modul[[#This Row],[Modul-CodeName]])= Modul[[#This Row],[DokuName]]</f>
        <v>1</v>
      </c>
    </row>
    <row r="12" spans="2:19" ht="19.5" customHeight="1" x14ac:dyDescent="0.25">
      <c r="B12" s="6">
        <v>10</v>
      </c>
      <c r="C12" s="7" t="s">
        <v>1761</v>
      </c>
      <c r="D12" s="19" t="s">
        <v>1713</v>
      </c>
      <c r="E12" s="25" t="str">
        <f>IF(Modul[[#This Row],[Link HTML-Doku]]="","",HYPERLINK(HTMLDokuPath&amp;Modul[[#This Row],[Link HTML-Doku]],"Doku"))</f>
        <v>Doku</v>
      </c>
      <c r="F12" s="56" t="str">
        <f>HYPERLINK(Modul[[#This Row],[Output-Pfad]],"Output-Pfad")</f>
        <v>Output-Pfad</v>
      </c>
      <c r="G12" s="11">
        <v>19</v>
      </c>
      <c r="H12" s="11">
        <f>COUNTIF(Entity[ID-Modul],Modul[[#This Row],[ID]])</f>
        <v>19</v>
      </c>
      <c r="I12" s="11"/>
      <c r="J12" s="11">
        <f>COUNTIF(DType[ID-Modul],Modul[[#This Row],[ID]])</f>
        <v>0</v>
      </c>
      <c r="K12" s="11"/>
      <c r="L12" s="11">
        <f>COUNTIF(SType[ID-Modul],Modul[[#This Row],[ID]])</f>
        <v>0</v>
      </c>
      <c r="M12" s="11">
        <v>18</v>
      </c>
      <c r="N12" s="11">
        <f>COUNTIF(Enum[ID-Modul],Modul[[#This Row],[ID]])</f>
        <v>18</v>
      </c>
      <c r="O12" s="31"/>
      <c r="P12" s="11">
        <f>COUNTIF(Function[ID-Modul],Modul[[#This Row],[ID]])</f>
        <v>0</v>
      </c>
      <c r="Q12" s="17" t="s">
        <v>2823</v>
      </c>
      <c r="R12" s="34" t="str">
        <f>IF(AND(CreateModulSubPath,Modul[[#This Row],[Modul-CodeName]]&lt;&gt;""),OutputPath&amp; "\"&amp;Modul[[#This Row],[Modul-CodeName]],OutputPath)</f>
        <v>H:\Progs\BIM\IFC2x3\Entwicklung\ExpressToVBA\IfcElectricalDomain</v>
      </c>
      <c r="S12" s="1" t="b">
        <f>LOWER(Modul[[#This Row],[Modul-CodeName]])= Modul[[#This Row],[DokuName]]</f>
        <v>1</v>
      </c>
    </row>
    <row r="13" spans="2:19" ht="19.5" customHeight="1" x14ac:dyDescent="0.25">
      <c r="B13" s="6">
        <v>11</v>
      </c>
      <c r="C13" s="7" t="s">
        <v>1762</v>
      </c>
      <c r="D13" s="19" t="s">
        <v>1714</v>
      </c>
      <c r="E13" s="25" t="str">
        <f>IF(Modul[[#This Row],[Link HTML-Doku]]="","",HYPERLINK(HTMLDokuPath&amp;Modul[[#This Row],[Link HTML-Doku]],"Doku"))</f>
        <v>Doku</v>
      </c>
      <c r="F13" s="56" t="str">
        <f>HYPERLINK(Modul[[#This Row],[Output-Pfad]],"Output-Pfad")</f>
        <v>Output-Pfad</v>
      </c>
      <c r="G13" s="11">
        <v>13</v>
      </c>
      <c r="H13" s="11">
        <f>COUNTIF(Entity[ID-Modul],Modul[[#This Row],[ID]])</f>
        <v>13</v>
      </c>
      <c r="I13" s="11"/>
      <c r="J13" s="11">
        <f>COUNTIF(DType[ID-Modul],Modul[[#This Row],[ID]])</f>
        <v>0</v>
      </c>
      <c r="K13" s="11">
        <v>3</v>
      </c>
      <c r="L13" s="11">
        <f>COUNTIF(SType[ID-Modul],Modul[[#This Row],[ID]])</f>
        <v>3</v>
      </c>
      <c r="M13" s="11">
        <v>2</v>
      </c>
      <c r="N13" s="11">
        <f>COUNTIF(Enum[ID-Modul],Modul[[#This Row],[ID]])</f>
        <v>2</v>
      </c>
      <c r="O13" s="31"/>
      <c r="P13" s="11">
        <f>COUNTIF(Function[ID-Modul],Modul[[#This Row],[ID]])</f>
        <v>0</v>
      </c>
      <c r="Q13" s="17" t="s">
        <v>2824</v>
      </c>
      <c r="R13" s="34" t="str">
        <f>IF(AND(CreateModulSubPath,Modul[[#This Row],[Modul-CodeName]]&lt;&gt;""),OutputPath&amp; "\"&amp;Modul[[#This Row],[Modul-CodeName]],OutputPath)</f>
        <v>H:\Progs\BIM\IFC2x3\Entwicklung\ExpressToVBA\IfcExternalReferenceResource</v>
      </c>
      <c r="S13" s="1" t="b">
        <f>LOWER(Modul[[#This Row],[Modul-CodeName]])= Modul[[#This Row],[DokuName]]</f>
        <v>1</v>
      </c>
    </row>
    <row r="14" spans="2:19" ht="19.5" customHeight="1" x14ac:dyDescent="0.25">
      <c r="B14" s="6">
        <v>12</v>
      </c>
      <c r="C14" s="1" t="s">
        <v>1763</v>
      </c>
      <c r="D14" s="19" t="s">
        <v>1715</v>
      </c>
      <c r="E14" s="25" t="str">
        <f>IF(Modul[[#This Row],[Link HTML-Doku]]="","",HYPERLINK(HTMLDokuPath&amp;Modul[[#This Row],[Link HTML-Doku]],"Doku"))</f>
        <v>Doku</v>
      </c>
      <c r="F14" s="56" t="str">
        <f>HYPERLINK(Modul[[#This Row],[Output-Pfad]],"Output-Pfad")</f>
        <v>Output-Pfad</v>
      </c>
      <c r="G14" s="13">
        <v>8</v>
      </c>
      <c r="H14" s="11">
        <f>COUNTIF(Entity[ID-Modul],Modul[[#This Row],[ID]])</f>
        <v>8</v>
      </c>
      <c r="I14" s="13"/>
      <c r="J14" s="11">
        <f>COUNTIF(DType[ID-Modul],Modul[[#This Row],[ID]])</f>
        <v>0</v>
      </c>
      <c r="K14" s="13">
        <v>1</v>
      </c>
      <c r="L14" s="11">
        <f>COUNTIF(SType[ID-Modul],Modul[[#This Row],[ID]])</f>
        <v>1</v>
      </c>
      <c r="M14" s="13"/>
      <c r="N14" s="11">
        <f>COUNTIF(Enum[ID-Modul],Modul[[#This Row],[ID]])</f>
        <v>0</v>
      </c>
      <c r="O14" s="31"/>
      <c r="P14" s="11">
        <f>COUNTIF(Function[ID-Modul],Modul[[#This Row],[ID]])</f>
        <v>0</v>
      </c>
      <c r="Q14" s="17" t="s">
        <v>2825</v>
      </c>
      <c r="R14" s="34" t="str">
        <f>IF(AND(CreateModulSubPath,Modul[[#This Row],[Modul-CodeName]]&lt;&gt;""),OutputPath&amp; "\"&amp;Modul[[#This Row],[Modul-CodeName]],OutputPath)</f>
        <v>H:\Progs\BIM\IFC2x3\Entwicklung\ExpressToVBA\IfcFacilitiesMgmtDomain</v>
      </c>
      <c r="S14" s="1" t="b">
        <f>LOWER(Modul[[#This Row],[Modul-CodeName]])= Modul[[#This Row],[DokuName]]</f>
        <v>1</v>
      </c>
    </row>
    <row r="15" spans="2:19" ht="19.5" customHeight="1" x14ac:dyDescent="0.25">
      <c r="B15" s="6">
        <v>13</v>
      </c>
      <c r="C15" s="7" t="s">
        <v>1764</v>
      </c>
      <c r="D15" s="19" t="s">
        <v>1716</v>
      </c>
      <c r="E15" s="25" t="str">
        <f>IF(Modul[[#This Row],[Link HTML-Doku]]="","",HYPERLINK(HTMLDokuPath&amp;Modul[[#This Row],[Link HTML-Doku]],"Doku"))</f>
        <v>Doku</v>
      </c>
      <c r="F15" s="56" t="str">
        <f>HYPERLINK(Modul[[#This Row],[Output-Pfad]],"Output-Pfad")</f>
        <v>Output-Pfad</v>
      </c>
      <c r="G15" s="11">
        <v>11</v>
      </c>
      <c r="H15" s="11">
        <f>COUNTIF(Entity[ID-Modul],Modul[[#This Row],[ID]])</f>
        <v>11</v>
      </c>
      <c r="I15" s="11"/>
      <c r="J15" s="11">
        <f>COUNTIF(DType[ID-Modul],Modul[[#This Row],[ID]])</f>
        <v>0</v>
      </c>
      <c r="K15" s="11">
        <v>3</v>
      </c>
      <c r="L15" s="11">
        <f>COUNTIF(SType[ID-Modul],Modul[[#This Row],[ID]])</f>
        <v>3</v>
      </c>
      <c r="M15" s="11"/>
      <c r="N15" s="11">
        <f>COUNTIF(Enum[ID-Modul],Modul[[#This Row],[ID]])</f>
        <v>0</v>
      </c>
      <c r="O15" s="31">
        <v>1</v>
      </c>
      <c r="P15" s="11">
        <f>COUNTIF(Function[ID-Modul],Modul[[#This Row],[ID]])</f>
        <v>1</v>
      </c>
      <c r="Q15" s="17" t="s">
        <v>2826</v>
      </c>
      <c r="R15" s="34" t="str">
        <f>IF(AND(CreateModulSubPath,Modul[[#This Row],[Modul-CodeName]]&lt;&gt;""),OutputPath&amp; "\"&amp;Modul[[#This Row],[Modul-CodeName]],OutputPath)</f>
        <v>H:\Progs\BIM\IFC2x3\Entwicklung\ExpressToVBA\IfcGeometricConstraintResource</v>
      </c>
      <c r="S15" s="1" t="b">
        <f>LOWER(Modul[[#This Row],[Modul-CodeName]])= Modul[[#This Row],[DokuName]]</f>
        <v>1</v>
      </c>
    </row>
    <row r="16" spans="2:19" ht="19.5" customHeight="1" x14ac:dyDescent="0.25">
      <c r="B16" s="6">
        <v>14</v>
      </c>
      <c r="C16" s="7" t="s">
        <v>1765</v>
      </c>
      <c r="D16" s="19" t="s">
        <v>1717</v>
      </c>
      <c r="E16" s="25" t="str">
        <f>IF(Modul[[#This Row],[Link HTML-Doku]]="","",HYPERLINK(HTMLDokuPath&amp;Modul[[#This Row],[Link HTML-Doku]],"Doku"))</f>
        <v>Doku</v>
      </c>
      <c r="F16" s="56" t="str">
        <f>HYPERLINK(Modul[[#This Row],[Output-Pfad]],"Output-Pfad")</f>
        <v>Output-Pfad</v>
      </c>
      <c r="G16" s="11">
        <v>27</v>
      </c>
      <c r="H16" s="11">
        <f>COUNTIF(Entity[ID-Modul],Modul[[#This Row],[ID]])</f>
        <v>27</v>
      </c>
      <c r="I16" s="11"/>
      <c r="J16" s="11">
        <f>COUNTIF(DType[ID-Modul],Modul[[#This Row],[ID]])</f>
        <v>0</v>
      </c>
      <c r="K16" s="11">
        <v>3</v>
      </c>
      <c r="L16" s="11">
        <f>COUNTIF(SType[ID-Modul],Modul[[#This Row],[ID]])</f>
        <v>3</v>
      </c>
      <c r="M16" s="11">
        <v>1</v>
      </c>
      <c r="N16" s="11">
        <f>COUNTIF(Enum[ID-Modul],Modul[[#This Row],[ID]])</f>
        <v>1</v>
      </c>
      <c r="O16" s="31"/>
      <c r="P16" s="11">
        <f>COUNTIF(Function[ID-Modul],Modul[[#This Row],[ID]])</f>
        <v>0</v>
      </c>
      <c r="Q16" s="17" t="s">
        <v>2827</v>
      </c>
      <c r="R16" s="34" t="str">
        <f>IF(AND(CreateModulSubPath,Modul[[#This Row],[Modul-CodeName]]&lt;&gt;""),OutputPath&amp; "\"&amp;Modul[[#This Row],[Modul-CodeName]],OutputPath)</f>
        <v>H:\Progs\BIM\IFC2x3\Entwicklung\ExpressToVBA\IfcGeometricModelResource</v>
      </c>
      <c r="S16" s="1" t="b">
        <f>LOWER(Modul[[#This Row],[Modul-CodeName]])= Modul[[#This Row],[DokuName]]</f>
        <v>1</v>
      </c>
    </row>
    <row r="17" spans="2:19" ht="19.5" customHeight="1" x14ac:dyDescent="0.25">
      <c r="B17" s="6">
        <v>15</v>
      </c>
      <c r="C17" s="7" t="s">
        <v>1766</v>
      </c>
      <c r="D17" s="19" t="s">
        <v>1742</v>
      </c>
      <c r="E17" s="25" t="str">
        <f>IF(Modul[[#This Row],[Link HTML-Doku]]="","",HYPERLINK(HTMLDokuPath&amp;Modul[[#This Row],[Link HTML-Doku]],"Doku"))</f>
        <v>Doku</v>
      </c>
      <c r="F17" s="56" t="str">
        <f>HYPERLINK(Modul[[#This Row],[Output-Pfad]],"Output-Pfad")</f>
        <v>Output-Pfad</v>
      </c>
      <c r="G17" s="11">
        <v>44</v>
      </c>
      <c r="H17" s="11">
        <f>COUNTIF(Entity[ID-Modul],Modul[[#This Row],[ID]])</f>
        <v>44</v>
      </c>
      <c r="I17" s="11">
        <v>1</v>
      </c>
      <c r="J17" s="11">
        <f>COUNTIF(DType[ID-Modul],Modul[[#This Row],[ID]])</f>
        <v>1</v>
      </c>
      <c r="K17" s="11">
        <v>3</v>
      </c>
      <c r="L17" s="11">
        <f>COUNTIF(SType[ID-Modul],Modul[[#This Row],[ID]])</f>
        <v>3</v>
      </c>
      <c r="M17" s="11">
        <v>3</v>
      </c>
      <c r="N17" s="11">
        <f>COUNTIF(Enum[ID-Modul],Modul[[#This Row],[ID]])</f>
        <v>3</v>
      </c>
      <c r="O17" s="31">
        <v>19</v>
      </c>
      <c r="P17" s="11">
        <f>COUNTIF(Function[ID-Modul],Modul[[#This Row],[ID]])</f>
        <v>19</v>
      </c>
      <c r="Q17" s="17" t="s">
        <v>2828</v>
      </c>
      <c r="R17" s="34" t="str">
        <f>IF(AND(CreateModulSubPath,Modul[[#This Row],[Modul-CodeName]]&lt;&gt;""),OutputPath&amp; "\"&amp;Modul[[#This Row],[Modul-CodeName]],OutputPath)</f>
        <v>H:\Progs\BIM\IFC2x3\Entwicklung\ExpressToVBA\IfcGeometryResource</v>
      </c>
      <c r="S17" s="1" t="b">
        <f>LOWER(Modul[[#This Row],[Modul-CodeName]])= Modul[[#This Row],[DokuName]]</f>
        <v>1</v>
      </c>
    </row>
    <row r="18" spans="2:19" ht="19.5" customHeight="1" x14ac:dyDescent="0.25">
      <c r="B18" s="6">
        <v>16</v>
      </c>
      <c r="C18" s="7" t="s">
        <v>1767</v>
      </c>
      <c r="D18" s="19" t="s">
        <v>1718</v>
      </c>
      <c r="E18" s="25" t="str">
        <f>IF(Modul[[#This Row],[Link HTML-Doku]]="","",HYPERLINK(HTMLDokuPath&amp;Modul[[#This Row],[Link HTML-Doku]],"Doku"))</f>
        <v>Doku</v>
      </c>
      <c r="F18" s="56" t="str">
        <f>HYPERLINK(Modul[[#This Row],[Output-Pfad]],"Output-Pfad")</f>
        <v>Output-Pfad</v>
      </c>
      <c r="G18" s="11">
        <v>31</v>
      </c>
      <c r="H18" s="11">
        <f>COUNTIF(Entity[ID-Modul],Modul[[#This Row],[ID]])</f>
        <v>31</v>
      </c>
      <c r="I18" s="11"/>
      <c r="J18" s="11">
        <f>COUNTIF(DType[ID-Modul],Modul[[#This Row],[ID]])</f>
        <v>0</v>
      </c>
      <c r="K18" s="11"/>
      <c r="L18" s="11">
        <f>COUNTIF(SType[ID-Modul],Modul[[#This Row],[ID]])</f>
        <v>0</v>
      </c>
      <c r="M18" s="11">
        <v>31</v>
      </c>
      <c r="N18" s="11">
        <f>COUNTIF(Enum[ID-Modul],Modul[[#This Row],[ID]])</f>
        <v>31</v>
      </c>
      <c r="O18" s="31"/>
      <c r="P18" s="11">
        <f>COUNTIF(Function[ID-Modul],Modul[[#This Row],[ID]])</f>
        <v>0</v>
      </c>
      <c r="Q18" s="17" t="s">
        <v>2829</v>
      </c>
      <c r="R18" s="34" t="str">
        <f>IF(AND(CreateModulSubPath,Modul[[#This Row],[Modul-CodeName]]&lt;&gt;""),OutputPath&amp; "\"&amp;Modul[[#This Row],[Modul-CodeName]],OutputPath)</f>
        <v>H:\Progs\BIM\IFC2x3\Entwicklung\ExpressToVBA\IfcHvacDomain</v>
      </c>
      <c r="S18" s="1" t="b">
        <f>LOWER(Modul[[#This Row],[Modul-CodeName]])= Modul[[#This Row],[DokuName]]</f>
        <v>1</v>
      </c>
    </row>
    <row r="19" spans="2:19" ht="19.5" customHeight="1" x14ac:dyDescent="0.25">
      <c r="B19" s="6">
        <v>17</v>
      </c>
      <c r="C19" s="7" t="s">
        <v>1768</v>
      </c>
      <c r="D19" s="19" t="s">
        <v>1719</v>
      </c>
      <c r="E19" s="25" t="str">
        <f>IF(Modul[[#This Row],[Link HTML-Doku]]="","",HYPERLINK(HTMLDokuPath&amp;Modul[[#This Row],[Link HTML-Doku]],"Doku"))</f>
        <v>Doku</v>
      </c>
      <c r="F19" s="56" t="str">
        <f>HYPERLINK(Modul[[#This Row],[Output-Pfad]],"Output-Pfad")</f>
        <v>Output-Pfad</v>
      </c>
      <c r="G19" s="11">
        <v>37</v>
      </c>
      <c r="H19" s="11">
        <f>COUNTIF(Entity[ID-Modul],Modul[[#This Row],[ID]])</f>
        <v>37</v>
      </c>
      <c r="I19" s="11"/>
      <c r="J19" s="11">
        <f>COUNTIF(DType[ID-Modul],Modul[[#This Row],[ID]])</f>
        <v>0</v>
      </c>
      <c r="K19" s="11"/>
      <c r="L19" s="11">
        <f>COUNTIF(SType[ID-Modul],Modul[[#This Row],[ID]])</f>
        <v>0</v>
      </c>
      <c r="M19" s="11">
        <v>2</v>
      </c>
      <c r="N19" s="11">
        <f>COUNTIF(Enum[ID-Modul],Modul[[#This Row],[ID]])</f>
        <v>2</v>
      </c>
      <c r="O19" s="31">
        <v>1</v>
      </c>
      <c r="P19" s="11">
        <f>COUNTIF(Function[ID-Modul],Modul[[#This Row],[ID]])</f>
        <v>1</v>
      </c>
      <c r="Q19" s="17" t="s">
        <v>2830</v>
      </c>
      <c r="R19" s="34" t="str">
        <f>IF(AND(CreateModulSubPath,Modul[[#This Row],[Modul-CodeName]]&lt;&gt;""),OutputPath&amp; "\"&amp;Modul[[#This Row],[Modul-CodeName]],OutputPath)</f>
        <v>H:\Progs\BIM\IFC2x3\Entwicklung\ExpressToVBA\IfcKernel</v>
      </c>
      <c r="S19" s="1" t="b">
        <f>LOWER(Modul[[#This Row],[Modul-CodeName]])= Modul[[#This Row],[DokuName]]</f>
        <v>1</v>
      </c>
    </row>
    <row r="20" spans="2:19" ht="19.5" customHeight="1" x14ac:dyDescent="0.25">
      <c r="B20" s="6">
        <v>18</v>
      </c>
      <c r="C20" s="7" t="s">
        <v>1769</v>
      </c>
      <c r="D20" s="19" t="s">
        <v>1720</v>
      </c>
      <c r="E20" s="25" t="str">
        <f>IF(Modul[[#This Row],[Link HTML-Doku]]="","",HYPERLINK(HTMLDokuPath&amp;Modul[[#This Row],[Link HTML-Doku]],"Doku"))</f>
        <v>Doku</v>
      </c>
      <c r="F20" s="56" t="str">
        <f>HYPERLINK(Modul[[#This Row],[Output-Pfad]],"Output-Pfad")</f>
        <v>Output-Pfad</v>
      </c>
      <c r="G20" s="11">
        <v>13</v>
      </c>
      <c r="H20" s="11">
        <f>COUNTIF(Entity[ID-Modul],Modul[[#This Row],[ID]])</f>
        <v>13</v>
      </c>
      <c r="I20" s="11"/>
      <c r="J20" s="11">
        <f>COUNTIF(DType[ID-Modul],Modul[[#This Row],[ID]])</f>
        <v>0</v>
      </c>
      <c r="K20" s="11"/>
      <c r="L20" s="11">
        <f>COUNTIF(SType[ID-Modul],Modul[[#This Row],[ID]])</f>
        <v>0</v>
      </c>
      <c r="M20" s="11"/>
      <c r="N20" s="11">
        <f>COUNTIF(Enum[ID-Modul],Modul[[#This Row],[ID]])</f>
        <v>0</v>
      </c>
      <c r="O20" s="31"/>
      <c r="P20" s="11">
        <f>COUNTIF(Function[ID-Modul],Modul[[#This Row],[ID]])</f>
        <v>0</v>
      </c>
      <c r="Q20" s="17" t="s">
        <v>2831</v>
      </c>
      <c r="R20" s="34" t="str">
        <f>IF(AND(CreateModulSubPath,Modul[[#This Row],[Modul-CodeName]]&lt;&gt;""),OutputPath&amp; "\"&amp;Modul[[#This Row],[Modul-CodeName]],OutputPath)</f>
        <v>H:\Progs\BIM\IFC2x3\Entwicklung\ExpressToVBA\IfcMaterialPropertyResource</v>
      </c>
      <c r="S20" s="1" t="b">
        <f>LOWER(Modul[[#This Row],[Modul-CodeName]])= Modul[[#This Row],[DokuName]]</f>
        <v>1</v>
      </c>
    </row>
    <row r="21" spans="2:19" ht="19.5" customHeight="1" x14ac:dyDescent="0.25">
      <c r="B21" s="6">
        <v>19</v>
      </c>
      <c r="C21" s="7" t="s">
        <v>1770</v>
      </c>
      <c r="D21" s="19" t="s">
        <v>1721</v>
      </c>
      <c r="E21" s="25" t="str">
        <f>IF(Modul[[#This Row],[Link HTML-Doku]]="","",HYPERLINK(HTMLDokuPath&amp;Modul[[#This Row],[Link HTML-Doku]],"Doku"))</f>
        <v>Doku</v>
      </c>
      <c r="F21" s="56" t="str">
        <f>HYPERLINK(Modul[[#This Row],[Output-Pfad]],"Output-Pfad")</f>
        <v>Output-Pfad</v>
      </c>
      <c r="G21" s="11">
        <v>6</v>
      </c>
      <c r="H21" s="11">
        <f>COUNTIF(Entity[ID-Modul],Modul[[#This Row],[ID]])</f>
        <v>6</v>
      </c>
      <c r="I21" s="11"/>
      <c r="J21" s="11">
        <f>COUNTIF(DType[ID-Modul],Modul[[#This Row],[ID]])</f>
        <v>0</v>
      </c>
      <c r="K21" s="11">
        <v>1</v>
      </c>
      <c r="L21" s="11">
        <f>COUNTIF(SType[ID-Modul],Modul[[#This Row],[ID]])</f>
        <v>1</v>
      </c>
      <c r="M21" s="11">
        <v>2</v>
      </c>
      <c r="N21" s="11">
        <f>COUNTIF(Enum[ID-Modul],Modul[[#This Row],[ID]])</f>
        <v>2</v>
      </c>
      <c r="O21" s="31">
        <v>1</v>
      </c>
      <c r="P21" s="11">
        <f>COUNTIF(Function[ID-Modul],Modul[[#This Row],[ID]])</f>
        <v>1</v>
      </c>
      <c r="Q21" s="17" t="s">
        <v>2832</v>
      </c>
      <c r="R21" s="34" t="str">
        <f>IF(AND(CreateModulSubPath,Modul[[#This Row],[Modul-CodeName]]&lt;&gt;""),OutputPath&amp; "\"&amp;Modul[[#This Row],[Modul-CodeName]],OutputPath)</f>
        <v>H:\Progs\BIM\IFC2x3\Entwicklung\ExpressToVBA\IfcMaterialResource</v>
      </c>
      <c r="S21" s="1" t="b">
        <f>LOWER(Modul[[#This Row],[Modul-CodeName]])= Modul[[#This Row],[DokuName]]</f>
        <v>1</v>
      </c>
    </row>
    <row r="22" spans="2:19" ht="19.5" customHeight="1" x14ac:dyDescent="0.25">
      <c r="B22" s="6">
        <v>20</v>
      </c>
      <c r="C22" s="1" t="s">
        <v>1771</v>
      </c>
      <c r="D22" s="19" t="s">
        <v>1748</v>
      </c>
      <c r="E22" s="25" t="str">
        <f>IF(Modul[[#This Row],[Link HTML-Doku]]="","",HYPERLINK(HTMLDokuPath&amp;Modul[[#This Row],[Link HTML-Doku]],"Doku"))</f>
        <v>Doku</v>
      </c>
      <c r="F22" s="56" t="str">
        <f>HYPERLINK(Modul[[#This Row],[Output-Pfad]],"Output-Pfad")</f>
        <v>Output-Pfad</v>
      </c>
      <c r="G22" s="13">
        <v>10</v>
      </c>
      <c r="H22" s="11">
        <f>COUNTIF(Entity[ID-Modul],Modul[[#This Row],[ID]])</f>
        <v>10</v>
      </c>
      <c r="I22" s="13">
        <v>97</v>
      </c>
      <c r="J22" s="11">
        <f>COUNTIF(DType[ID-Modul],Modul[[#This Row],[ID]])</f>
        <v>97</v>
      </c>
      <c r="K22" s="13">
        <v>5</v>
      </c>
      <c r="L22" s="11">
        <f>COUNTIF(SType[ID-Modul],Modul[[#This Row],[ID]])</f>
        <v>5</v>
      </c>
      <c r="M22" s="13">
        <v>5</v>
      </c>
      <c r="N22" s="11">
        <f>COUNTIF(Enum[ID-Modul],Modul[[#This Row],[ID]])</f>
        <v>5</v>
      </c>
      <c r="O22" s="31">
        <v>4</v>
      </c>
      <c r="P22" s="11">
        <f>COUNTIF(Function[ID-Modul],Modul[[#This Row],[ID]])</f>
        <v>4</v>
      </c>
      <c r="Q22" s="17" t="s">
        <v>2833</v>
      </c>
      <c r="R22" s="34" t="str">
        <f>IF(AND(CreateModulSubPath,Modul[[#This Row],[Modul-CodeName]]&lt;&gt;""),OutputPath&amp; "\"&amp;Modul[[#This Row],[Modul-CodeName]],OutputPath)</f>
        <v>H:\Progs\BIM\IFC2x3\Entwicklung\ExpressToVBA\IfcMeasureResource</v>
      </c>
      <c r="S22" s="1" t="b">
        <f>LOWER(Modul[[#This Row],[Modul-CodeName]])= Modul[[#This Row],[DokuName]]</f>
        <v>1</v>
      </c>
    </row>
    <row r="23" spans="2:19" ht="19.5" customHeight="1" x14ac:dyDescent="0.25">
      <c r="B23" s="6">
        <v>21</v>
      </c>
      <c r="C23" s="7" t="s">
        <v>1772</v>
      </c>
      <c r="D23" s="19" t="s">
        <v>1722</v>
      </c>
      <c r="E23" s="25" t="str">
        <f>IF(Modul[[#This Row],[Link HTML-Doku]]="","",HYPERLINK(HTMLDokuPath&amp;Modul[[#This Row],[Link HTML-Doku]],"Doku"))</f>
        <v>Doku</v>
      </c>
      <c r="F23" s="56" t="str">
        <f>HYPERLINK(Modul[[#This Row],[Output-Pfad]],"Output-Pfad")</f>
        <v>Output-Pfad</v>
      </c>
      <c r="G23" s="11">
        <v>4</v>
      </c>
      <c r="H23" s="11">
        <f>COUNTIF(Entity[ID-Modul],Modul[[#This Row],[ID]])</f>
        <v>4</v>
      </c>
      <c r="I23" s="11"/>
      <c r="J23" s="11">
        <f>COUNTIF(DType[ID-Modul],Modul[[#This Row],[ID]])</f>
        <v>0</v>
      </c>
      <c r="K23" s="11"/>
      <c r="L23" s="11">
        <f>COUNTIF(SType[ID-Modul],Modul[[#This Row],[ID]])</f>
        <v>0</v>
      </c>
      <c r="M23" s="11">
        <v>4</v>
      </c>
      <c r="N23" s="11">
        <f>COUNTIF(Enum[ID-Modul],Modul[[#This Row],[ID]])</f>
        <v>4</v>
      </c>
      <c r="O23" s="31"/>
      <c r="P23" s="11">
        <f>COUNTIF(Function[ID-Modul],Modul[[#This Row],[ID]])</f>
        <v>0</v>
      </c>
      <c r="Q23" s="17" t="s">
        <v>2834</v>
      </c>
      <c r="R23" s="34" t="str">
        <f>IF(AND(CreateModulSubPath,Modul[[#This Row],[Modul-CodeName]]&lt;&gt;""),OutputPath&amp; "\"&amp;Modul[[#This Row],[Modul-CodeName]],OutputPath)</f>
        <v>H:\Progs\BIM\IFC2x3\Entwicklung\ExpressToVBA\IfcPlumbingFireProtectionDomain</v>
      </c>
      <c r="S23" s="1" t="b">
        <f>LOWER(Modul[[#This Row],[Modul-CodeName]])= Modul[[#This Row],[DokuName]]</f>
        <v>1</v>
      </c>
    </row>
    <row r="24" spans="2:19" ht="19.5" customHeight="1" x14ac:dyDescent="0.25">
      <c r="B24" s="6">
        <v>22</v>
      </c>
      <c r="C24" s="1" t="s">
        <v>1773</v>
      </c>
      <c r="D24" s="19" t="s">
        <v>1745</v>
      </c>
      <c r="E24" s="25" t="str">
        <f>IF(Modul[[#This Row],[Link HTML-Doku]]="","",HYPERLINK(HTMLDokuPath&amp;Modul[[#This Row],[Link HTML-Doku]],"Doku"))</f>
        <v>Doku</v>
      </c>
      <c r="F24" s="56" t="str">
        <f>HYPERLINK(Modul[[#This Row],[Output-Pfad]],"Output-Pfad")</f>
        <v>Output-Pfad</v>
      </c>
      <c r="G24" s="13">
        <v>32</v>
      </c>
      <c r="H24" s="11">
        <f>COUNTIF(Entity[ID-Modul],Modul[[#This Row],[ID]])</f>
        <v>32</v>
      </c>
      <c r="I24" s="13">
        <v>5</v>
      </c>
      <c r="J24" s="11">
        <f>COUNTIF(DType[ID-Modul],Modul[[#This Row],[ID]])</f>
        <v>5</v>
      </c>
      <c r="K24" s="13">
        <v>13</v>
      </c>
      <c r="L24" s="11">
        <f>COUNTIF(SType[ID-Modul],Modul[[#This Row],[ID]])</f>
        <v>13</v>
      </c>
      <c r="M24" s="13">
        <v>4</v>
      </c>
      <c r="N24" s="11">
        <f>COUNTIF(Enum[ID-Modul],Modul[[#This Row],[ID]])</f>
        <v>4</v>
      </c>
      <c r="O24" s="31">
        <v>1</v>
      </c>
      <c r="P24" s="11">
        <f>COUNTIF(Function[ID-Modul],Modul[[#This Row],[ID]])</f>
        <v>1</v>
      </c>
      <c r="Q24" s="17" t="s">
        <v>2835</v>
      </c>
      <c r="R24" s="34" t="str">
        <f>IF(AND(CreateModulSubPath,Modul[[#This Row],[Modul-CodeName]]&lt;&gt;""),OutputPath&amp; "\"&amp;Modul[[#This Row],[Modul-CodeName]],OutputPath)</f>
        <v>H:\Progs\BIM\IFC2x3\Entwicklung\ExpressToVBA\IfcPresentationAppearanceResource</v>
      </c>
      <c r="S24" s="1" t="b">
        <f>LOWER(Modul[[#This Row],[Modul-CodeName]])= Modul[[#This Row],[DokuName]]</f>
        <v>1</v>
      </c>
    </row>
    <row r="25" spans="2:19" ht="19.5" customHeight="1" x14ac:dyDescent="0.25">
      <c r="B25" s="6">
        <v>23</v>
      </c>
      <c r="C25" s="7" t="s">
        <v>1774</v>
      </c>
      <c r="D25" s="19" t="s">
        <v>1743</v>
      </c>
      <c r="E25" s="25" t="str">
        <f>IF(Modul[[#This Row],[Link HTML-Doku]]="","",HYPERLINK(HTMLDokuPath&amp;Modul[[#This Row],[Link HTML-Doku]],"Doku"))</f>
        <v>Doku</v>
      </c>
      <c r="F25" s="56" t="str">
        <f>HYPERLINK(Modul[[#This Row],[Output-Pfad]],"Output-Pfad")</f>
        <v>Output-Pfad</v>
      </c>
      <c r="G25" s="11">
        <v>18</v>
      </c>
      <c r="H25" s="11">
        <f>COUNTIF(Entity[ID-Modul],Modul[[#This Row],[ID]])</f>
        <v>18</v>
      </c>
      <c r="I25" s="11">
        <v>1</v>
      </c>
      <c r="J25" s="11">
        <f>COUNTIF(DType[ID-Modul],Modul[[#This Row],[ID]])</f>
        <v>1</v>
      </c>
      <c r="K25" s="11">
        <v>1</v>
      </c>
      <c r="L25" s="11">
        <f>COUNTIF(SType[ID-Modul],Modul[[#This Row],[ID]])</f>
        <v>1</v>
      </c>
      <c r="M25" s="11">
        <v>1</v>
      </c>
      <c r="N25" s="11">
        <f>COUNTIF(Enum[ID-Modul],Modul[[#This Row],[ID]])</f>
        <v>1</v>
      </c>
      <c r="O25" s="31"/>
      <c r="P25" s="11">
        <f>COUNTIF(Function[ID-Modul],Modul[[#This Row],[ID]])</f>
        <v>0</v>
      </c>
      <c r="Q25" s="17" t="s">
        <v>2836</v>
      </c>
      <c r="R25" s="34" t="str">
        <f>IF(AND(CreateModulSubPath,Modul[[#This Row],[Modul-CodeName]]&lt;&gt;""),OutputPath&amp; "\"&amp;Modul[[#This Row],[Modul-CodeName]],OutputPath)</f>
        <v>H:\Progs\BIM\IFC2x3\Entwicklung\ExpressToVBA\IfcPresentationDefinitionResource</v>
      </c>
      <c r="S25" s="1" t="b">
        <f>LOWER(Modul[[#This Row],[Modul-CodeName]])= Modul[[#This Row],[DokuName]]</f>
        <v>1</v>
      </c>
    </row>
    <row r="26" spans="2:19" ht="19.5" customHeight="1" x14ac:dyDescent="0.25">
      <c r="B26" s="6">
        <v>24</v>
      </c>
      <c r="C26" s="1" t="s">
        <v>1775</v>
      </c>
      <c r="D26" s="19" t="s">
        <v>1723</v>
      </c>
      <c r="E26" s="25" t="str">
        <f>IF(Modul[[#This Row],[Link HTML-Doku]]="","",HYPERLINK(HTMLDokuPath&amp;Modul[[#This Row],[Link HTML-Doku]],"Doku"))</f>
        <v>Doku</v>
      </c>
      <c r="F26" s="56" t="str">
        <f>HYPERLINK(Modul[[#This Row],[Output-Pfad]],"Output-Pfad")</f>
        <v>Output-Pfad</v>
      </c>
      <c r="G26" s="13">
        <v>17</v>
      </c>
      <c r="H26" s="11">
        <f>COUNTIF(Entity[ID-Modul],Modul[[#This Row],[ID]])</f>
        <v>17</v>
      </c>
      <c r="I26" s="13"/>
      <c r="J26" s="11">
        <f>COUNTIF(DType[ID-Modul],Modul[[#This Row],[ID]])</f>
        <v>0</v>
      </c>
      <c r="K26" s="13">
        <v>1</v>
      </c>
      <c r="L26" s="11">
        <f>COUNTIF(SType[ID-Modul],Modul[[#This Row],[ID]])</f>
        <v>1</v>
      </c>
      <c r="M26" s="13">
        <v>1</v>
      </c>
      <c r="N26" s="11">
        <f>COUNTIF(Enum[ID-Modul],Modul[[#This Row],[ID]])</f>
        <v>1</v>
      </c>
      <c r="O26" s="31"/>
      <c r="P26" s="11">
        <f>COUNTIF(Function[ID-Modul],Modul[[#This Row],[ID]])</f>
        <v>0</v>
      </c>
      <c r="Q26" s="17" t="s">
        <v>2837</v>
      </c>
      <c r="R26" s="34" t="str">
        <f>IF(AND(CreateModulSubPath,Modul[[#This Row],[Modul-CodeName]]&lt;&gt;""),OutputPath&amp; "\"&amp;Modul[[#This Row],[Modul-CodeName]],OutputPath)</f>
        <v>H:\Progs\BIM\IFC2x3\Entwicklung\ExpressToVBA\IfcPresentationDimensioningResource</v>
      </c>
      <c r="S26" s="1" t="b">
        <f>LOWER(Modul[[#This Row],[Modul-CodeName]])= Modul[[#This Row],[DokuName]]</f>
        <v>1</v>
      </c>
    </row>
    <row r="27" spans="2:19" ht="19.5" customHeight="1" x14ac:dyDescent="0.25">
      <c r="B27" s="6">
        <v>25</v>
      </c>
      <c r="C27" s="7" t="s">
        <v>1776</v>
      </c>
      <c r="D27" s="19" t="s">
        <v>1724</v>
      </c>
      <c r="E27" s="25" t="str">
        <f>IF(Modul[[#This Row],[Link HTML-Doku]]="","",HYPERLINK(HTMLDokuPath&amp;Modul[[#This Row],[Link HTML-Doku]],"Doku"))</f>
        <v>Doku</v>
      </c>
      <c r="F27" s="56" t="str">
        <f>HYPERLINK(Modul[[#This Row],[Output-Pfad]],"Output-Pfad")</f>
        <v>Output-Pfad</v>
      </c>
      <c r="G27" s="11">
        <v>10</v>
      </c>
      <c r="H27" s="11">
        <f>COUNTIF(Entity[ID-Modul],Modul[[#This Row],[ID]])</f>
        <v>10</v>
      </c>
      <c r="I27" s="11"/>
      <c r="J27" s="11">
        <f>COUNTIF(DType[ID-Modul],Modul[[#This Row],[ID]])</f>
        <v>0</v>
      </c>
      <c r="K27" s="11">
        <v>2</v>
      </c>
      <c r="L27" s="11">
        <f>COUNTIF(SType[ID-Modul],Modul[[#This Row],[ID]])</f>
        <v>2</v>
      </c>
      <c r="M27" s="11">
        <v>2</v>
      </c>
      <c r="N27" s="11">
        <f>COUNTIF(Enum[ID-Modul],Modul[[#This Row],[ID]])</f>
        <v>2</v>
      </c>
      <c r="O27" s="31"/>
      <c r="P27" s="11">
        <f>COUNTIF(Function[ID-Modul],Modul[[#This Row],[ID]])</f>
        <v>0</v>
      </c>
      <c r="Q27" s="17" t="s">
        <v>2838</v>
      </c>
      <c r="R27" s="34" t="str">
        <f>IF(AND(CreateModulSubPath,Modul[[#This Row],[Modul-CodeName]]&lt;&gt;""),OutputPath&amp; "\"&amp;Modul[[#This Row],[Modul-CodeName]],OutputPath)</f>
        <v>H:\Progs\BIM\IFC2x3\Entwicklung\ExpressToVBA\IfcPresentationOrganizationResource</v>
      </c>
      <c r="S27" s="1" t="b">
        <f>LOWER(Modul[[#This Row],[Modul-CodeName]])= Modul[[#This Row],[DokuName]]</f>
        <v>1</v>
      </c>
    </row>
    <row r="28" spans="2:19" ht="19.5" customHeight="1" x14ac:dyDescent="0.25">
      <c r="B28" s="6">
        <v>26</v>
      </c>
      <c r="C28" s="7" t="s">
        <v>1777</v>
      </c>
      <c r="D28" s="19" t="s">
        <v>1746</v>
      </c>
      <c r="E28" s="25" t="str">
        <f>IF(Modul[[#This Row],[Link HTML-Doku]]="","",HYPERLINK(HTMLDokuPath&amp;Modul[[#This Row],[Link HTML-Doku]],"Doku"))</f>
        <v>Doku</v>
      </c>
      <c r="F28" s="56" t="str">
        <f>HYPERLINK(Modul[[#This Row],[Output-Pfad]],"Output-Pfad")</f>
        <v>Output-Pfad</v>
      </c>
      <c r="G28" s="11">
        <v>11</v>
      </c>
      <c r="H28" s="11">
        <f>COUNTIF(Entity[ID-Modul],Modul[[#This Row],[ID]])</f>
        <v>11</v>
      </c>
      <c r="I28" s="11">
        <v>5</v>
      </c>
      <c r="J28" s="11">
        <f>COUNTIF(DType[ID-Modul],Modul[[#This Row],[ID]])</f>
        <v>5</v>
      </c>
      <c r="K28" s="11">
        <v>2</v>
      </c>
      <c r="L28" s="11">
        <f>COUNTIF(SType[ID-Modul],Modul[[#This Row],[ID]])</f>
        <v>2</v>
      </c>
      <c r="M28" s="11"/>
      <c r="N28" s="11">
        <f>COUNTIF(Enum[ID-Modul],Modul[[#This Row],[ID]])</f>
        <v>0</v>
      </c>
      <c r="O28" s="31"/>
      <c r="P28" s="11">
        <f>COUNTIF(Function[ID-Modul],Modul[[#This Row],[ID]])</f>
        <v>0</v>
      </c>
      <c r="Q28" s="17" t="s">
        <v>2839</v>
      </c>
      <c r="R28" s="34" t="str">
        <f>IF(AND(CreateModulSubPath,Modul[[#This Row],[Modul-CodeName]]&lt;&gt;""),OutputPath&amp; "\"&amp;Modul[[#This Row],[Modul-CodeName]],OutputPath)</f>
        <v>H:\Progs\BIM\IFC2x3\Entwicklung\ExpressToVBA\IfcPresentationResource</v>
      </c>
      <c r="S28" s="1" t="b">
        <f>LOWER(Modul[[#This Row],[Modul-CodeName]])= Modul[[#This Row],[DokuName]]</f>
        <v>1</v>
      </c>
    </row>
    <row r="29" spans="2:19" ht="19.5" customHeight="1" x14ac:dyDescent="0.25">
      <c r="B29" s="6">
        <v>27</v>
      </c>
      <c r="C29" s="7" t="s">
        <v>1778</v>
      </c>
      <c r="D29" s="19" t="s">
        <v>1725</v>
      </c>
      <c r="E29" s="25" t="str">
        <f>IF(Modul[[#This Row],[Link HTML-Doku]]="","",HYPERLINK(HTMLDokuPath&amp;Modul[[#This Row],[Link HTML-Doku]],"Doku"))</f>
        <v>Doku</v>
      </c>
      <c r="F29" s="56" t="str">
        <f>HYPERLINK(Modul[[#This Row],[Output-Pfad]],"Output-Pfad")</f>
        <v>Output-Pfad</v>
      </c>
      <c r="G29" s="11">
        <v>7</v>
      </c>
      <c r="H29" s="11">
        <f>COUNTIF(Entity[ID-Modul],Modul[[#This Row],[ID]])</f>
        <v>7</v>
      </c>
      <c r="I29" s="11"/>
      <c r="J29" s="11">
        <f>COUNTIF(DType[ID-Modul],Modul[[#This Row],[ID]])</f>
        <v>0</v>
      </c>
      <c r="K29" s="11"/>
      <c r="L29" s="11">
        <f>COUNTIF(SType[ID-Modul],Modul[[#This Row],[ID]])</f>
        <v>0</v>
      </c>
      <c r="M29" s="11">
        <v>2</v>
      </c>
      <c r="N29" s="11">
        <f>COUNTIF(Enum[ID-Modul],Modul[[#This Row],[ID]])</f>
        <v>2</v>
      </c>
      <c r="O29" s="31"/>
      <c r="P29" s="11">
        <f>COUNTIF(Function[ID-Modul],Modul[[#This Row],[ID]])</f>
        <v>0</v>
      </c>
      <c r="Q29" s="17" t="s">
        <v>2840</v>
      </c>
      <c r="R29" s="34" t="str">
        <f>IF(AND(CreateModulSubPath,Modul[[#This Row],[Modul-CodeName]]&lt;&gt;""),OutputPath&amp; "\"&amp;Modul[[#This Row],[Modul-CodeName]],OutputPath)</f>
        <v>H:\Progs\BIM\IFC2x3\Entwicklung\ExpressToVBA\IfcProcessExtension</v>
      </c>
      <c r="S29" s="1" t="b">
        <f>LOWER(Modul[[#This Row],[Modul-CodeName]])= Modul[[#This Row],[DokuName]]</f>
        <v>1</v>
      </c>
    </row>
    <row r="30" spans="2:19" ht="19.5" customHeight="1" x14ac:dyDescent="0.25">
      <c r="B30" s="6">
        <v>28</v>
      </c>
      <c r="C30" s="7" t="s">
        <v>1779</v>
      </c>
      <c r="D30" s="19" t="s">
        <v>1726</v>
      </c>
      <c r="E30" s="25" t="str">
        <f>IF(Modul[[#This Row],[Link HTML-Doku]]="","",HYPERLINK(HTMLDokuPath&amp;Modul[[#This Row],[Link HTML-Doku]],"Doku"))</f>
        <v>Doku</v>
      </c>
      <c r="F30" s="56" t="str">
        <f>HYPERLINK(Modul[[#This Row],[Output-Pfad]],"Output-Pfad")</f>
        <v>Output-Pfad</v>
      </c>
      <c r="G30" s="11">
        <v>50</v>
      </c>
      <c r="H30" s="11">
        <f>COUNTIF(Entity[ID-Modul],Modul[[#This Row],[ID]])</f>
        <v>50</v>
      </c>
      <c r="I30" s="11"/>
      <c r="J30" s="11">
        <f>COUNTIF(DType[ID-Modul],Modul[[#This Row],[ID]])</f>
        <v>0</v>
      </c>
      <c r="K30" s="11"/>
      <c r="L30" s="11">
        <f>COUNTIF(SType[ID-Modul],Modul[[#This Row],[ID]])</f>
        <v>0</v>
      </c>
      <c r="M30" s="11">
        <v>9</v>
      </c>
      <c r="N30" s="11">
        <f>COUNTIF(Enum[ID-Modul],Modul[[#This Row],[ID]])</f>
        <v>9</v>
      </c>
      <c r="O30" s="31"/>
      <c r="P30" s="11">
        <f>COUNTIF(Function[ID-Modul],Modul[[#This Row],[ID]])</f>
        <v>0</v>
      </c>
      <c r="Q30" s="17" t="s">
        <v>2841</v>
      </c>
      <c r="R30" s="34" t="str">
        <f>IF(AND(CreateModulSubPath,Modul[[#This Row],[Modul-CodeName]]&lt;&gt;""),OutputPath&amp; "\"&amp;Modul[[#This Row],[Modul-CodeName]],OutputPath)</f>
        <v>H:\Progs\BIM\IFC2x3\Entwicklung\ExpressToVBA\IfcProductExtension</v>
      </c>
      <c r="S30" s="1" t="b">
        <f>LOWER(Modul[[#This Row],[Modul-CodeName]])= Modul[[#This Row],[DokuName]]</f>
        <v>1</v>
      </c>
    </row>
    <row r="31" spans="2:19" ht="19.5" customHeight="1" x14ac:dyDescent="0.25">
      <c r="B31" s="6">
        <v>29</v>
      </c>
      <c r="C31" s="7" t="s">
        <v>1780</v>
      </c>
      <c r="D31" s="19" t="s">
        <v>1727</v>
      </c>
      <c r="E31" s="25" t="str">
        <f>IF(Modul[[#This Row],[Link HTML-Doku]]="","",HYPERLINK(HTMLDokuPath&amp;Modul[[#This Row],[Link HTML-Doku]],"Doku"))</f>
        <v>Doku</v>
      </c>
      <c r="F31" s="56" t="str">
        <f>HYPERLINK(Modul[[#This Row],[Output-Pfad]],"Output-Pfad")</f>
        <v>Output-Pfad</v>
      </c>
      <c r="G31" s="11">
        <v>8</v>
      </c>
      <c r="H31" s="11">
        <f>COUNTIF(Entity[ID-Modul],Modul[[#This Row],[ID]])</f>
        <v>8</v>
      </c>
      <c r="I31" s="11"/>
      <c r="J31" s="11">
        <f>COUNTIF(DType[ID-Modul],Modul[[#This Row],[ID]])</f>
        <v>0</v>
      </c>
      <c r="K31" s="11"/>
      <c r="L31" s="11">
        <f>COUNTIF(SType[ID-Modul],Modul[[#This Row],[ID]])</f>
        <v>0</v>
      </c>
      <c r="M31" s="11">
        <v>4</v>
      </c>
      <c r="N31" s="11">
        <f>COUNTIF(Enum[ID-Modul],Modul[[#This Row],[ID]])</f>
        <v>4</v>
      </c>
      <c r="O31" s="31"/>
      <c r="P31" s="11">
        <f>COUNTIF(Function[ID-Modul],Modul[[#This Row],[ID]])</f>
        <v>0</v>
      </c>
      <c r="Q31" s="17" t="s">
        <v>2842</v>
      </c>
      <c r="R31" s="34" t="str">
        <f>IF(AND(CreateModulSubPath,Modul[[#This Row],[Modul-CodeName]]&lt;&gt;""),OutputPath&amp; "\"&amp;Modul[[#This Row],[Modul-CodeName]],OutputPath)</f>
        <v>H:\Progs\BIM\IFC2x3\Entwicklung\ExpressToVBA\IfcProfilePropertyResource</v>
      </c>
      <c r="S31" s="1" t="b">
        <f>LOWER(Modul[[#This Row],[Modul-CodeName]])= Modul[[#This Row],[DokuName]]</f>
        <v>1</v>
      </c>
    </row>
    <row r="32" spans="2:19" ht="19.5" customHeight="1" x14ac:dyDescent="0.25">
      <c r="B32" s="6">
        <v>30</v>
      </c>
      <c r="C32" s="7" t="s">
        <v>1781</v>
      </c>
      <c r="D32" s="19" t="s">
        <v>1728</v>
      </c>
      <c r="E32" s="25" t="str">
        <f>IF(Modul[[#This Row],[Link HTML-Doku]]="","",HYPERLINK(HTMLDokuPath&amp;Modul[[#This Row],[Link HTML-Doku]],"Doku"))</f>
        <v>Doku</v>
      </c>
      <c r="F32" s="56" t="str">
        <f>HYPERLINK(Modul[[#This Row],[Output-Pfad]],"Output-Pfad")</f>
        <v>Output-Pfad</v>
      </c>
      <c r="G32" s="11">
        <v>24</v>
      </c>
      <c r="H32" s="11">
        <f>COUNTIF(Entity[ID-Modul],Modul[[#This Row],[ID]])</f>
        <v>24</v>
      </c>
      <c r="I32" s="11"/>
      <c r="J32" s="11">
        <f>COUNTIF(DType[ID-Modul],Modul[[#This Row],[ID]])</f>
        <v>0</v>
      </c>
      <c r="K32" s="11"/>
      <c r="L32" s="11">
        <f>COUNTIF(SType[ID-Modul],Modul[[#This Row],[ID]])</f>
        <v>0</v>
      </c>
      <c r="M32" s="11">
        <v>1</v>
      </c>
      <c r="N32" s="11">
        <f>COUNTIF(Enum[ID-Modul],Modul[[#This Row],[ID]])</f>
        <v>1</v>
      </c>
      <c r="O32" s="31"/>
      <c r="P32" s="11">
        <f>COUNTIF(Function[ID-Modul],Modul[[#This Row],[ID]])</f>
        <v>0</v>
      </c>
      <c r="Q32" s="17" t="s">
        <v>2843</v>
      </c>
      <c r="R32" s="34" t="str">
        <f>IF(AND(CreateModulSubPath,Modul[[#This Row],[Modul-CodeName]]&lt;&gt;""),OutputPath&amp; "\"&amp;Modul[[#This Row],[Modul-CodeName]],OutputPath)</f>
        <v>H:\Progs\BIM\IFC2x3\Entwicklung\ExpressToVBA\IfcProfileResource</v>
      </c>
      <c r="S32" s="1" t="b">
        <f>LOWER(Modul[[#This Row],[Modul-CodeName]])= Modul[[#This Row],[DokuName]]</f>
        <v>1</v>
      </c>
    </row>
    <row r="33" spans="2:19" ht="19.5" customHeight="1" x14ac:dyDescent="0.25">
      <c r="B33" s="6">
        <v>31</v>
      </c>
      <c r="C33" s="7" t="s">
        <v>1782</v>
      </c>
      <c r="D33" s="19" t="s">
        <v>1729</v>
      </c>
      <c r="E33" s="25" t="str">
        <f>IF(Modul[[#This Row],[Link HTML-Doku]]="","",HYPERLINK(HTMLDokuPath&amp;Modul[[#This Row],[Link HTML-Doku]],"Doku"))</f>
        <v>Doku</v>
      </c>
      <c r="F33" s="56" t="str">
        <f>HYPERLINK(Modul[[#This Row],[Output-Pfad]],"Output-Pfad")</f>
        <v>Output-Pfad</v>
      </c>
      <c r="G33" s="11">
        <v>11</v>
      </c>
      <c r="H33" s="11">
        <f>COUNTIF(Entity[ID-Modul],Modul[[#This Row],[ID]])</f>
        <v>11</v>
      </c>
      <c r="I33" s="11"/>
      <c r="J33" s="11">
        <f>COUNTIF(DType[ID-Modul],Modul[[#This Row],[ID]])</f>
        <v>0</v>
      </c>
      <c r="K33" s="11">
        <v>1</v>
      </c>
      <c r="L33" s="11">
        <f>COUNTIF(SType[ID-Modul],Modul[[#This Row],[ID]])</f>
        <v>1</v>
      </c>
      <c r="M33" s="11"/>
      <c r="N33" s="11">
        <f>COUNTIF(Enum[ID-Modul],Modul[[#This Row],[ID]])</f>
        <v>0</v>
      </c>
      <c r="O33" s="31">
        <v>1</v>
      </c>
      <c r="P33" s="11">
        <f>COUNTIF(Function[ID-Modul],Modul[[#This Row],[ID]])</f>
        <v>1</v>
      </c>
      <c r="Q33" s="17" t="s">
        <v>2844</v>
      </c>
      <c r="R33" s="34" t="str">
        <f>IF(AND(CreateModulSubPath,Modul[[#This Row],[Modul-CodeName]]&lt;&gt;""),OutputPath&amp; "\"&amp;Modul[[#This Row],[Modul-CodeName]],OutputPath)</f>
        <v>H:\Progs\BIM\IFC2x3\Entwicklung\ExpressToVBA\IfcPropertyResource</v>
      </c>
      <c r="S33" s="1" t="b">
        <f>LOWER(Modul[[#This Row],[Modul-CodeName]])= Modul[[#This Row],[DokuName]]</f>
        <v>1</v>
      </c>
    </row>
    <row r="34" spans="2:19" ht="19.5" customHeight="1" x14ac:dyDescent="0.25">
      <c r="B34" s="6">
        <v>32</v>
      </c>
      <c r="C34" s="7" t="s">
        <v>1783</v>
      </c>
      <c r="D34" s="28" t="s">
        <v>1731</v>
      </c>
      <c r="E34" s="25" t="str">
        <f>IF(Modul[[#This Row],[Link HTML-Doku]]="","",HYPERLINK(HTMLDokuPath&amp;Modul[[#This Row],[Link HTML-Doku]],"Doku"))</f>
        <v>Doku</v>
      </c>
      <c r="F34" s="56" t="str">
        <f>HYPERLINK(Modul[[#This Row],[Output-Pfad]],"Output-Pfad")</f>
        <v>Output-Pfad</v>
      </c>
      <c r="G34" s="11">
        <v>9</v>
      </c>
      <c r="H34" s="11">
        <f>COUNTIF(Entity[ID-Modul],Modul[[#This Row],[ID]])</f>
        <v>9</v>
      </c>
      <c r="I34" s="11"/>
      <c r="J34" s="11">
        <f>COUNTIF(DType[ID-Modul],Modul[[#This Row],[ID]])</f>
        <v>0</v>
      </c>
      <c r="K34" s="11"/>
      <c r="L34" s="11">
        <f>COUNTIF(SType[ID-Modul],Modul[[#This Row],[ID]])</f>
        <v>0</v>
      </c>
      <c r="M34" s="11"/>
      <c r="N34" s="11">
        <f>COUNTIF(Enum[ID-Modul],Modul[[#This Row],[ID]])</f>
        <v>0</v>
      </c>
      <c r="O34" s="31"/>
      <c r="P34" s="11">
        <f>COUNTIF(Function[ID-Modul],Modul[[#This Row],[ID]])</f>
        <v>0</v>
      </c>
      <c r="Q34" s="17" t="s">
        <v>2845</v>
      </c>
      <c r="R34" s="34" t="str">
        <f>IF(AND(CreateModulSubPath,Modul[[#This Row],[Modul-CodeName]]&lt;&gt;""),OutputPath&amp; "\"&amp;Modul[[#This Row],[Modul-CodeName]],OutputPath)</f>
        <v>H:\Progs\BIM\IFC2x3\Entwicklung\ExpressToVBA\IfcQuantityResource</v>
      </c>
      <c r="S34" s="1" t="b">
        <f>LOWER(Modul[[#This Row],[Modul-CodeName]])= Modul[[#This Row],[DokuName]]</f>
        <v>1</v>
      </c>
    </row>
    <row r="35" spans="2:19" ht="19.5" customHeight="1" x14ac:dyDescent="0.25">
      <c r="B35" s="6">
        <v>33</v>
      </c>
      <c r="C35" s="7" t="s">
        <v>1784</v>
      </c>
      <c r="D35" s="28" t="s">
        <v>1730</v>
      </c>
      <c r="E35" s="25" t="str">
        <f>IF(Modul[[#This Row],[Link HTML-Doku]]="","",HYPERLINK(HTMLDokuPath&amp;Modul[[#This Row],[Link HTML-Doku]],"Doku"))</f>
        <v>Doku</v>
      </c>
      <c r="F35" s="56" t="str">
        <f>HYPERLINK(Modul[[#This Row],[Output-Pfad]],"Output-Pfad")</f>
        <v>Output-Pfad</v>
      </c>
      <c r="G35" s="11">
        <v>13</v>
      </c>
      <c r="H35" s="11">
        <f>COUNTIF(Entity[ID-Modul],Modul[[#This Row],[ID]])</f>
        <v>13</v>
      </c>
      <c r="I35" s="11"/>
      <c r="J35" s="11">
        <f>COUNTIF(DType[ID-Modul],Modul[[#This Row],[ID]])</f>
        <v>0</v>
      </c>
      <c r="K35" s="11"/>
      <c r="L35" s="11">
        <f>COUNTIF(SType[ID-Modul],Modul[[#This Row],[ID]])</f>
        <v>0</v>
      </c>
      <c r="M35" s="11">
        <v>2</v>
      </c>
      <c r="N35" s="11">
        <f>COUNTIF(Enum[ID-Modul],Modul[[#This Row],[ID]])</f>
        <v>2</v>
      </c>
      <c r="O35" s="31">
        <v>3</v>
      </c>
      <c r="P35" s="11">
        <f>COUNTIF(Function[ID-Modul],Modul[[#This Row],[ID]])</f>
        <v>3</v>
      </c>
      <c r="Q35" s="17" t="s">
        <v>2846</v>
      </c>
      <c r="R35" s="34" t="str">
        <f>IF(AND(CreateModulSubPath,Modul[[#This Row],[Modul-CodeName]]&lt;&gt;""),OutputPath&amp; "\"&amp;Modul[[#This Row],[Modul-CodeName]],OutputPath)</f>
        <v>H:\Progs\BIM\IFC2x3\Entwicklung\ExpressToVBA\IfcRepresentationResource</v>
      </c>
      <c r="S35" s="1" t="b">
        <f>LOWER(Modul[[#This Row],[Modul-CodeName]])= Modul[[#This Row],[DokuName]]</f>
        <v>1</v>
      </c>
    </row>
    <row r="36" spans="2:19" ht="19.5" customHeight="1" x14ac:dyDescent="0.25">
      <c r="B36" s="6">
        <v>34</v>
      </c>
      <c r="C36" s="1" t="s">
        <v>1785</v>
      </c>
      <c r="D36" s="19" t="s">
        <v>1732</v>
      </c>
      <c r="E36" s="25" t="str">
        <f>IF(Modul[[#This Row],[Link HTML-Doku]]="","",HYPERLINK(HTMLDokuPath&amp;Modul[[#This Row],[Link HTML-Doku]],"Doku"))</f>
        <v>Doku</v>
      </c>
      <c r="F36" s="56" t="str">
        <f>HYPERLINK(Modul[[#This Row],[Output-Pfad]],"Output-Pfad")</f>
        <v>Output-Pfad</v>
      </c>
      <c r="G36" s="13">
        <v>33</v>
      </c>
      <c r="H36" s="11">
        <f>COUNTIF(Entity[ID-Modul],Modul[[#This Row],[ID]])</f>
        <v>33</v>
      </c>
      <c r="I36" s="13"/>
      <c r="J36" s="11">
        <f>COUNTIF(DType[ID-Modul],Modul[[#This Row],[ID]])</f>
        <v>0</v>
      </c>
      <c r="K36" s="13"/>
      <c r="L36" s="11">
        <f>COUNTIF(SType[ID-Modul],Modul[[#This Row],[ID]])</f>
        <v>0</v>
      </c>
      <c r="M36" s="13">
        <v>22</v>
      </c>
      <c r="N36" s="11">
        <f>COUNTIF(Enum[ID-Modul],Modul[[#This Row],[ID]])</f>
        <v>22</v>
      </c>
      <c r="O36" s="31"/>
      <c r="P36" s="11">
        <f>COUNTIF(Function[ID-Modul],Modul[[#This Row],[ID]])</f>
        <v>0</v>
      </c>
      <c r="Q36" s="17" t="s">
        <v>2847</v>
      </c>
      <c r="R36" s="34" t="str">
        <f>IF(AND(CreateModulSubPath,Modul[[#This Row],[Modul-CodeName]]&lt;&gt;""),OutputPath&amp; "\"&amp;Modul[[#This Row],[Modul-CodeName]],OutputPath)</f>
        <v>H:\Progs\BIM\IFC2x3\Entwicklung\ExpressToVBA\IfcSharedBldgElements</v>
      </c>
      <c r="S36" s="1" t="b">
        <f>LOWER(Modul[[#This Row],[Modul-CodeName]])= Modul[[#This Row],[DokuName]]</f>
        <v>1</v>
      </c>
    </row>
    <row r="37" spans="2:19" ht="19.5" customHeight="1" x14ac:dyDescent="0.25">
      <c r="B37" s="6">
        <v>35</v>
      </c>
      <c r="C37" s="1" t="s">
        <v>1786</v>
      </c>
      <c r="D37" s="19" t="s">
        <v>1733</v>
      </c>
      <c r="E37" s="25" t="str">
        <f>IF(Modul[[#This Row],[Link HTML-Doku]]="","",HYPERLINK(HTMLDokuPath&amp;Modul[[#This Row],[Link HTML-Doku]],"Doku"))</f>
        <v>Doku</v>
      </c>
      <c r="F37" s="56" t="str">
        <f>HYPERLINK(Modul[[#This Row],[Output-Pfad]],"Output-Pfad")</f>
        <v>Output-Pfad</v>
      </c>
      <c r="G37" s="13">
        <v>30</v>
      </c>
      <c r="H37" s="11">
        <f>COUNTIF(Entity[ID-Modul],Modul[[#This Row],[ID]])</f>
        <v>30</v>
      </c>
      <c r="I37" s="13"/>
      <c r="J37" s="11">
        <f>COUNTIF(DType[ID-Modul],Modul[[#This Row],[ID]])</f>
        <v>0</v>
      </c>
      <c r="K37" s="13"/>
      <c r="L37" s="11">
        <f>COUNTIF(SType[ID-Modul],Modul[[#This Row],[ID]])</f>
        <v>0</v>
      </c>
      <c r="M37" s="13">
        <v>8</v>
      </c>
      <c r="N37" s="11">
        <f>COUNTIF(Enum[ID-Modul],Modul[[#This Row],[ID]])</f>
        <v>8</v>
      </c>
      <c r="O37" s="31"/>
      <c r="P37" s="11">
        <f>COUNTIF(Function[ID-Modul],Modul[[#This Row],[ID]])</f>
        <v>0</v>
      </c>
      <c r="Q37" s="17" t="s">
        <v>2848</v>
      </c>
      <c r="R37" s="34" t="str">
        <f>IF(AND(CreateModulSubPath,Modul[[#This Row],[Modul-CodeName]]&lt;&gt;""),OutputPath&amp; "\"&amp;Modul[[#This Row],[Modul-CodeName]],OutputPath)</f>
        <v>H:\Progs\BIM\IFC2x3\Entwicklung\ExpressToVBA\IfcSharedBldgServiceElements</v>
      </c>
      <c r="S37" s="1" t="b">
        <f>LOWER(Modul[[#This Row],[Modul-CodeName]])= Modul[[#This Row],[DokuName]]</f>
        <v>1</v>
      </c>
    </row>
    <row r="38" spans="2:19" ht="19.5" customHeight="1" x14ac:dyDescent="0.25">
      <c r="B38" s="6">
        <v>36</v>
      </c>
      <c r="C38" s="7" t="s">
        <v>1787</v>
      </c>
      <c r="D38" s="19" t="s">
        <v>1734</v>
      </c>
      <c r="E38" s="25" t="str">
        <f>IF(Modul[[#This Row],[Link HTML-Doku]]="","",HYPERLINK(HTMLDokuPath&amp;Modul[[#This Row],[Link HTML-Doku]],"Doku"))</f>
        <v>Doku</v>
      </c>
      <c r="F38" s="56" t="str">
        <f>HYPERLINK(Modul[[#This Row],[Output-Pfad]],"Output-Pfad")</f>
        <v>Output-Pfad</v>
      </c>
      <c r="G38" s="11">
        <v>11</v>
      </c>
      <c r="H38" s="11">
        <f>COUNTIF(Entity[ID-Modul],Modul[[#This Row],[ID]])</f>
        <v>11</v>
      </c>
      <c r="I38" s="11"/>
      <c r="J38" s="11">
        <f>COUNTIF(DType[ID-Modul],Modul[[#This Row],[ID]])</f>
        <v>0</v>
      </c>
      <c r="K38" s="11"/>
      <c r="L38" s="11">
        <f>COUNTIF(SType[ID-Modul],Modul[[#This Row],[ID]])</f>
        <v>0</v>
      </c>
      <c r="M38" s="11"/>
      <c r="N38" s="11">
        <f>COUNTIF(Enum[ID-Modul],Modul[[#This Row],[ID]])</f>
        <v>0</v>
      </c>
      <c r="O38" s="31"/>
      <c r="P38" s="11">
        <f>COUNTIF(Function[ID-Modul],Modul[[#This Row],[ID]])</f>
        <v>0</v>
      </c>
      <c r="Q38" s="17" t="s">
        <v>2849</v>
      </c>
      <c r="R38" s="34" t="str">
        <f>IF(AND(CreateModulSubPath,Modul[[#This Row],[Modul-CodeName]]&lt;&gt;""),OutputPath&amp; "\"&amp;Modul[[#This Row],[Modul-CodeName]],OutputPath)</f>
        <v>H:\Progs\BIM\IFC2x3\Entwicklung\ExpressToVBA\IfcSharedComponentElements</v>
      </c>
      <c r="S38" s="1" t="b">
        <f>LOWER(Modul[[#This Row],[Modul-CodeName]])= Modul[[#This Row],[DokuName]]</f>
        <v>1</v>
      </c>
    </row>
    <row r="39" spans="2:19" ht="19.5" customHeight="1" x14ac:dyDescent="0.25">
      <c r="B39" s="6">
        <v>37</v>
      </c>
      <c r="C39" s="7" t="s">
        <v>1788</v>
      </c>
      <c r="D39" s="19" t="s">
        <v>1735</v>
      </c>
      <c r="E39" s="25" t="str">
        <f>IF(Modul[[#This Row],[Link HTML-Doku]]="","",HYPERLINK(HTMLDokuPath&amp;Modul[[#This Row],[Link HTML-Doku]],"Doku"))</f>
        <v>Doku</v>
      </c>
      <c r="F39" s="56" t="str">
        <f>HYPERLINK(Modul[[#This Row],[Output-Pfad]],"Output-Pfad")</f>
        <v>Output-Pfad</v>
      </c>
      <c r="G39" s="11">
        <v>8</v>
      </c>
      <c r="H39" s="11">
        <f>COUNTIF(Entity[ID-Modul],Modul[[#This Row],[ID]])</f>
        <v>8</v>
      </c>
      <c r="I39" s="11"/>
      <c r="J39" s="11">
        <f>COUNTIF(DType[ID-Modul],Modul[[#This Row],[ID]])</f>
        <v>0</v>
      </c>
      <c r="K39" s="11"/>
      <c r="L39" s="11">
        <f>COUNTIF(SType[ID-Modul],Modul[[#This Row],[ID]])</f>
        <v>0</v>
      </c>
      <c r="M39" s="11">
        <v>4</v>
      </c>
      <c r="N39" s="11">
        <f>COUNTIF(Enum[ID-Modul],Modul[[#This Row],[ID]])</f>
        <v>4</v>
      </c>
      <c r="O39" s="31"/>
      <c r="P39" s="11">
        <f>COUNTIF(Function[ID-Modul],Modul[[#This Row],[ID]])</f>
        <v>0</v>
      </c>
      <c r="Q39" s="17" t="s">
        <v>2850</v>
      </c>
      <c r="R39" s="34" t="str">
        <f>IF(AND(CreateModulSubPath,Modul[[#This Row],[Modul-CodeName]]&lt;&gt;""),OutputPath&amp; "\"&amp;Modul[[#This Row],[Modul-CodeName]],OutputPath)</f>
        <v>H:\Progs\BIM\IFC2x3\Entwicklung\ExpressToVBA\IfcSharedFacilitiesElements</v>
      </c>
      <c r="S39" s="1" t="b">
        <f>LOWER(Modul[[#This Row],[Modul-CodeName]])= Modul[[#This Row],[DokuName]]</f>
        <v>1</v>
      </c>
    </row>
    <row r="40" spans="2:19" ht="19.5" customHeight="1" x14ac:dyDescent="0.25">
      <c r="B40" s="6">
        <v>38</v>
      </c>
      <c r="C40" s="1" t="s">
        <v>1789</v>
      </c>
      <c r="D40" s="19" t="s">
        <v>1736</v>
      </c>
      <c r="E40" s="25" t="str">
        <f>IF(Modul[[#This Row],[Link HTML-Doku]]="","",HYPERLINK(HTMLDokuPath&amp;Modul[[#This Row],[Link HTML-Doku]],"Doku"))</f>
        <v>Doku</v>
      </c>
      <c r="F40" s="56" t="str">
        <f>HYPERLINK(Modul[[#This Row],[Output-Pfad]],"Output-Pfad")</f>
        <v>Output-Pfad</v>
      </c>
      <c r="G40" s="13">
        <v>7</v>
      </c>
      <c r="H40" s="11">
        <f>COUNTIF(Entity[ID-Modul],Modul[[#This Row],[ID]])</f>
        <v>7</v>
      </c>
      <c r="I40" s="13"/>
      <c r="J40" s="11">
        <f>COUNTIF(DType[ID-Modul],Modul[[#This Row],[ID]])</f>
        <v>0</v>
      </c>
      <c r="K40" s="13"/>
      <c r="L40" s="11">
        <f>COUNTIF(SType[ID-Modul],Modul[[#This Row],[ID]])</f>
        <v>0</v>
      </c>
      <c r="M40" s="13">
        <v>3</v>
      </c>
      <c r="N40" s="11">
        <f>COUNTIF(Enum[ID-Modul],Modul[[#This Row],[ID]])</f>
        <v>3</v>
      </c>
      <c r="O40" s="31"/>
      <c r="P40" s="11">
        <f>COUNTIF(Function[ID-Modul],Modul[[#This Row],[ID]])</f>
        <v>0</v>
      </c>
      <c r="Q40" s="17" t="s">
        <v>2851</v>
      </c>
      <c r="R40" s="34" t="str">
        <f>IF(AND(CreateModulSubPath,Modul[[#This Row],[Modul-CodeName]]&lt;&gt;""),OutputPath&amp; "\"&amp;Modul[[#This Row],[Modul-CodeName]],OutputPath)</f>
        <v>H:\Progs\BIM\IFC2x3\Entwicklung\ExpressToVBA\IfcSharedMgmtElements</v>
      </c>
      <c r="S40" s="1" t="b">
        <f>LOWER(Modul[[#This Row],[Modul-CodeName]])= Modul[[#This Row],[DokuName]]</f>
        <v>1</v>
      </c>
    </row>
    <row r="41" spans="2:19" ht="19.5" customHeight="1" x14ac:dyDescent="0.25">
      <c r="B41" s="6">
        <v>39</v>
      </c>
      <c r="C41" s="7" t="s">
        <v>1790</v>
      </c>
      <c r="D41" s="19" t="s">
        <v>1737</v>
      </c>
      <c r="E41" s="25" t="str">
        <f>IF(Modul[[#This Row],[Link HTML-Doku]]="","",HYPERLINK(HTMLDokuPath&amp;Modul[[#This Row],[Link HTML-Doku]],"Doku"))</f>
        <v>Doku</v>
      </c>
      <c r="F41" s="56" t="str">
        <f>HYPERLINK(Modul[[#This Row],[Output-Pfad]],"Output-Pfad")</f>
        <v>Output-Pfad</v>
      </c>
      <c r="G41" s="11">
        <v>27</v>
      </c>
      <c r="H41" s="11">
        <f>COUNTIF(Entity[ID-Modul],Modul[[#This Row],[ID]])</f>
        <v>27</v>
      </c>
      <c r="I41" s="11"/>
      <c r="J41" s="11">
        <f>COUNTIF(DType[ID-Modul],Modul[[#This Row],[ID]])</f>
        <v>0</v>
      </c>
      <c r="K41" s="11">
        <v>2</v>
      </c>
      <c r="L41" s="11">
        <f>COUNTIF(SType[ID-Modul],Modul[[#This Row],[ID]])</f>
        <v>2</v>
      </c>
      <c r="M41" s="11">
        <v>8</v>
      </c>
      <c r="N41" s="11">
        <f>COUNTIF(Enum[ID-Modul],Modul[[#This Row],[ID]])</f>
        <v>8</v>
      </c>
      <c r="O41" s="31">
        <v>1</v>
      </c>
      <c r="P41" s="11">
        <f>COUNTIF(Function[ID-Modul],Modul[[#This Row],[ID]])</f>
        <v>1</v>
      </c>
      <c r="Q41" s="17" t="s">
        <v>2852</v>
      </c>
      <c r="R41" s="34" t="str">
        <f>IF(AND(CreateModulSubPath,Modul[[#This Row],[Modul-CodeName]]&lt;&gt;""),OutputPath&amp; "\"&amp;Modul[[#This Row],[Modul-CodeName]],OutputPath)</f>
        <v>H:\Progs\BIM\IFC2x3\Entwicklung\ExpressToVBA\IfcStructuralAnalysisDomain</v>
      </c>
      <c r="S41" s="1" t="b">
        <f>LOWER(Modul[[#This Row],[Modul-CodeName]])= Modul[[#This Row],[DokuName]]</f>
        <v>1</v>
      </c>
    </row>
    <row r="42" spans="2:19" ht="19.5" customHeight="1" x14ac:dyDescent="0.25">
      <c r="B42" s="6">
        <v>40</v>
      </c>
      <c r="C42" s="7" t="s">
        <v>1791</v>
      </c>
      <c r="D42" s="19" t="s">
        <v>1738</v>
      </c>
      <c r="E42" s="25" t="str">
        <f>IF(Modul[[#This Row],[Link HTML-Doku]]="","",HYPERLINK(HTMLDokuPath&amp;Modul[[#This Row],[Link HTML-Doku]],"Doku"))</f>
        <v>Doku</v>
      </c>
      <c r="F42" s="56" t="str">
        <f>HYPERLINK(Modul[[#This Row],[Output-Pfad]],"Output-Pfad")</f>
        <v>Output-Pfad</v>
      </c>
      <c r="G42" s="11">
        <v>10</v>
      </c>
      <c r="H42" s="11">
        <f>COUNTIF(Entity[ID-Modul],Modul[[#This Row],[ID]])</f>
        <v>10</v>
      </c>
      <c r="I42" s="11"/>
      <c r="J42" s="11">
        <f>COUNTIF(DType[ID-Modul],Modul[[#This Row],[ID]])</f>
        <v>0</v>
      </c>
      <c r="K42" s="11"/>
      <c r="L42" s="11">
        <f>COUNTIF(SType[ID-Modul],Modul[[#This Row],[ID]])</f>
        <v>0</v>
      </c>
      <c r="M42" s="11">
        <v>4</v>
      </c>
      <c r="N42" s="11">
        <f>COUNTIF(Enum[ID-Modul],Modul[[#This Row],[ID]])</f>
        <v>4</v>
      </c>
      <c r="O42" s="31"/>
      <c r="P42" s="11">
        <f>COUNTIF(Function[ID-Modul],Modul[[#This Row],[ID]])</f>
        <v>0</v>
      </c>
      <c r="Q42" s="17" t="s">
        <v>2853</v>
      </c>
      <c r="R42" s="34" t="str">
        <f>IF(AND(CreateModulSubPath,Modul[[#This Row],[Modul-CodeName]]&lt;&gt;""),OutputPath&amp; "\"&amp;Modul[[#This Row],[Modul-CodeName]],OutputPath)</f>
        <v>H:\Progs\BIM\IFC2x3\Entwicklung\ExpressToVBA\IfcStructuralElementsDomain</v>
      </c>
      <c r="S42" s="1" t="b">
        <f>LOWER(Modul[[#This Row],[Modul-CodeName]])= Modul[[#This Row],[DokuName]]</f>
        <v>1</v>
      </c>
    </row>
    <row r="43" spans="2:19" ht="19.5" customHeight="1" x14ac:dyDescent="0.25">
      <c r="B43" s="6">
        <v>41</v>
      </c>
      <c r="C43" s="7" t="s">
        <v>1792</v>
      </c>
      <c r="D43" s="19" t="s">
        <v>1739</v>
      </c>
      <c r="E43" s="25" t="str">
        <f>IF(Modul[[#This Row],[Link HTML-Doku]]="","",HYPERLINK(HTMLDokuPath&amp;Modul[[#This Row],[Link HTML-Doku]],"Doku"))</f>
        <v>Doku</v>
      </c>
      <c r="F43" s="56" t="str">
        <f>HYPERLINK(Modul[[#This Row],[Output-Pfad]],"Output-Pfad")</f>
        <v>Output-Pfad</v>
      </c>
      <c r="G43" s="11">
        <v>17</v>
      </c>
      <c r="H43" s="11">
        <f>COUNTIF(Entity[ID-Modul],Modul[[#This Row],[ID]])</f>
        <v>17</v>
      </c>
      <c r="I43" s="11"/>
      <c r="J43" s="11">
        <f>COUNTIF(DType[ID-Modul],Modul[[#This Row],[ID]])</f>
        <v>0</v>
      </c>
      <c r="K43" s="11"/>
      <c r="L43" s="11">
        <f>COUNTIF(SType[ID-Modul],Modul[[#This Row],[ID]])</f>
        <v>0</v>
      </c>
      <c r="M43" s="11"/>
      <c r="N43" s="11">
        <f>COUNTIF(Enum[ID-Modul],Modul[[#This Row],[ID]])</f>
        <v>0</v>
      </c>
      <c r="O43" s="31"/>
      <c r="P43" s="11">
        <f>COUNTIF(Function[ID-Modul],Modul[[#This Row],[ID]])</f>
        <v>0</v>
      </c>
      <c r="Q43" s="17" t="s">
        <v>2854</v>
      </c>
      <c r="R43" s="34" t="str">
        <f>IF(AND(CreateModulSubPath,Modul[[#This Row],[Modul-CodeName]]&lt;&gt;""),OutputPath&amp; "\"&amp;Modul[[#This Row],[Modul-CodeName]],OutputPath)</f>
        <v>H:\Progs\BIM\IFC2x3\Entwicklung\ExpressToVBA\IfcStructuralLoadResource</v>
      </c>
      <c r="S43" s="1" t="b">
        <f>LOWER(Modul[[#This Row],[Modul-CodeName]])= Modul[[#This Row],[DokuName]]</f>
        <v>1</v>
      </c>
    </row>
    <row r="44" spans="2:19" ht="19.5" customHeight="1" x14ac:dyDescent="0.25">
      <c r="B44" s="6">
        <v>42</v>
      </c>
      <c r="C44" s="7" t="s">
        <v>1793</v>
      </c>
      <c r="D44" s="28" t="s">
        <v>1740</v>
      </c>
      <c r="E44" s="25" t="str">
        <f>IF(Modul[[#This Row],[Link HTML-Doku]]="","",HYPERLINK(HTMLDokuPath&amp;Modul[[#This Row],[Link HTML-Doku]],"Doku"))</f>
        <v>Doku</v>
      </c>
      <c r="F44" s="56" t="str">
        <f>HYPERLINK(Modul[[#This Row],[Output-Pfad]],"Output-Pfad")</f>
        <v>Output-Pfad</v>
      </c>
      <c r="G44" s="11">
        <v>6</v>
      </c>
      <c r="H44" s="11">
        <f>COUNTIF(Entity[ID-Modul],Modul[[#This Row],[ID]])</f>
        <v>6</v>
      </c>
      <c r="I44" s="11"/>
      <c r="J44" s="11">
        <f>COUNTIF(DType[ID-Modul],Modul[[#This Row],[ID]])</f>
        <v>0</v>
      </c>
      <c r="K44" s="11"/>
      <c r="L44" s="11">
        <f>COUNTIF(SType[ID-Modul],Modul[[#This Row],[ID]])</f>
        <v>0</v>
      </c>
      <c r="M44" s="11">
        <v>2</v>
      </c>
      <c r="N44" s="11">
        <f>COUNTIF(Enum[ID-Modul],Modul[[#This Row],[ID]])</f>
        <v>2</v>
      </c>
      <c r="O44" s="31"/>
      <c r="P44" s="11">
        <f>COUNTIF(Function[ID-Modul],Modul[[#This Row],[ID]])</f>
        <v>0</v>
      </c>
      <c r="Q44" s="17" t="s">
        <v>2855</v>
      </c>
      <c r="R44" s="34" t="str">
        <f>IF(AND(CreateModulSubPath,Modul[[#This Row],[Modul-CodeName]]&lt;&gt;""),OutputPath&amp; "\"&amp;Modul[[#This Row],[Modul-CodeName]],OutputPath)</f>
        <v>H:\Progs\BIM\IFC2x3\Entwicklung\ExpressToVBA\IfcTimeSeriesResource</v>
      </c>
      <c r="S44" s="1" t="b">
        <f>LOWER(Modul[[#This Row],[Modul-CodeName]])= Modul[[#This Row],[DokuName]]</f>
        <v>1</v>
      </c>
    </row>
    <row r="45" spans="2:19" ht="19.5" customHeight="1" x14ac:dyDescent="0.25">
      <c r="B45" s="6">
        <v>43</v>
      </c>
      <c r="C45" s="7" t="s">
        <v>1794</v>
      </c>
      <c r="D45" s="19" t="s">
        <v>1741</v>
      </c>
      <c r="E45" s="25" t="str">
        <f>IF(Modul[[#This Row],[Link HTML-Doku]]="","",HYPERLINK(HTMLDokuPath&amp;Modul[[#This Row],[Link HTML-Doku]],"Doku"))</f>
        <v>Doku</v>
      </c>
      <c r="F45" s="56" t="str">
        <f>HYPERLINK(Modul[[#This Row],[Output-Pfad]],"Output-Pfad")</f>
        <v>Output-Pfad</v>
      </c>
      <c r="G45" s="11">
        <v>19</v>
      </c>
      <c r="H45" s="11">
        <f>COUNTIF(Entity[ID-Modul],Modul[[#This Row],[ID]])</f>
        <v>19</v>
      </c>
      <c r="I45" s="11"/>
      <c r="J45" s="11">
        <f>COUNTIF(DType[ID-Modul],Modul[[#This Row],[ID]])</f>
        <v>0</v>
      </c>
      <c r="K45" s="11">
        <v>1</v>
      </c>
      <c r="L45" s="11">
        <f>COUNTIF(SType[ID-Modul],Modul[[#This Row],[ID]])</f>
        <v>1</v>
      </c>
      <c r="M45" s="11"/>
      <c r="N45" s="11">
        <f>COUNTIF(Enum[ID-Modul],Modul[[#This Row],[ID]])</f>
        <v>0</v>
      </c>
      <c r="O45" s="31">
        <v>3</v>
      </c>
      <c r="P45" s="11">
        <f>COUNTIF(Function[ID-Modul],Modul[[#This Row],[ID]])</f>
        <v>3</v>
      </c>
      <c r="Q45" s="17" t="s">
        <v>2856</v>
      </c>
      <c r="R45" s="34" t="str">
        <f>IF(AND(CreateModulSubPath,Modul[[#This Row],[Modul-CodeName]]&lt;&gt;""),OutputPath&amp; "\"&amp;Modul[[#This Row],[Modul-CodeName]],OutputPath)</f>
        <v>H:\Progs\BIM\IFC2x3\Entwicklung\ExpressToVBA\IfcTopologyResource</v>
      </c>
      <c r="S45" s="1" t="b">
        <f>LOWER(Modul[[#This Row],[Modul-CodeName]])= Modul[[#This Row],[DokuName]]</f>
        <v>1</v>
      </c>
    </row>
    <row r="46" spans="2:19" ht="19.5" customHeight="1" x14ac:dyDescent="0.25">
      <c r="B46" s="6">
        <v>44</v>
      </c>
      <c r="C46" s="1" t="s">
        <v>1795</v>
      </c>
      <c r="D46" s="19" t="s">
        <v>1744</v>
      </c>
      <c r="E46" s="25" t="str">
        <f>IF(Modul[[#This Row],[Link HTML-Doku]]="","",HYPERLINK(HTMLDokuPath&amp;Modul[[#This Row],[Link HTML-Doku]],"Doku"))</f>
        <v>Doku</v>
      </c>
      <c r="F46" s="56" t="str">
        <f>HYPERLINK(Modul[[#This Row],[Output-Pfad]],"Output-Pfad")</f>
        <v>Output-Pfad</v>
      </c>
      <c r="G46" s="13">
        <v>4</v>
      </c>
      <c r="H46" s="11">
        <f>COUNTIF(Entity[ID-Modul],Modul[[#This Row],[ID]])</f>
        <v>4</v>
      </c>
      <c r="I46" s="13">
        <v>1</v>
      </c>
      <c r="J46" s="11">
        <f>COUNTIF(DType[ID-Modul],Modul[[#This Row],[ID]])</f>
        <v>1</v>
      </c>
      <c r="K46" s="13"/>
      <c r="L46" s="11">
        <f>COUNTIF(SType[ID-Modul],Modul[[#This Row],[ID]])</f>
        <v>0</v>
      </c>
      <c r="M46" s="13">
        <v>2</v>
      </c>
      <c r="N46" s="11">
        <f>COUNTIF(Enum[ID-Modul],Modul[[#This Row],[ID]])</f>
        <v>2</v>
      </c>
      <c r="O46" s="31"/>
      <c r="P46" s="11">
        <f>COUNTIF(Function[ID-Modul],Modul[[#This Row],[ID]])</f>
        <v>0</v>
      </c>
      <c r="Q46" s="17" t="s">
        <v>2857</v>
      </c>
      <c r="R46" s="34" t="str">
        <f>IF(AND(CreateModulSubPath,Modul[[#This Row],[Modul-CodeName]]&lt;&gt;""),OutputPath&amp; "\"&amp;Modul[[#This Row],[Modul-CodeName]],OutputPath)</f>
        <v>H:\Progs\BIM\IFC2x3\Entwicklung\ExpressToVBA\IfcUtilityResource</v>
      </c>
      <c r="S46" s="1" t="b">
        <f>LOWER(Modul[[#This Row],[Modul-CodeName]])= Modul[[#This Row],[DokuName]]</f>
        <v>1</v>
      </c>
    </row>
    <row r="47" spans="2:19" ht="19.5" customHeight="1" x14ac:dyDescent="0.25">
      <c r="B47" s="23">
        <v>0</v>
      </c>
      <c r="C47" s="1" t="s">
        <v>5047</v>
      </c>
      <c r="D47" s="28" t="s">
        <v>5041</v>
      </c>
      <c r="E47" s="25" t="str">
        <f>IF(Modul[[#This Row],[Link HTML-Doku]]="","",HYPERLINK(HTMLDokuPath&amp;Modul[[#This Row],[Link HTML-Doku]],"Doku"))</f>
        <v/>
      </c>
      <c r="F47" s="56" t="str">
        <f>HYPERLINK(Modul[[#This Row],[Output-Pfad]],"Output-Pfad")</f>
        <v>Output-Pfad</v>
      </c>
      <c r="G47" s="11">
        <v>0</v>
      </c>
      <c r="H47" s="11">
        <f>COUNTIF(Entity[ID-Modul],Modul[[#This Row],[ID]])</f>
        <v>0</v>
      </c>
      <c r="I47" s="11"/>
      <c r="J47" s="11">
        <f>COUNTIF(DType[ID-Modul],Modul[[#This Row],[ID]])</f>
        <v>0</v>
      </c>
      <c r="K47" s="11"/>
      <c r="L47" s="11">
        <f>COUNTIF(SType[ID-Modul],Modul[[#This Row],[ID]])</f>
        <v>0</v>
      </c>
      <c r="M47" s="11"/>
      <c r="N47" s="11">
        <f>COUNTIF(Enum[ID-Modul],Modul[[#This Row],[ID]])</f>
        <v>0</v>
      </c>
      <c r="O47" s="31"/>
      <c r="P47" s="11">
        <f>COUNTIF(Function[ID-Modul],Modul[[#This Row],[ID]])</f>
        <v>0</v>
      </c>
      <c r="Q47" s="17"/>
      <c r="R47" s="34" t="str">
        <f>IF(AND(CreateModulSubPath,Modul[[#This Row],[Modul-CodeName]]&lt;&gt;""),OutputPath&amp; "\"&amp;Modul[[#This Row],[Modul-CodeName]],OutputPath)</f>
        <v>H:\Progs\BIM\IFC2x3\Entwicklung\ExpressToVBA\ohneModul</v>
      </c>
      <c r="S47" s="1" t="b">
        <f>LOWER(Modul[[#This Row],[Modul-CodeName]])= Modul[[#This Row],[DokuName]]</f>
        <v>0</v>
      </c>
    </row>
  </sheetData>
  <conditionalFormatting sqref="J3:J47 L3:L47 N3:N47 P3:P47">
    <cfRule type="cellIs" dxfId="2" priority="3" operator="notEqual">
      <formula>#REF!</formula>
    </cfRule>
  </conditionalFormatting>
  <conditionalFormatting sqref="H3:H47">
    <cfRule type="cellIs" dxfId="1" priority="4" operator="notEqual">
      <formula>G3</formula>
    </cfRule>
  </conditionalFormatting>
  <pageMargins left="0.7" right="0.7" top="0.78740157499999996" bottom="0.78740157499999996" header="0.3" footer="0.3"/>
  <pageSetup paperSize="9" orientation="portrait"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ntities"/>
  <dimension ref="B1:O656"/>
  <sheetViews>
    <sheetView zoomScale="90" zoomScaleNormal="90" workbookViewId="0">
      <selection activeCell="B5" sqref="B5"/>
    </sheetView>
  </sheetViews>
  <sheetFormatPr baseColWidth="10" defaultRowHeight="20.100000000000001" customHeight="1" x14ac:dyDescent="0.25"/>
  <cols>
    <col min="1" max="1" width="4.85546875" style="1" customWidth="1"/>
    <col min="2" max="2" width="43" style="2" bestFit="1" customWidth="1"/>
    <col min="3" max="3" width="10.5703125" style="1" bestFit="1" customWidth="1"/>
    <col min="4" max="4" width="13.85546875" style="1" bestFit="1" customWidth="1"/>
    <col min="5" max="5" width="13.85546875" style="4" bestFit="1" customWidth="1"/>
    <col min="6" max="6" width="33.7109375" style="1" bestFit="1" customWidth="1"/>
    <col min="7" max="7" width="12.28515625" style="1" customWidth="1"/>
    <col min="8" max="8" width="15.42578125" style="1" customWidth="1"/>
    <col min="9" max="9" width="20.5703125" style="1" customWidth="1"/>
    <col min="10" max="10" width="43" style="1" bestFit="1" customWidth="1"/>
    <col min="11" max="11" width="30.5703125" style="1" bestFit="1" customWidth="1"/>
    <col min="12" max="12" width="14.7109375" style="1" customWidth="1"/>
    <col min="13" max="14" width="11.42578125" style="1"/>
    <col min="15" max="15" width="14.28515625" style="1" customWidth="1"/>
    <col min="16" max="16384" width="11.42578125" style="1"/>
  </cols>
  <sheetData>
    <row r="1" spans="2:15" ht="20.100000000000001" customHeight="1" x14ac:dyDescent="0.25">
      <c r="L1" s="1">
        <f>COUNTIF(Entity[seen in IFC],"ja")</f>
        <v>0</v>
      </c>
    </row>
    <row r="2" spans="2:15" ht="20.100000000000001" customHeight="1" x14ac:dyDescent="0.25">
      <c r="B2" s="3">
        <v>1</v>
      </c>
      <c r="C2" s="3">
        <v>2</v>
      </c>
      <c r="D2" s="3">
        <v>3</v>
      </c>
      <c r="E2" s="3">
        <v>4</v>
      </c>
      <c r="F2" s="3">
        <v>5</v>
      </c>
      <c r="G2" s="3">
        <v>6</v>
      </c>
      <c r="H2" s="3">
        <v>7</v>
      </c>
      <c r="I2" s="3">
        <v>8</v>
      </c>
      <c r="J2" s="3">
        <v>9</v>
      </c>
      <c r="K2" s="3">
        <v>10</v>
      </c>
      <c r="L2" s="3">
        <v>11</v>
      </c>
      <c r="M2" s="3">
        <v>12</v>
      </c>
      <c r="N2" s="3">
        <v>13</v>
      </c>
      <c r="O2" s="3">
        <v>14</v>
      </c>
    </row>
    <row r="3" spans="2:15" s="3" customFormat="1" ht="20.100000000000001" customHeight="1" x14ac:dyDescent="0.25">
      <c r="B3" s="3" t="s">
        <v>1</v>
      </c>
      <c r="C3" s="3" t="s">
        <v>1750</v>
      </c>
      <c r="D3" s="3" t="s">
        <v>2</v>
      </c>
      <c r="E3" s="5" t="s">
        <v>3</v>
      </c>
      <c r="F3" s="3" t="s">
        <v>586</v>
      </c>
      <c r="G3" s="3" t="s">
        <v>587</v>
      </c>
      <c r="H3" s="3" t="s">
        <v>588</v>
      </c>
      <c r="I3" s="3" t="s">
        <v>1148</v>
      </c>
      <c r="J3" s="3" t="s">
        <v>1149</v>
      </c>
      <c r="K3" s="3" t="s">
        <v>1150</v>
      </c>
      <c r="L3" s="3" t="s">
        <v>1151</v>
      </c>
      <c r="M3" s="3" t="s">
        <v>1152</v>
      </c>
      <c r="N3" s="3" t="s">
        <v>0</v>
      </c>
      <c r="O3" s="3" t="s">
        <v>1280</v>
      </c>
    </row>
    <row r="4" spans="2:15" ht="20.100000000000001" customHeight="1" x14ac:dyDescent="0.25">
      <c r="B4" s="36" t="s">
        <v>589</v>
      </c>
      <c r="C4" s="36" t="str">
        <f>IF(Entity[[#This Row],[Link]]="","",HYPERLINK(HTMLDokuPath&amp;Entity[[#This Row],[Link]],"Doku"))</f>
        <v>Doku</v>
      </c>
      <c r="D4" s="48">
        <v>1</v>
      </c>
      <c r="E4" s="49" t="str">
        <f>IFERROR(IF(VLOOKUP(Entity[ID-Modul],Modul[],3,FALSE)=0,VLOOKUP(Entity[ID-Modul],Modul[],2,FALSE),VLOOKUP(Entity[ID-Modul],Modul[],3,FALSE)),"unbekannt")</f>
        <v>IfcActorResource</v>
      </c>
      <c r="F4" s="50" t="b">
        <v>0</v>
      </c>
      <c r="G4" s="50" t="b">
        <v>0</v>
      </c>
      <c r="H4" s="51" t="s">
        <v>663</v>
      </c>
      <c r="I4" s="47">
        <f>LEN(Entity[[#This Row],[IFC-Name]])</f>
        <v>12</v>
      </c>
      <c r="J4" s="36" t="s">
        <v>589</v>
      </c>
      <c r="K4" s="47">
        <f>LEN(Entity[[#This Row],[Klassen-Name]])</f>
        <v>12</v>
      </c>
      <c r="L4" s="36"/>
      <c r="M4" s="47" t="b">
        <f>IF(NOT(Entity[[#This Row],[Supertype]]),TRUE,AND(Entity[[#This Row],[Supertype]],Entity[[#This Row],[Subtype]]))</f>
        <v>1</v>
      </c>
      <c r="N4" s="47" t="s">
        <v>2910</v>
      </c>
      <c r="O4" s="52" t="s">
        <v>1799</v>
      </c>
    </row>
    <row r="5" spans="2:15" ht="20.100000000000001" customHeight="1" x14ac:dyDescent="0.25">
      <c r="B5" s="7" t="s">
        <v>9</v>
      </c>
      <c r="C5" s="7" t="str">
        <f>IF(Entity[[#This Row],[Link]]="","",HYPERLINK(HTMLDokuPath&amp;Entity[[#This Row],[Link]],"Doku"))</f>
        <v>Doku</v>
      </c>
      <c r="D5" s="6">
        <v>1</v>
      </c>
      <c r="E5" s="20" t="str">
        <f>IFERROR(IF(VLOOKUP(Entity[ID-Modul],Modul[],3,FALSE)=0,VLOOKUP(Entity[ID-Modul],Modul[],2,FALSE),VLOOKUP(Entity[ID-Modul],Modul[],3,FALSE)),"unbekannt")</f>
        <v>IfcActorResource</v>
      </c>
      <c r="F5" s="21" t="b">
        <v>0</v>
      </c>
      <c r="G5" s="21" t="b">
        <v>1</v>
      </c>
      <c r="H5" s="22" t="s">
        <v>1292</v>
      </c>
      <c r="I5" s="19">
        <f>LEN(Entity[[#This Row],[IFC-Name]])</f>
        <v>10</v>
      </c>
      <c r="J5" s="7" t="s">
        <v>2859</v>
      </c>
      <c r="K5" s="19">
        <f>LEN(Entity[[#This Row],[Klassen-Name]])</f>
        <v>0</v>
      </c>
      <c r="L5" s="7"/>
      <c r="M5" s="19" t="b">
        <f>IF(NOT(Entity[[#This Row],[Supertype]]),TRUE,AND(Entity[[#This Row],[Supertype]],Entity[[#This Row],[Subtype]]))</f>
        <v>0</v>
      </c>
      <c r="N5" s="28" t="s">
        <v>2912</v>
      </c>
      <c r="O5" s="29" t="s">
        <v>1801</v>
      </c>
    </row>
    <row r="6" spans="2:15" ht="20.100000000000001" customHeight="1" x14ac:dyDescent="0.25">
      <c r="B6" s="36" t="s">
        <v>631</v>
      </c>
      <c r="C6" s="36" t="str">
        <f>IF(Entity[[#This Row],[Link]]="","",HYPERLINK(HTMLDokuPath&amp;Entity[[#This Row],[Link]],"Doku"))</f>
        <v>Doku</v>
      </c>
      <c r="D6" s="48">
        <v>1</v>
      </c>
      <c r="E6" s="49" t="str">
        <f>IFERROR(IF(VLOOKUP(Entity[ID-Modul],Modul[],3,FALSE)=0,VLOOKUP(Entity[ID-Modul],Modul[],2,FALSE),VLOOKUP(Entity[ID-Modul],Modul[],3,FALSE)),"unbekannt")</f>
        <v>IfcActorResource</v>
      </c>
      <c r="F6" s="50" t="b">
        <v>0</v>
      </c>
      <c r="G6" s="50" t="b">
        <v>0</v>
      </c>
      <c r="H6" s="51" t="s">
        <v>913</v>
      </c>
      <c r="I6" s="47">
        <f>LEN(Entity[[#This Row],[IFC-Name]])</f>
        <v>15</v>
      </c>
      <c r="J6" s="36" t="s">
        <v>631</v>
      </c>
      <c r="K6" s="47">
        <f>LEN(Entity[[#This Row],[Klassen-Name]])</f>
        <v>15</v>
      </c>
      <c r="L6" s="36"/>
      <c r="M6" s="47" t="b">
        <f>IF(NOT(Entity[[#This Row],[Supertype]]),TRUE,AND(Entity[[#This Row],[Supertype]],Entity[[#This Row],[Subtype]]))</f>
        <v>1</v>
      </c>
      <c r="N6" s="47" t="s">
        <v>3245</v>
      </c>
      <c r="O6" s="52" t="s">
        <v>2134</v>
      </c>
    </row>
    <row r="7" spans="2:15" ht="20.100000000000001" customHeight="1" x14ac:dyDescent="0.25">
      <c r="B7" s="36" t="s">
        <v>632</v>
      </c>
      <c r="C7" s="36" t="str">
        <f>IF(Entity[[#This Row],[Link]]="","",HYPERLINK(HTMLDokuPath&amp;Entity[[#This Row],[Link]],"Doku"))</f>
        <v>Doku</v>
      </c>
      <c r="D7" s="48">
        <v>1</v>
      </c>
      <c r="E7" s="49" t="str">
        <f>IFERROR(IF(VLOOKUP(Entity[ID-Modul],Modul[],3,FALSE)=0,VLOOKUP(Entity[ID-Modul],Modul[],2,FALSE),VLOOKUP(Entity[ID-Modul],Modul[],3,FALSE)),"unbekannt")</f>
        <v>IfcActorResource</v>
      </c>
      <c r="F7" s="50" t="b">
        <v>0</v>
      </c>
      <c r="G7" s="50" t="b">
        <v>0</v>
      </c>
      <c r="H7" s="51" t="s">
        <v>914</v>
      </c>
      <c r="I7" s="47">
        <f>LEN(Entity[[#This Row],[IFC-Name]])</f>
        <v>27</v>
      </c>
      <c r="J7" s="36" t="s">
        <v>632</v>
      </c>
      <c r="K7" s="47">
        <f>LEN(Entity[[#This Row],[Klassen-Name]])</f>
        <v>27</v>
      </c>
      <c r="L7" s="36"/>
      <c r="M7" s="47" t="b">
        <f>IF(NOT(Entity[[#This Row],[Supertype]]),TRUE,AND(Entity[[#This Row],[Supertype]],Entity[[#This Row],[Subtype]]))</f>
        <v>1</v>
      </c>
      <c r="N7" s="47" t="s">
        <v>3246</v>
      </c>
      <c r="O7" s="52" t="s">
        <v>2135</v>
      </c>
    </row>
    <row r="8" spans="2:15" ht="20.100000000000001" customHeight="1" x14ac:dyDescent="0.25">
      <c r="B8" s="36" t="s">
        <v>634</v>
      </c>
      <c r="C8" s="36" t="str">
        <f>IF(Entity[[#This Row],[Link]]="","",HYPERLINK(HTMLDokuPath&amp;Entity[[#This Row],[Link]],"Doku"))</f>
        <v>Doku</v>
      </c>
      <c r="D8" s="48">
        <v>1</v>
      </c>
      <c r="E8" s="49" t="str">
        <f>IFERROR(IF(VLOOKUP(Entity[ID-Modul],Modul[],3,FALSE)=0,VLOOKUP(Entity[ID-Modul],Modul[],2,FALSE),VLOOKUP(Entity[ID-Modul],Modul[],3,FALSE)),"unbekannt")</f>
        <v>IfcActorResource</v>
      </c>
      <c r="F8" s="50" t="b">
        <v>0</v>
      </c>
      <c r="G8" s="50" t="b">
        <v>0</v>
      </c>
      <c r="H8" s="51" t="s">
        <v>922</v>
      </c>
      <c r="I8" s="47">
        <f>LEN(Entity[[#This Row],[IFC-Name]])</f>
        <v>9</v>
      </c>
      <c r="J8" s="36" t="s">
        <v>634</v>
      </c>
      <c r="K8" s="47">
        <f>LEN(Entity[[#This Row],[Klassen-Name]])</f>
        <v>9</v>
      </c>
      <c r="L8" s="36"/>
      <c r="M8" s="47" t="b">
        <f>IF(NOT(Entity[[#This Row],[Supertype]]),TRUE,AND(Entity[[#This Row],[Supertype]],Entity[[#This Row],[Subtype]]))</f>
        <v>1</v>
      </c>
      <c r="N8" s="47" t="s">
        <v>3255</v>
      </c>
      <c r="O8" s="52" t="s">
        <v>2144</v>
      </c>
    </row>
    <row r="9" spans="2:15" ht="20.100000000000001" customHeight="1" x14ac:dyDescent="0.25">
      <c r="B9" s="36" t="s">
        <v>635</v>
      </c>
      <c r="C9" s="36" t="str">
        <f>IF(Entity[[#This Row],[Link]]="","",HYPERLINK(HTMLDokuPath&amp;Entity[[#This Row],[Link]],"Doku"))</f>
        <v>Doku</v>
      </c>
      <c r="D9" s="48">
        <v>1</v>
      </c>
      <c r="E9" s="49" t="str">
        <f>IFERROR(IF(VLOOKUP(Entity[ID-Modul],Modul[],3,FALSE)=0,VLOOKUP(Entity[ID-Modul],Modul[],2,FALSE),VLOOKUP(Entity[ID-Modul],Modul[],3,FALSE)),"unbekannt")</f>
        <v>IfcActorResource</v>
      </c>
      <c r="F9" s="50" t="b">
        <v>0</v>
      </c>
      <c r="G9" s="50" t="b">
        <v>0</v>
      </c>
      <c r="H9" s="51" t="s">
        <v>923</v>
      </c>
      <c r="I9" s="47">
        <f>LEN(Entity[[#This Row],[IFC-Name]])</f>
        <v>24</v>
      </c>
      <c r="J9" s="36" t="s">
        <v>635</v>
      </c>
      <c r="K9" s="47">
        <f>LEN(Entity[[#This Row],[Klassen-Name]])</f>
        <v>24</v>
      </c>
      <c r="L9" s="36"/>
      <c r="M9" s="47" t="b">
        <f>IF(NOT(Entity[[#This Row],[Supertype]]),TRUE,AND(Entity[[#This Row],[Supertype]],Entity[[#This Row],[Subtype]]))</f>
        <v>1</v>
      </c>
      <c r="N9" s="47" t="s">
        <v>3256</v>
      </c>
      <c r="O9" s="52" t="s">
        <v>2145</v>
      </c>
    </row>
    <row r="10" spans="2:15" ht="20.100000000000001" customHeight="1" x14ac:dyDescent="0.25">
      <c r="B10" s="36" t="s">
        <v>328</v>
      </c>
      <c r="C10" s="36" t="str">
        <f>IF(Entity[[#This Row],[Link]]="","",HYPERLINK(HTMLDokuPath&amp;Entity[[#This Row],[Link]],"Doku"))</f>
        <v>Doku</v>
      </c>
      <c r="D10" s="48">
        <v>1</v>
      </c>
      <c r="E10" s="49" t="str">
        <f>IFERROR(IF(VLOOKUP(Entity[ID-Modul],Modul[],3,FALSE)=0,VLOOKUP(Entity[ID-Modul],Modul[],2,FALSE),VLOOKUP(Entity[ID-Modul],Modul[],3,FALSE)),"unbekannt")</f>
        <v>IfcActorResource</v>
      </c>
      <c r="F10" s="50" t="b">
        <v>1</v>
      </c>
      <c r="G10" s="50" t="b">
        <v>0</v>
      </c>
      <c r="H10" s="51" t="s">
        <v>938</v>
      </c>
      <c r="I10" s="47">
        <f>LEN(Entity[[#This Row],[IFC-Name]])</f>
        <v>16</v>
      </c>
      <c r="J10" s="36" t="s">
        <v>328</v>
      </c>
      <c r="K10" s="47">
        <f>LEN(Entity[[#This Row],[Klassen-Name]])</f>
        <v>16</v>
      </c>
      <c r="L10" s="36"/>
      <c r="M10" s="47" t="b">
        <f>IF(NOT(Entity[[#This Row],[Supertype]]),TRUE,AND(Entity[[#This Row],[Supertype]],Entity[[#This Row],[Subtype]]))</f>
        <v>1</v>
      </c>
      <c r="N10" s="47" t="s">
        <v>3277</v>
      </c>
      <c r="O10" s="52" t="s">
        <v>2166</v>
      </c>
    </row>
    <row r="11" spans="2:15" ht="20.100000000000001" customHeight="1" x14ac:dyDescent="0.25">
      <c r="B11" s="36" t="s">
        <v>538</v>
      </c>
      <c r="C11" s="36" t="str">
        <f>IF(Entity[[#This Row],[Link]]="","",HYPERLINK(HTMLDokuPath&amp;Entity[[#This Row],[Link]],"Doku"))</f>
        <v>Doku</v>
      </c>
      <c r="D11" s="48">
        <v>1</v>
      </c>
      <c r="E11" s="49" t="str">
        <f>IFERROR(IF(VLOOKUP(Entity[ID-Modul],Modul[],3,FALSE)=0,VLOOKUP(Entity[ID-Modul],Modul[],2,FALSE),VLOOKUP(Entity[ID-Modul],Modul[],3,FALSE)),"unbekannt")</f>
        <v>IfcActorResource</v>
      </c>
      <c r="F11" s="50" t="b">
        <v>1</v>
      </c>
      <c r="G11" s="50" t="b">
        <v>0</v>
      </c>
      <c r="H11" s="51" t="s">
        <v>1101</v>
      </c>
      <c r="I11" s="47">
        <f>LEN(Entity[[#This Row],[IFC-Name]])</f>
        <v>17</v>
      </c>
      <c r="J11" s="36" t="s">
        <v>538</v>
      </c>
      <c r="K11" s="47">
        <f>LEN(Entity[[#This Row],[Klassen-Name]])</f>
        <v>17</v>
      </c>
      <c r="L11" s="36"/>
      <c r="M11" s="47" t="b">
        <f>IF(NOT(Entity[[#This Row],[Supertype]]),TRUE,AND(Entity[[#This Row],[Supertype]],Entity[[#This Row],[Subtype]]))</f>
        <v>1</v>
      </c>
      <c r="N11" s="47" t="s">
        <v>3502</v>
      </c>
      <c r="O11" s="52" t="s">
        <v>2392</v>
      </c>
    </row>
    <row r="12" spans="2:15" ht="20.100000000000001" customHeight="1" x14ac:dyDescent="0.25">
      <c r="B12" s="7" t="s">
        <v>592</v>
      </c>
      <c r="C12" s="7" t="str">
        <f>IF(Entity[[#This Row],[Link]]="","",HYPERLINK(HTMLDokuPath&amp;Entity[[#This Row],[Link]],"Doku"))</f>
        <v>Doku</v>
      </c>
      <c r="D12" s="6">
        <v>2</v>
      </c>
      <c r="E12" s="20" t="str">
        <f>IFERROR(IF(VLOOKUP(Entity[ID-Modul],Modul[],3,FALSE)=0,VLOOKUP(Entity[ID-Modul],Modul[],2,FALSE),VLOOKUP(Entity[ID-Modul],Modul[],3,FALSE)),"unbekannt")</f>
        <v>IfcApprovalResource</v>
      </c>
      <c r="F12" s="21" t="b">
        <v>0</v>
      </c>
      <c r="G12" s="21" t="b">
        <v>0</v>
      </c>
      <c r="H12" s="22" t="s">
        <v>678</v>
      </c>
      <c r="I12" s="19">
        <f>LEN(Entity[[#This Row],[IFC-Name]])</f>
        <v>11</v>
      </c>
      <c r="J12" s="7" t="s">
        <v>592</v>
      </c>
      <c r="K12" s="19">
        <f>LEN(Entity[[#This Row],[Klassen-Name]])</f>
        <v>11</v>
      </c>
      <c r="L12" s="7"/>
      <c r="M12" s="19" t="b">
        <f>IF(NOT(Entity[[#This Row],[Supertype]]),TRUE,AND(Entity[[#This Row],[Supertype]],Entity[[#This Row],[Subtype]]))</f>
        <v>1</v>
      </c>
      <c r="N12" s="28" t="s">
        <v>2930</v>
      </c>
      <c r="O12" s="29" t="s">
        <v>1819</v>
      </c>
    </row>
    <row r="13" spans="2:15" ht="20.100000000000001" customHeight="1" x14ac:dyDescent="0.25">
      <c r="B13" s="7" t="s">
        <v>593</v>
      </c>
      <c r="C13" s="7" t="str">
        <f>IF(Entity[[#This Row],[Link]]="","",HYPERLINK(HTMLDokuPath&amp;Entity[[#This Row],[Link]],"Doku"))</f>
        <v>Doku</v>
      </c>
      <c r="D13" s="6">
        <v>2</v>
      </c>
      <c r="E13" s="20" t="str">
        <f>IFERROR(IF(VLOOKUP(Entity[ID-Modul],Modul[],3,FALSE)=0,VLOOKUP(Entity[ID-Modul],Modul[],2,FALSE),VLOOKUP(Entity[ID-Modul],Modul[],3,FALSE)),"unbekannt")</f>
        <v>IfcApprovalResource</v>
      </c>
      <c r="F13" s="21" t="b">
        <v>0</v>
      </c>
      <c r="G13" s="21" t="b">
        <v>0</v>
      </c>
      <c r="H13" s="22" t="s">
        <v>679</v>
      </c>
      <c r="I13" s="19">
        <f>LEN(Entity[[#This Row],[IFC-Name]])</f>
        <v>28</v>
      </c>
      <c r="J13" s="7" t="s">
        <v>593</v>
      </c>
      <c r="K13" s="19">
        <f>LEN(Entity[[#This Row],[Klassen-Name]])</f>
        <v>28</v>
      </c>
      <c r="L13" s="7"/>
      <c r="M13" s="19" t="b">
        <f>IF(NOT(Entity[[#This Row],[Supertype]]),TRUE,AND(Entity[[#This Row],[Supertype]],Entity[[#This Row],[Subtype]]))</f>
        <v>1</v>
      </c>
      <c r="N13" s="28" t="s">
        <v>2931</v>
      </c>
      <c r="O13" s="29" t="s">
        <v>1820</v>
      </c>
    </row>
    <row r="14" spans="2:15" ht="20.100000000000001" customHeight="1" x14ac:dyDescent="0.25">
      <c r="B14" s="7" t="s">
        <v>594</v>
      </c>
      <c r="C14" s="7" t="str">
        <f>IF(Entity[[#This Row],[Link]]="","",HYPERLINK(HTMLDokuPath&amp;Entity[[#This Row],[Link]],"Doku"))</f>
        <v>Doku</v>
      </c>
      <c r="D14" s="6">
        <v>2</v>
      </c>
      <c r="E14" s="20" t="str">
        <f>IFERROR(IF(VLOOKUP(Entity[ID-Modul],Modul[],3,FALSE)=0,VLOOKUP(Entity[ID-Modul],Modul[],2,FALSE),VLOOKUP(Entity[ID-Modul],Modul[],3,FALSE)),"unbekannt")</f>
        <v>IfcApprovalResource</v>
      </c>
      <c r="F14" s="21" t="b">
        <v>0</v>
      </c>
      <c r="G14" s="21" t="b">
        <v>0</v>
      </c>
      <c r="H14" s="22" t="s">
        <v>680</v>
      </c>
      <c r="I14" s="19">
        <f>LEN(Entity[[#This Row],[IFC-Name]])</f>
        <v>31</v>
      </c>
      <c r="J14" s="7" t="s">
        <v>594</v>
      </c>
      <c r="K14" s="19">
        <f>LEN(Entity[[#This Row],[Klassen-Name]])</f>
        <v>31</v>
      </c>
      <c r="L14" s="7"/>
      <c r="M14" s="19" t="b">
        <f>IF(NOT(Entity[[#This Row],[Supertype]]),TRUE,AND(Entity[[#This Row],[Supertype]],Entity[[#This Row],[Subtype]]))</f>
        <v>1</v>
      </c>
      <c r="N14" s="28" t="s">
        <v>2932</v>
      </c>
      <c r="O14" s="29" t="s">
        <v>1821</v>
      </c>
    </row>
    <row r="15" spans="2:15" ht="20.100000000000001" customHeight="1" x14ac:dyDescent="0.25">
      <c r="B15" s="7" t="s">
        <v>595</v>
      </c>
      <c r="C15" s="7" t="str">
        <f>IF(Entity[[#This Row],[Link]]="","",HYPERLINK(HTMLDokuPath&amp;Entity[[#This Row],[Link]],"Doku"))</f>
        <v>Doku</v>
      </c>
      <c r="D15" s="6">
        <v>2</v>
      </c>
      <c r="E15" s="20" t="str">
        <f>IFERROR(IF(VLOOKUP(Entity[ID-Modul],Modul[],3,FALSE)=0,VLOOKUP(Entity[ID-Modul],Modul[],2,FALSE),VLOOKUP(Entity[ID-Modul],Modul[],3,FALSE)),"unbekannt")</f>
        <v>IfcApprovalResource</v>
      </c>
      <c r="F15" s="21" t="b">
        <v>0</v>
      </c>
      <c r="G15" s="21" t="b">
        <v>0</v>
      </c>
      <c r="H15" s="22" t="s">
        <v>681</v>
      </c>
      <c r="I15" s="19">
        <f>LEN(Entity[[#This Row],[IFC-Name]])</f>
        <v>23</v>
      </c>
      <c r="J15" s="7" t="s">
        <v>595</v>
      </c>
      <c r="K15" s="19">
        <f>LEN(Entity[[#This Row],[Klassen-Name]])</f>
        <v>23</v>
      </c>
      <c r="L15" s="7"/>
      <c r="M15" s="19" t="b">
        <f>IF(NOT(Entity[[#This Row],[Supertype]]),TRUE,AND(Entity[[#This Row],[Supertype]],Entity[[#This Row],[Subtype]]))</f>
        <v>1</v>
      </c>
      <c r="N15" s="28" t="s">
        <v>2933</v>
      </c>
      <c r="O15" s="29" t="s">
        <v>1822</v>
      </c>
    </row>
    <row r="16" spans="2:15" ht="20.100000000000001" customHeight="1" x14ac:dyDescent="0.25">
      <c r="B16" s="7" t="s">
        <v>306</v>
      </c>
      <c r="C16" s="7" t="str">
        <f>IF(Entity[[#This Row],[Link]]="","",HYPERLINK(HTMLDokuPath&amp;Entity[[#This Row],[Link]],"Doku"))</f>
        <v>Doku</v>
      </c>
      <c r="D16" s="6">
        <v>3</v>
      </c>
      <c r="E16" s="20" t="str">
        <f>IFERROR(IF(VLOOKUP(Entity[ID-Modul],Modul[],3,FALSE)=0,VLOOKUP(Entity[ID-Modul],Modul[],2,FALSE),VLOOKUP(Entity[ID-Modul],Modul[],3,FALSE)),"unbekannt")</f>
        <v>IfcArchitectureDomain</v>
      </c>
      <c r="F16" s="21" t="b">
        <v>1</v>
      </c>
      <c r="G16" s="21" t="b">
        <v>0</v>
      </c>
      <c r="H16" s="22" t="s">
        <v>920</v>
      </c>
      <c r="I16" s="19">
        <f>LEN(Entity[[#This Row],[IFC-Name]])</f>
        <v>30</v>
      </c>
      <c r="J16" s="7" t="s">
        <v>306</v>
      </c>
      <c r="K16" s="19">
        <f>LEN(Entity[[#This Row],[Klassen-Name]])</f>
        <v>30</v>
      </c>
      <c r="L16" s="7"/>
      <c r="M16" s="19" t="b">
        <f>IF(NOT(Entity[[#This Row],[Supertype]]),TRUE,AND(Entity[[#This Row],[Supertype]],Entity[[#This Row],[Subtype]]))</f>
        <v>1</v>
      </c>
      <c r="N16" s="28" t="s">
        <v>3253</v>
      </c>
      <c r="O16" s="29" t="s">
        <v>2142</v>
      </c>
    </row>
    <row r="17" spans="2:15" ht="20.100000000000001" customHeight="1" x14ac:dyDescent="0.25">
      <c r="B17" s="7" t="s">
        <v>426</v>
      </c>
      <c r="C17" s="7" t="str">
        <f>IF(Entity[[#This Row],[Link]]="","",HYPERLINK(HTMLDokuPath&amp;Entity[[#This Row],[Link]],"Doku"))</f>
        <v>Doku</v>
      </c>
      <c r="D17" s="6">
        <v>3</v>
      </c>
      <c r="E17" s="20" t="str">
        <f>IFERROR(IF(VLOOKUP(Entity[ID-Modul],Modul[],3,FALSE)=0,VLOOKUP(Entity[ID-Modul],Modul[],2,FALSE),VLOOKUP(Entity[ID-Modul],Modul[],3,FALSE)),"unbekannt")</f>
        <v>IfcArchitectureDomain</v>
      </c>
      <c r="F17" s="21" t="b">
        <v>1</v>
      </c>
      <c r="G17" s="21" t="b">
        <v>0</v>
      </c>
      <c r="H17" s="22" t="s">
        <v>1015</v>
      </c>
      <c r="I17" s="19">
        <f>LEN(Entity[[#This Row],[IFC-Name]])</f>
        <v>29</v>
      </c>
      <c r="J17" s="7" t="s">
        <v>426</v>
      </c>
      <c r="K17" s="19">
        <f>LEN(Entity[[#This Row],[Klassen-Name]])</f>
        <v>29</v>
      </c>
      <c r="L17" s="7"/>
      <c r="M17" s="19" t="b">
        <f>IF(NOT(Entity[[#This Row],[Supertype]]),TRUE,AND(Entity[[#This Row],[Supertype]],Entity[[#This Row],[Subtype]]))</f>
        <v>1</v>
      </c>
      <c r="N17" s="28" t="s">
        <v>3383</v>
      </c>
      <c r="O17" s="29" t="s">
        <v>2270</v>
      </c>
    </row>
    <row r="18" spans="2:15" ht="20.100000000000001" customHeight="1" x14ac:dyDescent="0.25">
      <c r="B18" s="7" t="s">
        <v>470</v>
      </c>
      <c r="C18" s="7" t="str">
        <f>IF(Entity[[#This Row],[Link]]="","",HYPERLINK(HTMLDokuPath&amp;Entity[[#This Row],[Link]],"Doku"))</f>
        <v>Doku</v>
      </c>
      <c r="D18" s="6">
        <v>3</v>
      </c>
      <c r="E18" s="20" t="str">
        <f>IFERROR(IF(VLOOKUP(Entity[ID-Modul],Modul[],3,FALSE)=0,VLOOKUP(Entity[ID-Modul],Modul[],2,FALSE),VLOOKUP(Entity[ID-Modul],Modul[],3,FALSE)),"unbekannt")</f>
        <v>IfcArchitectureDomain</v>
      </c>
      <c r="F18" s="21" t="b">
        <v>1</v>
      </c>
      <c r="G18" s="21" t="b">
        <v>0</v>
      </c>
      <c r="H18" s="22" t="s">
        <v>1055</v>
      </c>
      <c r="I18" s="19">
        <f>LEN(Entity[[#This Row],[IFC-Name]])</f>
        <v>15</v>
      </c>
      <c r="J18" s="7" t="s">
        <v>470</v>
      </c>
      <c r="K18" s="19">
        <f>LEN(Entity[[#This Row],[Klassen-Name]])</f>
        <v>15</v>
      </c>
      <c r="L18" s="7"/>
      <c r="M18" s="19" t="b">
        <f>IF(NOT(Entity[[#This Row],[Supertype]]),TRUE,AND(Entity[[#This Row],[Supertype]],Entity[[#This Row],[Subtype]]))</f>
        <v>1</v>
      </c>
      <c r="N18" s="28" t="s">
        <v>3430</v>
      </c>
      <c r="O18" s="29" t="s">
        <v>2319</v>
      </c>
    </row>
    <row r="19" spans="2:15" ht="20.100000000000001" customHeight="1" x14ac:dyDescent="0.25">
      <c r="B19" s="7" t="s">
        <v>8</v>
      </c>
      <c r="C19" s="7" t="str">
        <f>IF(Entity[[#This Row],[Link]]="","",HYPERLINK(HTMLDokuPath&amp;Entity[[#This Row],[Link]],"Doku"))</f>
        <v>Doku</v>
      </c>
      <c r="D19" s="6">
        <v>4</v>
      </c>
      <c r="E19" s="20" t="str">
        <f>IFERROR(IF(VLOOKUP(Entity[ID-Modul],Modul[],3,FALSE)=0,VLOOKUP(Entity[ID-Modul],Modul[],2,FALSE),VLOOKUP(Entity[ID-Modul],Modul[],3,FALSE)),"unbekannt")</f>
        <v>IfcBuildingControlsDomain</v>
      </c>
      <c r="F19" s="21" t="b">
        <v>1</v>
      </c>
      <c r="G19" s="21" t="b">
        <v>0</v>
      </c>
      <c r="H19" s="22" t="s">
        <v>664</v>
      </c>
      <c r="I19" s="19">
        <f>LEN(Entity[[#This Row],[IFC-Name]])</f>
        <v>15</v>
      </c>
      <c r="J19" s="7" t="s">
        <v>8</v>
      </c>
      <c r="K19" s="19">
        <f>LEN(Entity[[#This Row],[Klassen-Name]])</f>
        <v>15</v>
      </c>
      <c r="L19" s="7"/>
      <c r="M19" s="19" t="b">
        <f>IF(NOT(Entity[[#This Row],[Supertype]]),TRUE,AND(Entity[[#This Row],[Supertype]],Entity[[#This Row],[Subtype]]))</f>
        <v>1</v>
      </c>
      <c r="N19" s="28" t="s">
        <v>2911</v>
      </c>
      <c r="O19" s="29" t="s">
        <v>1800</v>
      </c>
    </row>
    <row r="20" spans="2:15" ht="20.100000000000001" customHeight="1" x14ac:dyDescent="0.25">
      <c r="B20" s="7" t="s">
        <v>13</v>
      </c>
      <c r="C20" s="7" t="str">
        <f>IF(Entity[[#This Row],[Link]]="","",HYPERLINK(HTMLDokuPath&amp;Entity[[#This Row],[Link]],"Doku"))</f>
        <v>Doku</v>
      </c>
      <c r="D20" s="6">
        <v>4</v>
      </c>
      <c r="E20" s="20" t="str">
        <f>IFERROR(IF(VLOOKUP(Entity[ID-Modul],Modul[],3,FALSE)=0,VLOOKUP(Entity[ID-Modul],Modul[],2,FALSE),VLOOKUP(Entity[ID-Modul],Modul[],3,FALSE)),"unbekannt")</f>
        <v>IfcBuildingControlsDomain</v>
      </c>
      <c r="F20" s="21" t="b">
        <v>1</v>
      </c>
      <c r="G20" s="21" t="b">
        <v>0</v>
      </c>
      <c r="H20" s="22" t="s">
        <v>668</v>
      </c>
      <c r="I20" s="19">
        <f>LEN(Entity[[#This Row],[IFC-Name]])</f>
        <v>12</v>
      </c>
      <c r="J20" s="7" t="s">
        <v>13</v>
      </c>
      <c r="K20" s="19">
        <f>LEN(Entity[[#This Row],[Klassen-Name]])</f>
        <v>12</v>
      </c>
      <c r="L20" s="7"/>
      <c r="M20" s="19" t="b">
        <f>IF(NOT(Entity[[#This Row],[Supertype]]),TRUE,AND(Entity[[#This Row],[Supertype]],Entity[[#This Row],[Subtype]]))</f>
        <v>1</v>
      </c>
      <c r="N20" s="28" t="s">
        <v>2916</v>
      </c>
      <c r="O20" s="29" t="s">
        <v>1805</v>
      </c>
    </row>
    <row r="21" spans="2:15" ht="20.100000000000001" customHeight="1" x14ac:dyDescent="0.25">
      <c r="B21" s="7" t="s">
        <v>105</v>
      </c>
      <c r="C21" s="7" t="str">
        <f>IF(Entity[[#This Row],[Link]]="","",HYPERLINK(HTMLDokuPath&amp;Entity[[#This Row],[Link]],"Doku"))</f>
        <v>Doku</v>
      </c>
      <c r="D21" s="6">
        <v>4</v>
      </c>
      <c r="E21" s="20" t="str">
        <f>IFERROR(IF(VLOOKUP(Entity[ID-Modul],Modul[],3,FALSE)=0,VLOOKUP(Entity[ID-Modul],Modul[],2,FALSE),VLOOKUP(Entity[ID-Modul],Modul[],3,FALSE)),"unbekannt")</f>
        <v>IfcBuildingControlsDomain</v>
      </c>
      <c r="F21" s="21" t="b">
        <v>1</v>
      </c>
      <c r="G21" s="21" t="b">
        <v>0</v>
      </c>
      <c r="H21" s="22" t="s">
        <v>746</v>
      </c>
      <c r="I21" s="19">
        <f>LEN(Entity[[#This Row],[IFC-Name]])</f>
        <v>17</v>
      </c>
      <c r="J21" s="7" t="s">
        <v>105</v>
      </c>
      <c r="K21" s="19">
        <f>LEN(Entity[[#This Row],[Klassen-Name]])</f>
        <v>17</v>
      </c>
      <c r="L21" s="7"/>
      <c r="M21" s="19" t="b">
        <f>IF(NOT(Entity[[#This Row],[Supertype]]),TRUE,AND(Entity[[#This Row],[Supertype]],Entity[[#This Row],[Subtype]]))</f>
        <v>1</v>
      </c>
      <c r="N21" s="28" t="s">
        <v>3022</v>
      </c>
      <c r="O21" s="29" t="s">
        <v>1912</v>
      </c>
    </row>
    <row r="22" spans="2:15" ht="20.100000000000001" customHeight="1" x14ac:dyDescent="0.25">
      <c r="B22" s="7" t="s">
        <v>220</v>
      </c>
      <c r="C22" s="7" t="str">
        <f>IF(Entity[[#This Row],[Link]]="","",HYPERLINK(HTMLDokuPath&amp;Entity[[#This Row],[Link]],"Doku"))</f>
        <v>Doku</v>
      </c>
      <c r="D22" s="6">
        <v>4</v>
      </c>
      <c r="E22" s="20" t="str">
        <f>IFERROR(IF(VLOOKUP(Entity[ID-Modul],Modul[],3,FALSE)=0,VLOOKUP(Entity[ID-Modul],Modul[],2,FALSE),VLOOKUP(Entity[ID-Modul],Modul[],3,FALSE)),"unbekannt")</f>
        <v>IfcBuildingControlsDomain</v>
      </c>
      <c r="F22" s="21" t="b">
        <v>1</v>
      </c>
      <c r="G22" s="21" t="b">
        <v>0</v>
      </c>
      <c r="H22" s="22" t="s">
        <v>842</v>
      </c>
      <c r="I22" s="19">
        <f>LEN(Entity[[#This Row],[IFC-Name]])</f>
        <v>21</v>
      </c>
      <c r="J22" s="7" t="s">
        <v>220</v>
      </c>
      <c r="K22" s="19">
        <f>LEN(Entity[[#This Row],[Klassen-Name]])</f>
        <v>21</v>
      </c>
      <c r="L22" s="7"/>
      <c r="M22" s="19" t="b">
        <f>IF(NOT(Entity[[#This Row],[Supertype]]),TRUE,AND(Entity[[#This Row],[Supertype]],Entity[[#This Row],[Subtype]]))</f>
        <v>1</v>
      </c>
      <c r="N22" s="28" t="s">
        <v>3150</v>
      </c>
      <c r="O22" s="29" t="s">
        <v>2039</v>
      </c>
    </row>
    <row r="23" spans="2:15" ht="20.100000000000001" customHeight="1" x14ac:dyDescent="0.25">
      <c r="B23" s="7" t="s">
        <v>454</v>
      </c>
      <c r="C23" s="7" t="str">
        <f>IF(Entity[[#This Row],[Link]]="","",HYPERLINK(HTMLDokuPath&amp;Entity[[#This Row],[Link]],"Doku"))</f>
        <v>Doku</v>
      </c>
      <c r="D23" s="6">
        <v>4</v>
      </c>
      <c r="E23" s="20" t="str">
        <f>IFERROR(IF(VLOOKUP(Entity[ID-Modul],Modul[],3,FALSE)=0,VLOOKUP(Entity[ID-Modul],Modul[],2,FALSE),VLOOKUP(Entity[ID-Modul],Modul[],3,FALSE)),"unbekannt")</f>
        <v>IfcBuildingControlsDomain</v>
      </c>
      <c r="F23" s="21" t="b">
        <v>1</v>
      </c>
      <c r="G23" s="21" t="b">
        <v>0</v>
      </c>
      <c r="H23" s="22" t="s">
        <v>1041</v>
      </c>
      <c r="I23" s="19">
        <f>LEN(Entity[[#This Row],[IFC-Name]])</f>
        <v>13</v>
      </c>
      <c r="J23" s="7" t="s">
        <v>454</v>
      </c>
      <c r="K23" s="19">
        <f>LEN(Entity[[#This Row],[Klassen-Name]])</f>
        <v>13</v>
      </c>
      <c r="L23" s="7"/>
      <c r="M23" s="19" t="b">
        <f>IF(NOT(Entity[[#This Row],[Supertype]]),TRUE,AND(Entity[[#This Row],[Supertype]],Entity[[#This Row],[Subtype]]))</f>
        <v>1</v>
      </c>
      <c r="N23" s="28" t="s">
        <v>3412</v>
      </c>
      <c r="O23" s="29" t="s">
        <v>2302</v>
      </c>
    </row>
    <row r="24" spans="2:15" ht="20.100000000000001" customHeight="1" x14ac:dyDescent="0.25">
      <c r="B24" s="7" t="s">
        <v>98</v>
      </c>
      <c r="C24" s="7" t="str">
        <f>IF(Entity[[#This Row],[Link]]="","",HYPERLINK(HTMLDokuPath&amp;Entity[[#This Row],[Link]],"Doku"))</f>
        <v>Doku</v>
      </c>
      <c r="D24" s="6">
        <v>5</v>
      </c>
      <c r="E24" s="20" t="str">
        <f>IFERROR(IF(VLOOKUP(Entity[ID-Modul],Modul[],3,FALSE)=0,VLOOKUP(Entity[ID-Modul],Modul[],2,FALSE),VLOOKUP(Entity[ID-Modul],Modul[],3,FALSE)),"unbekannt")</f>
        <v>IfcConstraintResource</v>
      </c>
      <c r="F24" s="21" t="b">
        <v>0</v>
      </c>
      <c r="G24" s="21" t="b">
        <v>1</v>
      </c>
      <c r="H24" s="22" t="s">
        <v>1319</v>
      </c>
      <c r="I24" s="19">
        <f>LEN(Entity[[#This Row],[IFC-Name]])</f>
        <v>13</v>
      </c>
      <c r="J24" s="7" t="s">
        <v>2859</v>
      </c>
      <c r="K24" s="19">
        <f>LEN(Entity[[#This Row],[Klassen-Name]])</f>
        <v>0</v>
      </c>
      <c r="L24" s="7"/>
      <c r="M24" s="19" t="b">
        <f>IF(NOT(Entity[[#This Row],[Supertype]]),TRUE,AND(Entity[[#This Row],[Supertype]],Entity[[#This Row],[Subtype]]))</f>
        <v>0</v>
      </c>
      <c r="N24" s="28" t="s">
        <v>3012</v>
      </c>
      <c r="O24" s="29" t="s">
        <v>1902</v>
      </c>
    </row>
    <row r="25" spans="2:15" ht="20.100000000000001" customHeight="1" x14ac:dyDescent="0.25">
      <c r="B25" s="7" t="s">
        <v>602</v>
      </c>
      <c r="C25" s="7" t="str">
        <f>IF(Entity[[#This Row],[Link]]="","",HYPERLINK(HTMLDokuPath&amp;Entity[[#This Row],[Link]],"Doku"))</f>
        <v>Doku</v>
      </c>
      <c r="D25" s="6">
        <v>5</v>
      </c>
      <c r="E25" s="20" t="str">
        <f>IFERROR(IF(VLOOKUP(Entity[ID-Modul],Modul[],3,FALSE)=0,VLOOKUP(Entity[ID-Modul],Modul[],2,FALSE),VLOOKUP(Entity[ID-Modul],Modul[],3,FALSE)),"unbekannt")</f>
        <v>IfcConstraintResource</v>
      </c>
      <c r="F25" s="21" t="b">
        <v>0</v>
      </c>
      <c r="G25" s="21" t="b">
        <v>0</v>
      </c>
      <c r="H25" s="22" t="s">
        <v>739</v>
      </c>
      <c r="I25" s="19">
        <f>LEN(Entity[[#This Row],[IFC-Name]])</f>
        <v>36</v>
      </c>
      <c r="J25" s="1" t="s">
        <v>2860</v>
      </c>
      <c r="K25" s="19">
        <f>LEN(Entity[[#This Row],[Klassen-Name]])</f>
        <v>27</v>
      </c>
      <c r="L25" s="7"/>
      <c r="M25" s="19" t="b">
        <f>IF(NOT(Entity[[#This Row],[Supertype]]),TRUE,AND(Entity[[#This Row],[Supertype]],Entity[[#This Row],[Subtype]]))</f>
        <v>1</v>
      </c>
      <c r="N25" s="28" t="s">
        <v>3013</v>
      </c>
      <c r="O25" s="29" t="s">
        <v>1903</v>
      </c>
    </row>
    <row r="26" spans="2:15" ht="20.100000000000001" customHeight="1" x14ac:dyDescent="0.25">
      <c r="B26" s="7" t="s">
        <v>603</v>
      </c>
      <c r="C26" s="7" t="str">
        <f>IF(Entity[[#This Row],[Link]]="","",HYPERLINK(HTMLDokuPath&amp;Entity[[#This Row],[Link]],"Doku"))</f>
        <v>Doku</v>
      </c>
      <c r="D26" s="6">
        <v>5</v>
      </c>
      <c r="E26" s="20" t="str">
        <f>IFERROR(IF(VLOOKUP(Entity[ID-Modul],Modul[],3,FALSE)=0,VLOOKUP(Entity[ID-Modul],Modul[],2,FALSE),VLOOKUP(Entity[ID-Modul],Modul[],3,FALSE)),"unbekannt")</f>
        <v>IfcConstraintResource</v>
      </c>
      <c r="F26" s="21" t="b">
        <v>0</v>
      </c>
      <c r="G26" s="21" t="b">
        <v>0</v>
      </c>
      <c r="H26" s="22" t="s">
        <v>740</v>
      </c>
      <c r="I26" s="19">
        <f>LEN(Entity[[#This Row],[IFC-Name]])</f>
        <v>39</v>
      </c>
      <c r="J26" s="1" t="s">
        <v>2861</v>
      </c>
      <c r="K26" s="19">
        <f>LEN(Entity[[#This Row],[Klassen-Name]])</f>
        <v>30</v>
      </c>
      <c r="L26" s="7"/>
      <c r="M26" s="19" t="b">
        <f>IF(NOT(Entity[[#This Row],[Supertype]]),TRUE,AND(Entity[[#This Row],[Supertype]],Entity[[#This Row],[Subtype]]))</f>
        <v>1</v>
      </c>
      <c r="N26" s="28" t="s">
        <v>3014</v>
      </c>
      <c r="O26" s="29" t="s">
        <v>1904</v>
      </c>
    </row>
    <row r="27" spans="2:15" ht="20.100000000000001" customHeight="1" x14ac:dyDescent="0.25">
      <c r="B27" s="7" t="s">
        <v>604</v>
      </c>
      <c r="C27" s="7" t="str">
        <f>IF(Entity[[#This Row],[Link]]="","",HYPERLINK(HTMLDokuPath&amp;Entity[[#This Row],[Link]],"Doku"))</f>
        <v>Doku</v>
      </c>
      <c r="D27" s="6">
        <v>5</v>
      </c>
      <c r="E27" s="20" t="str">
        <f>IFERROR(IF(VLOOKUP(Entity[ID-Modul],Modul[],3,FALSE)=0,VLOOKUP(Entity[ID-Modul],Modul[],2,FALSE),VLOOKUP(Entity[ID-Modul],Modul[],3,FALSE)),"unbekannt")</f>
        <v>IfcConstraintResource</v>
      </c>
      <c r="F27" s="21" t="b">
        <v>0</v>
      </c>
      <c r="G27" s="21" t="b">
        <v>0</v>
      </c>
      <c r="H27" s="22" t="s">
        <v>741</v>
      </c>
      <c r="I27" s="19">
        <f>LEN(Entity[[#This Row],[IFC-Name]])</f>
        <v>25</v>
      </c>
      <c r="J27" s="7" t="s">
        <v>604</v>
      </c>
      <c r="K27" s="19">
        <f>LEN(Entity[[#This Row],[Klassen-Name]])</f>
        <v>25</v>
      </c>
      <c r="L27" s="7"/>
      <c r="M27" s="19" t="b">
        <f>IF(NOT(Entity[[#This Row],[Supertype]]),TRUE,AND(Entity[[#This Row],[Supertype]],Entity[[#This Row],[Subtype]]))</f>
        <v>1</v>
      </c>
      <c r="N27" s="28" t="s">
        <v>3015</v>
      </c>
      <c r="O27" s="29" t="s">
        <v>1905</v>
      </c>
    </row>
    <row r="28" spans="2:15" ht="20.100000000000001" customHeight="1" x14ac:dyDescent="0.25">
      <c r="B28" s="7" t="s">
        <v>285</v>
      </c>
      <c r="C28" s="7" t="str">
        <f>IF(Entity[[#This Row],[Link]]="","",HYPERLINK(HTMLDokuPath&amp;Entity[[#This Row],[Link]],"Doku"))</f>
        <v>Doku</v>
      </c>
      <c r="D28" s="6">
        <v>5</v>
      </c>
      <c r="E28" s="20" t="str">
        <f>IFERROR(IF(VLOOKUP(Entity[ID-Modul],Modul[],3,FALSE)=0,VLOOKUP(Entity[ID-Modul],Modul[],2,FALSE),VLOOKUP(Entity[ID-Modul],Modul[],3,FALSE)),"unbekannt")</f>
        <v>IfcConstraintResource</v>
      </c>
      <c r="F28" s="21" t="b">
        <v>1</v>
      </c>
      <c r="G28" s="21" t="b">
        <v>0</v>
      </c>
      <c r="H28" s="22" t="s">
        <v>901</v>
      </c>
      <c r="I28" s="19">
        <f>LEN(Entity[[#This Row],[IFC-Name]])</f>
        <v>9</v>
      </c>
      <c r="J28" s="7" t="s">
        <v>285</v>
      </c>
      <c r="K28" s="19">
        <f>LEN(Entity[[#This Row],[Klassen-Name]])</f>
        <v>9</v>
      </c>
      <c r="L28" s="7"/>
      <c r="M28" s="19" t="b">
        <f>IF(NOT(Entity[[#This Row],[Supertype]]),TRUE,AND(Entity[[#This Row],[Supertype]],Entity[[#This Row],[Subtype]]))</f>
        <v>1</v>
      </c>
      <c r="N28" s="28" t="s">
        <v>3228</v>
      </c>
      <c r="O28" s="29" t="s">
        <v>2117</v>
      </c>
    </row>
    <row r="29" spans="2:15" ht="20.100000000000001" customHeight="1" x14ac:dyDescent="0.25">
      <c r="B29" s="7" t="s">
        <v>292</v>
      </c>
      <c r="C29" s="7" t="str">
        <f>IF(Entity[[#This Row],[Link]]="","",HYPERLINK(HTMLDokuPath&amp;Entity[[#This Row],[Link]],"Doku"))</f>
        <v>Doku</v>
      </c>
      <c r="D29" s="6">
        <v>5</v>
      </c>
      <c r="E29" s="20" t="str">
        <f>IFERROR(IF(VLOOKUP(Entity[ID-Modul],Modul[],3,FALSE)=0,VLOOKUP(Entity[ID-Modul],Modul[],2,FALSE),VLOOKUP(Entity[ID-Modul],Modul[],3,FALSE)),"unbekannt")</f>
        <v>IfcConstraintResource</v>
      </c>
      <c r="F29" s="21" t="b">
        <v>1</v>
      </c>
      <c r="G29" s="21" t="b">
        <v>0</v>
      </c>
      <c r="H29" s="22" t="s">
        <v>905</v>
      </c>
      <c r="I29" s="19">
        <f>LEN(Entity[[#This Row],[IFC-Name]])</f>
        <v>12</v>
      </c>
      <c r="J29" s="7" t="s">
        <v>292</v>
      </c>
      <c r="K29" s="19">
        <f>LEN(Entity[[#This Row],[Klassen-Name]])</f>
        <v>12</v>
      </c>
      <c r="L29" s="7"/>
      <c r="M29" s="19" t="b">
        <f>IF(NOT(Entity[[#This Row],[Supertype]]),TRUE,AND(Entity[[#This Row],[Supertype]],Entity[[#This Row],[Subtype]]))</f>
        <v>1</v>
      </c>
      <c r="N29" s="28" t="s">
        <v>3235</v>
      </c>
      <c r="O29" s="29" t="s">
        <v>2125</v>
      </c>
    </row>
    <row r="30" spans="2:15" ht="20.100000000000001" customHeight="1" x14ac:dyDescent="0.25">
      <c r="B30" s="7" t="s">
        <v>637</v>
      </c>
      <c r="C30" s="7" t="str">
        <f>IF(Entity[[#This Row],[Link]]="","",HYPERLINK(HTMLDokuPath&amp;Entity[[#This Row],[Link]],"Doku"))</f>
        <v>Doku</v>
      </c>
      <c r="D30" s="6">
        <v>5</v>
      </c>
      <c r="E30" s="20" t="str">
        <f>IFERROR(IF(VLOOKUP(Entity[ID-Modul],Modul[],3,FALSE)=0,VLOOKUP(Entity[ID-Modul],Modul[],2,FALSE),VLOOKUP(Entity[ID-Modul],Modul[],3,FALSE)),"unbekannt")</f>
        <v>IfcConstraintResource</v>
      </c>
      <c r="F30" s="21" t="b">
        <v>0</v>
      </c>
      <c r="G30" s="21" t="b">
        <v>0</v>
      </c>
      <c r="H30" s="22" t="s">
        <v>953</v>
      </c>
      <c r="I30" s="19">
        <f>LEN(Entity[[#This Row],[IFC-Name]])</f>
        <v>33</v>
      </c>
      <c r="J30" s="1" t="s">
        <v>2862</v>
      </c>
      <c r="K30" s="19">
        <f>LEN(Entity[[#This Row],[Klassen-Name]])</f>
        <v>24</v>
      </c>
      <c r="L30" s="7"/>
      <c r="M30" s="19" t="b">
        <f>IF(NOT(Entity[[#This Row],[Supertype]]),TRUE,AND(Entity[[#This Row],[Supertype]],Entity[[#This Row],[Subtype]]))</f>
        <v>1</v>
      </c>
      <c r="N30" s="28" t="s">
        <v>3305</v>
      </c>
      <c r="O30" s="29" t="s">
        <v>2194</v>
      </c>
    </row>
    <row r="31" spans="2:15" ht="20.100000000000001" customHeight="1" x14ac:dyDescent="0.25">
      <c r="B31" s="7" t="s">
        <v>99</v>
      </c>
      <c r="C31" s="7" t="str">
        <f>IF(Entity[[#This Row],[Link]]="","",HYPERLINK(HTMLDokuPath&amp;Entity[[#This Row],[Link]],"Doku"))</f>
        <v>Doku</v>
      </c>
      <c r="D31" s="6">
        <v>6</v>
      </c>
      <c r="E31" s="20" t="str">
        <f>IFERROR(IF(VLOOKUP(Entity[ID-Modul],Modul[],3,FALSE)=0,VLOOKUP(Entity[ID-Modul],Modul[],2,FALSE),VLOOKUP(Entity[ID-Modul],Modul[],3,FALSE)),"unbekannt")</f>
        <v>IfcConstructionMgmtDomain</v>
      </c>
      <c r="F31" s="21" t="b">
        <v>1</v>
      </c>
      <c r="G31" s="21" t="b">
        <v>0</v>
      </c>
      <c r="H31" s="22" t="s">
        <v>742</v>
      </c>
      <c r="I31" s="19">
        <f>LEN(Entity[[#This Row],[IFC-Name]])</f>
        <v>32</v>
      </c>
      <c r="J31" s="1" t="s">
        <v>2863</v>
      </c>
      <c r="K31" s="19">
        <f>LEN(Entity[[#This Row],[Klassen-Name]])</f>
        <v>27</v>
      </c>
      <c r="L31" s="7"/>
      <c r="M31" s="19" t="b">
        <f>IF(NOT(Entity[[#This Row],[Supertype]]),TRUE,AND(Entity[[#This Row],[Supertype]],Entity[[#This Row],[Subtype]]))</f>
        <v>1</v>
      </c>
      <c r="N31" s="28" t="s">
        <v>3016</v>
      </c>
      <c r="O31" s="29" t="s">
        <v>1906</v>
      </c>
    </row>
    <row r="32" spans="2:15" ht="20.100000000000001" customHeight="1" x14ac:dyDescent="0.25">
      <c r="B32" s="7" t="s">
        <v>100</v>
      </c>
      <c r="C32" s="7" t="str">
        <f>IF(Entity[[#This Row],[Link]]="","",HYPERLINK(HTMLDokuPath&amp;Entity[[#This Row],[Link]],"Doku"))</f>
        <v>Doku</v>
      </c>
      <c r="D32" s="6">
        <v>6</v>
      </c>
      <c r="E32" s="20" t="str">
        <f>IFERROR(IF(VLOOKUP(Entity[ID-Modul],Modul[],3,FALSE)=0,VLOOKUP(Entity[ID-Modul],Modul[],2,FALSE),VLOOKUP(Entity[ID-Modul],Modul[],3,FALSE)),"unbekannt")</f>
        <v>IfcConstructionMgmtDomain</v>
      </c>
      <c r="F32" s="21" t="b">
        <v>1</v>
      </c>
      <c r="G32" s="21" t="b">
        <v>0</v>
      </c>
      <c r="H32" s="22" t="s">
        <v>743</v>
      </c>
      <c r="I32" s="19">
        <f>LEN(Entity[[#This Row],[IFC-Name]])</f>
        <v>31</v>
      </c>
      <c r="J32" s="7" t="s">
        <v>100</v>
      </c>
      <c r="K32" s="19">
        <f>LEN(Entity[[#This Row],[Klassen-Name]])</f>
        <v>31</v>
      </c>
      <c r="L32" s="7"/>
      <c r="M32" s="19" t="b">
        <f>IF(NOT(Entity[[#This Row],[Supertype]]),TRUE,AND(Entity[[#This Row],[Supertype]],Entity[[#This Row],[Subtype]]))</f>
        <v>1</v>
      </c>
      <c r="N32" s="28" t="s">
        <v>3017</v>
      </c>
      <c r="O32" s="29" t="s">
        <v>1907</v>
      </c>
    </row>
    <row r="33" spans="2:15" ht="20.100000000000001" customHeight="1" x14ac:dyDescent="0.25">
      <c r="B33" s="7" t="s">
        <v>101</v>
      </c>
      <c r="C33" s="7" t="str">
        <f>IF(Entity[[#This Row],[Link]]="","",HYPERLINK(HTMLDokuPath&amp;Entity[[#This Row],[Link]],"Doku"))</f>
        <v>Doku</v>
      </c>
      <c r="D33" s="6">
        <v>6</v>
      </c>
      <c r="E33" s="20" t="str">
        <f>IFERROR(IF(VLOOKUP(Entity[ID-Modul],Modul[],3,FALSE)=0,VLOOKUP(Entity[ID-Modul],Modul[],2,FALSE),VLOOKUP(Entity[ID-Modul],Modul[],3,FALSE)),"unbekannt")</f>
        <v>IfcConstructionMgmtDomain</v>
      </c>
      <c r="F33" s="21" t="b">
        <v>1</v>
      </c>
      <c r="G33" s="21" t="b">
        <v>0</v>
      </c>
      <c r="H33" s="22" t="s">
        <v>744</v>
      </c>
      <c r="I33" s="19">
        <f>LEN(Entity[[#This Row],[IFC-Name]])</f>
        <v>30</v>
      </c>
      <c r="J33" s="7" t="s">
        <v>101</v>
      </c>
      <c r="K33" s="19">
        <f>LEN(Entity[[#This Row],[Klassen-Name]])</f>
        <v>30</v>
      </c>
      <c r="L33" s="7"/>
      <c r="M33" s="19" t="b">
        <f>IF(NOT(Entity[[#This Row],[Supertype]]),TRUE,AND(Entity[[#This Row],[Supertype]],Entity[[#This Row],[Subtype]]))</f>
        <v>1</v>
      </c>
      <c r="N33" s="28" t="s">
        <v>3018</v>
      </c>
      <c r="O33" s="29" t="s">
        <v>1908</v>
      </c>
    </row>
    <row r="34" spans="2:15" ht="20.100000000000001" customHeight="1" x14ac:dyDescent="0.25">
      <c r="B34" s="7" t="s">
        <v>102</v>
      </c>
      <c r="C34" s="7" t="str">
        <f>IF(Entity[[#This Row],[Link]]="","",HYPERLINK(HTMLDokuPath&amp;Entity[[#This Row],[Link]],"Doku"))</f>
        <v>Doku</v>
      </c>
      <c r="D34" s="6">
        <v>6</v>
      </c>
      <c r="E34" s="20" t="str">
        <f>IFERROR(IF(VLOOKUP(Entity[ID-Modul],Modul[],3,FALSE)=0,VLOOKUP(Entity[ID-Modul],Modul[],2,FALSE),VLOOKUP(Entity[ID-Modul],Modul[],3,FALSE)),"unbekannt")</f>
        <v>IfcConstructionMgmtDomain</v>
      </c>
      <c r="F34" s="21" t="b">
        <v>1</v>
      </c>
      <c r="G34" s="21" t="b">
        <v>1</v>
      </c>
      <c r="H34" s="22" t="s">
        <v>1320</v>
      </c>
      <c r="I34" s="19">
        <f>LEN(Entity[[#This Row],[IFC-Name]])</f>
        <v>23</v>
      </c>
      <c r="J34" s="7" t="s">
        <v>102</v>
      </c>
      <c r="K34" s="19">
        <f>LEN(Entity[[#This Row],[Klassen-Name]])</f>
        <v>23</v>
      </c>
      <c r="L34" s="7"/>
      <c r="M34" s="19" t="b">
        <f>IF(NOT(Entity[[#This Row],[Supertype]]),TRUE,AND(Entity[[#This Row],[Supertype]],Entity[[#This Row],[Subtype]]))</f>
        <v>1</v>
      </c>
      <c r="N34" s="28" t="s">
        <v>3019</v>
      </c>
      <c r="O34" s="29" t="s">
        <v>1909</v>
      </c>
    </row>
    <row r="35" spans="2:15" ht="20.100000000000001" customHeight="1" x14ac:dyDescent="0.25">
      <c r="B35" s="7" t="s">
        <v>116</v>
      </c>
      <c r="C35" s="7" t="str">
        <f>IF(Entity[[#This Row],[Link]]="","",HYPERLINK(HTMLDokuPath&amp;Entity[[#This Row],[Link]],"Doku"))</f>
        <v>Doku</v>
      </c>
      <c r="D35" s="6">
        <v>6</v>
      </c>
      <c r="E35" s="20" t="str">
        <f>IFERROR(IF(VLOOKUP(Entity[ID-Modul],Modul[],3,FALSE)=0,VLOOKUP(Entity[ID-Modul],Modul[],2,FALSE),VLOOKUP(Entity[ID-Modul],Modul[],3,FALSE)),"unbekannt")</f>
        <v>IfcConstructionMgmtDomain</v>
      </c>
      <c r="F35" s="21" t="b">
        <v>1</v>
      </c>
      <c r="G35" s="21" t="b">
        <v>0</v>
      </c>
      <c r="H35" s="22" t="s">
        <v>758</v>
      </c>
      <c r="I35" s="19">
        <f>LEN(Entity[[#This Row],[IFC-Name]])</f>
        <v>15</v>
      </c>
      <c r="J35" s="7" t="s">
        <v>116</v>
      </c>
      <c r="K35" s="19">
        <f>LEN(Entity[[#This Row],[Klassen-Name]])</f>
        <v>15</v>
      </c>
      <c r="L35" s="7"/>
      <c r="M35" s="19" t="b">
        <f>IF(NOT(Entity[[#This Row],[Supertype]]),TRUE,AND(Entity[[#This Row],[Supertype]],Entity[[#This Row],[Subtype]]))</f>
        <v>1</v>
      </c>
      <c r="N35" s="28" t="s">
        <v>3034</v>
      </c>
      <c r="O35" s="29" t="s">
        <v>1924</v>
      </c>
    </row>
    <row r="36" spans="2:15" ht="20.100000000000001" customHeight="1" x14ac:dyDescent="0.25">
      <c r="B36" s="7" t="s">
        <v>260</v>
      </c>
      <c r="C36" s="7" t="str">
        <f>IF(Entity[[#This Row],[Link]]="","",HYPERLINK(HTMLDokuPath&amp;Entity[[#This Row],[Link]],"Doku"))</f>
        <v>Doku</v>
      </c>
      <c r="D36" s="6">
        <v>6</v>
      </c>
      <c r="E36" s="20" t="str">
        <f>IFERROR(IF(VLOOKUP(Entity[ID-Modul],Modul[],3,FALSE)=0,VLOOKUP(Entity[ID-Modul],Modul[],2,FALSE),VLOOKUP(Entity[ID-Modul],Modul[],3,FALSE)),"unbekannt")</f>
        <v>IfcConstructionMgmtDomain</v>
      </c>
      <c r="F36" s="21" t="b">
        <v>1</v>
      </c>
      <c r="G36" s="21" t="b">
        <v>0</v>
      </c>
      <c r="H36" s="22" t="s">
        <v>871</v>
      </c>
      <c r="I36" s="19">
        <f>LEN(Entity[[#This Row],[IFC-Name]])</f>
        <v>16</v>
      </c>
      <c r="J36" s="7" t="s">
        <v>260</v>
      </c>
      <c r="K36" s="19">
        <f>LEN(Entity[[#This Row],[Klassen-Name]])</f>
        <v>16</v>
      </c>
      <c r="L36" s="7"/>
      <c r="M36" s="19" t="b">
        <f>IF(NOT(Entity[[#This Row],[Supertype]]),TRUE,AND(Entity[[#This Row],[Supertype]],Entity[[#This Row],[Subtype]]))</f>
        <v>1</v>
      </c>
      <c r="N36" s="28" t="s">
        <v>3191</v>
      </c>
      <c r="O36" s="29" t="s">
        <v>2081</v>
      </c>
    </row>
    <row r="37" spans="2:15" ht="20.100000000000001" customHeight="1" x14ac:dyDescent="0.25">
      <c r="B37" s="7" t="s">
        <v>518</v>
      </c>
      <c r="C37" s="7" t="str">
        <f>IF(Entity[[#This Row],[Link]]="","",HYPERLINK(HTMLDokuPath&amp;Entity[[#This Row],[Link]],"Doku"))</f>
        <v>Doku</v>
      </c>
      <c r="D37" s="6">
        <v>6</v>
      </c>
      <c r="E37" s="20" t="str">
        <f>IFERROR(IF(VLOOKUP(Entity[ID-Modul],Modul[],3,FALSE)=0,VLOOKUP(Entity[ID-Modul],Modul[],2,FALSE),VLOOKUP(Entity[ID-Modul],Modul[],3,FALSE)),"unbekannt")</f>
        <v>IfcConstructionMgmtDomain</v>
      </c>
      <c r="F37" s="21" t="b">
        <v>1</v>
      </c>
      <c r="G37" s="21" t="b">
        <v>0</v>
      </c>
      <c r="H37" s="22" t="s">
        <v>1083</v>
      </c>
      <c r="I37" s="19">
        <f>LEN(Entity[[#This Row],[IFC-Name]])</f>
        <v>22</v>
      </c>
      <c r="J37" s="7" t="s">
        <v>518</v>
      </c>
      <c r="K37" s="19">
        <f>LEN(Entity[[#This Row],[Klassen-Name]])</f>
        <v>22</v>
      </c>
      <c r="L37" s="7"/>
      <c r="M37" s="19" t="b">
        <f>IF(NOT(Entity[[#This Row],[Supertype]]),TRUE,AND(Entity[[#This Row],[Supertype]],Entity[[#This Row],[Subtype]]))</f>
        <v>1</v>
      </c>
      <c r="N37" s="28" t="s">
        <v>3478</v>
      </c>
      <c r="O37" s="29" t="s">
        <v>2367</v>
      </c>
    </row>
    <row r="38" spans="2:15" ht="20.100000000000001" customHeight="1" x14ac:dyDescent="0.25">
      <c r="B38" s="7" t="s">
        <v>305</v>
      </c>
      <c r="C38" s="7" t="str">
        <f>IF(Entity[[#This Row],[Link]]="","",HYPERLINK(HTMLDokuPath&amp;Entity[[#This Row],[Link]],"Doku"))</f>
        <v>Doku</v>
      </c>
      <c r="D38" s="6">
        <v>7</v>
      </c>
      <c r="E38" s="20" t="str">
        <f>IFERROR(IF(VLOOKUP(Entity[ID-Modul],Modul[],3,FALSE)=0,VLOOKUP(Entity[ID-Modul],Modul[],2,FALSE),VLOOKUP(Entity[ID-Modul],Modul[],3,FALSE)),"unbekannt")</f>
        <v>IfcControlExtension</v>
      </c>
      <c r="F38" s="21" t="b">
        <v>1</v>
      </c>
      <c r="G38" s="21" t="b">
        <v>0</v>
      </c>
      <c r="H38" s="22" t="s">
        <v>919</v>
      </c>
      <c r="I38" s="19">
        <f>LEN(Entity[[#This Row],[IFC-Name]])</f>
        <v>21</v>
      </c>
      <c r="J38" s="7" t="s">
        <v>305</v>
      </c>
      <c r="K38" s="19">
        <f>LEN(Entity[[#This Row],[Klassen-Name]])</f>
        <v>21</v>
      </c>
      <c r="L38" s="7"/>
      <c r="M38" s="19" t="b">
        <f>IF(NOT(Entity[[#This Row],[Supertype]]),TRUE,AND(Entity[[#This Row],[Supertype]],Entity[[#This Row],[Subtype]]))</f>
        <v>1</v>
      </c>
      <c r="N38" s="28" t="s">
        <v>3252</v>
      </c>
      <c r="O38" s="29" t="s">
        <v>2141</v>
      </c>
    </row>
    <row r="39" spans="2:15" ht="20.100000000000001" customHeight="1" x14ac:dyDescent="0.25">
      <c r="B39" s="7" t="s">
        <v>400</v>
      </c>
      <c r="C39" s="7" t="str">
        <f>IF(Entity[[#This Row],[Link]]="","",HYPERLINK(HTMLDokuPath&amp;Entity[[#This Row],[Link]],"Doku"))</f>
        <v>Doku</v>
      </c>
      <c r="D39" s="6">
        <v>7</v>
      </c>
      <c r="E39" s="20" t="str">
        <f>IFERROR(IF(VLOOKUP(Entity[ID-Modul],Modul[],3,FALSE)=0,VLOOKUP(Entity[ID-Modul],Modul[],2,FALSE),VLOOKUP(Entity[ID-Modul],Modul[],3,FALSE)),"unbekannt")</f>
        <v>IfcControlExtension</v>
      </c>
      <c r="F39" s="21" t="b">
        <v>1</v>
      </c>
      <c r="G39" s="21" t="b">
        <v>0</v>
      </c>
      <c r="H39" s="22" t="s">
        <v>995</v>
      </c>
      <c r="I39" s="19">
        <f>LEN(Entity[[#This Row],[IFC-Name]])</f>
        <v>24</v>
      </c>
      <c r="J39" s="7" t="s">
        <v>400</v>
      </c>
      <c r="K39" s="19">
        <f>LEN(Entity[[#This Row],[Klassen-Name]])</f>
        <v>24</v>
      </c>
      <c r="L39" s="7"/>
      <c r="M39" s="19" t="b">
        <f>IF(NOT(Entity[[#This Row],[Supertype]]),TRUE,AND(Entity[[#This Row],[Supertype]],Entity[[#This Row],[Subtype]]))</f>
        <v>1</v>
      </c>
      <c r="N39" s="28" t="s">
        <v>3355</v>
      </c>
      <c r="O39" s="29" t="s">
        <v>2244</v>
      </c>
    </row>
    <row r="40" spans="2:15" ht="20.100000000000001" customHeight="1" x14ac:dyDescent="0.25">
      <c r="B40" s="7" t="s">
        <v>402</v>
      </c>
      <c r="C40" s="7" t="str">
        <f>IF(Entity[[#This Row],[Link]]="","",HYPERLINK(HTMLDokuPath&amp;Entity[[#This Row],[Link]],"Doku"))</f>
        <v>Doku</v>
      </c>
      <c r="D40" s="6">
        <v>7</v>
      </c>
      <c r="E40" s="20" t="str">
        <f>IFERROR(IF(VLOOKUP(Entity[ID-Modul],Modul[],3,FALSE)=0,VLOOKUP(Entity[ID-Modul],Modul[],2,FALSE),VLOOKUP(Entity[ID-Modul],Modul[],3,FALSE)),"unbekannt")</f>
        <v>IfcControlExtension</v>
      </c>
      <c r="F40" s="21" t="b">
        <v>1</v>
      </c>
      <c r="G40" s="21" t="b">
        <v>0</v>
      </c>
      <c r="H40" s="22" t="s">
        <v>997</v>
      </c>
      <c r="I40" s="19">
        <f>LEN(Entity[[#This Row],[IFC-Name]])</f>
        <v>26</v>
      </c>
      <c r="J40" s="7" t="s">
        <v>402</v>
      </c>
      <c r="K40" s="19">
        <f>LEN(Entity[[#This Row],[Klassen-Name]])</f>
        <v>26</v>
      </c>
      <c r="L40" s="7"/>
      <c r="M40" s="19" t="b">
        <f>IF(NOT(Entity[[#This Row],[Supertype]]),TRUE,AND(Entity[[#This Row],[Supertype]],Entity[[#This Row],[Subtype]]))</f>
        <v>1</v>
      </c>
      <c r="N40" s="28" t="s">
        <v>3357</v>
      </c>
      <c r="O40" s="29" t="s">
        <v>2246</v>
      </c>
    </row>
    <row r="41" spans="2:15" ht="20.100000000000001" customHeight="1" x14ac:dyDescent="0.25">
      <c r="B41" s="7" t="s">
        <v>551</v>
      </c>
      <c r="C41" s="7" t="str">
        <f>IF(Entity[[#This Row],[Link]]="","",HYPERLINK(HTMLDokuPath&amp;Entity[[#This Row],[Link]],"Doku"))</f>
        <v>Doku</v>
      </c>
      <c r="D41" s="6">
        <v>7</v>
      </c>
      <c r="E41" s="20" t="str">
        <f>IFERROR(IF(VLOOKUP(Entity[ID-Modul],Modul[],3,FALSE)=0,VLOOKUP(Entity[ID-Modul],Modul[],2,FALSE),VLOOKUP(Entity[ID-Modul],Modul[],3,FALSE)),"unbekannt")</f>
        <v>IfcControlExtension</v>
      </c>
      <c r="F41" s="21" t="b">
        <v>1</v>
      </c>
      <c r="G41" s="21" t="b">
        <v>0</v>
      </c>
      <c r="H41" s="22" t="s">
        <v>1115</v>
      </c>
      <c r="I41" s="19">
        <f>LEN(Entity[[#This Row],[IFC-Name]])</f>
        <v>21</v>
      </c>
      <c r="J41" s="7" t="s">
        <v>551</v>
      </c>
      <c r="K41" s="19">
        <f>LEN(Entity[[#This Row],[Klassen-Name]])</f>
        <v>21</v>
      </c>
      <c r="L41" s="7"/>
      <c r="M41" s="19" t="b">
        <f>IF(NOT(Entity[[#This Row],[Supertype]]),TRUE,AND(Entity[[#This Row],[Supertype]],Entity[[#This Row],[Subtype]]))</f>
        <v>1</v>
      </c>
      <c r="N41" s="28" t="s">
        <v>3520</v>
      </c>
      <c r="O41" s="29" t="s">
        <v>2410</v>
      </c>
    </row>
    <row r="42" spans="2:15" ht="20.100000000000001" customHeight="1" x14ac:dyDescent="0.25">
      <c r="B42" s="7" t="s">
        <v>24</v>
      </c>
      <c r="C42" s="7" t="str">
        <f>IF(Entity[[#This Row],[Link]]="","",HYPERLINK(HTMLDokuPath&amp;Entity[[#This Row],[Link]],"Doku"))</f>
        <v>Doku</v>
      </c>
      <c r="D42" s="6">
        <v>8</v>
      </c>
      <c r="E42" s="20" t="str">
        <f>IFERROR(IF(VLOOKUP(Entity[ID-Modul],Modul[],3,FALSE)=0,VLOOKUP(Entity[ID-Modul],Modul[],2,FALSE),VLOOKUP(Entity[ID-Modul],Modul[],3,FALSE)),"unbekannt")</f>
        <v>IfcCostResource</v>
      </c>
      <c r="F42" s="21" t="b">
        <v>0</v>
      </c>
      <c r="G42" s="21" t="b">
        <v>1</v>
      </c>
      <c r="H42" s="22" t="s">
        <v>1296</v>
      </c>
      <c r="I42" s="19">
        <f>LEN(Entity[[#This Row],[IFC-Name]])</f>
        <v>15</v>
      </c>
      <c r="J42" s="7" t="s">
        <v>2859</v>
      </c>
      <c r="K42" s="19">
        <f>LEN(Entity[[#This Row],[Klassen-Name]])</f>
        <v>0</v>
      </c>
      <c r="L42" s="7"/>
      <c r="M42" s="19" t="b">
        <f>IF(NOT(Entity[[#This Row],[Supertype]]),TRUE,AND(Entity[[#This Row],[Supertype]],Entity[[#This Row],[Subtype]]))</f>
        <v>0</v>
      </c>
      <c r="N42" s="28" t="s">
        <v>2928</v>
      </c>
      <c r="O42" s="29" t="s">
        <v>1817</v>
      </c>
    </row>
    <row r="43" spans="2:15" ht="20.100000000000001" customHeight="1" x14ac:dyDescent="0.25">
      <c r="B43" s="7" t="s">
        <v>591</v>
      </c>
      <c r="C43" s="7" t="str">
        <f>IF(Entity[[#This Row],[Link]]="","",HYPERLINK(HTMLDokuPath&amp;Entity[[#This Row],[Link]],"Doku"))</f>
        <v>Doku</v>
      </c>
      <c r="D43" s="6">
        <v>8</v>
      </c>
      <c r="E43" s="20" t="str">
        <f>IFERROR(IF(VLOOKUP(Entity[ID-Modul],Modul[],3,FALSE)=0,VLOOKUP(Entity[ID-Modul],Modul[],2,FALSE),VLOOKUP(Entity[ID-Modul],Modul[],3,FALSE)),"unbekannt")</f>
        <v>IfcCostResource</v>
      </c>
      <c r="F43" s="21" t="b">
        <v>0</v>
      </c>
      <c r="G43" s="21" t="b">
        <v>0</v>
      </c>
      <c r="H43" s="22" t="s">
        <v>677</v>
      </c>
      <c r="I43" s="19">
        <f>LEN(Entity[[#This Row],[IFC-Name]])</f>
        <v>27</v>
      </c>
      <c r="J43" s="7" t="s">
        <v>591</v>
      </c>
      <c r="K43" s="19">
        <f>LEN(Entity[[#This Row],[Klassen-Name]])</f>
        <v>27</v>
      </c>
      <c r="L43" s="7"/>
      <c r="M43" s="19" t="b">
        <f>IF(NOT(Entity[[#This Row],[Supertype]]),TRUE,AND(Entity[[#This Row],[Supertype]],Entity[[#This Row],[Subtype]]))</f>
        <v>1</v>
      </c>
      <c r="N43" s="28" t="s">
        <v>2929</v>
      </c>
      <c r="O43" s="29" t="s">
        <v>1818</v>
      </c>
    </row>
    <row r="44" spans="2:15" ht="20.100000000000001" customHeight="1" x14ac:dyDescent="0.25">
      <c r="B44" s="7" t="s">
        <v>111</v>
      </c>
      <c r="C44" s="7" t="str">
        <f>IF(Entity[[#This Row],[Link]]="","",HYPERLINK(HTMLDokuPath&amp;Entity[[#This Row],[Link]],"Doku"))</f>
        <v>Doku</v>
      </c>
      <c r="D44" s="6">
        <v>8</v>
      </c>
      <c r="E44" s="20" t="str">
        <f>IFERROR(IF(VLOOKUP(Entity[ID-Modul],Modul[],3,FALSE)=0,VLOOKUP(Entity[ID-Modul],Modul[],2,FALSE),VLOOKUP(Entity[ID-Modul],Modul[],3,FALSE)),"unbekannt")</f>
        <v>IfcCostResource</v>
      </c>
      <c r="F44" s="21" t="b">
        <v>1</v>
      </c>
      <c r="G44" s="21" t="b">
        <v>0</v>
      </c>
      <c r="H44" s="22" t="s">
        <v>753</v>
      </c>
      <c r="I44" s="19">
        <f>LEN(Entity[[#This Row],[IFC-Name]])</f>
        <v>12</v>
      </c>
      <c r="J44" s="7" t="s">
        <v>111</v>
      </c>
      <c r="K44" s="19">
        <f>LEN(Entity[[#This Row],[Klassen-Name]])</f>
        <v>12</v>
      </c>
      <c r="L44" s="7"/>
      <c r="M44" s="19" t="b">
        <f>IF(NOT(Entity[[#This Row],[Supertype]]),TRUE,AND(Entity[[#This Row],[Supertype]],Entity[[#This Row],[Subtype]]))</f>
        <v>1</v>
      </c>
      <c r="N44" s="28" t="s">
        <v>3029</v>
      </c>
      <c r="O44" s="29" t="s">
        <v>1919</v>
      </c>
    </row>
    <row r="45" spans="2:15" ht="20.100000000000001" customHeight="1" x14ac:dyDescent="0.25">
      <c r="B45" s="7" t="s">
        <v>606</v>
      </c>
      <c r="C45" s="7" t="str">
        <f>IF(Entity[[#This Row],[Link]]="","",HYPERLINK(HTMLDokuPath&amp;Entity[[#This Row],[Link]],"Doku"))</f>
        <v>Doku</v>
      </c>
      <c r="D45" s="6">
        <v>8</v>
      </c>
      <c r="E45" s="20" t="str">
        <f>IFERROR(IF(VLOOKUP(Entity[ID-Modul],Modul[],3,FALSE)=0,VLOOKUP(Entity[ID-Modul],Modul[],2,FALSE),VLOOKUP(Entity[ID-Modul],Modul[],3,FALSE)),"unbekannt")</f>
        <v>IfcCostResource</v>
      </c>
      <c r="F45" s="21" t="b">
        <v>0</v>
      </c>
      <c r="G45" s="21" t="b">
        <v>0</v>
      </c>
      <c r="H45" s="22" t="s">
        <v>760</v>
      </c>
      <c r="I45" s="19">
        <f>LEN(Entity[[#This Row],[IFC-Name]])</f>
        <v>23</v>
      </c>
      <c r="J45" s="7" t="s">
        <v>606</v>
      </c>
      <c r="K45" s="19">
        <f>LEN(Entity[[#This Row],[Klassen-Name]])</f>
        <v>23</v>
      </c>
      <c r="L45" s="7"/>
      <c r="M45" s="19" t="b">
        <f>IF(NOT(Entity[[#This Row],[Supertype]]),TRUE,AND(Entity[[#This Row],[Supertype]],Entity[[#This Row],[Subtype]]))</f>
        <v>1</v>
      </c>
      <c r="N45" s="28" t="s">
        <v>3038</v>
      </c>
      <c r="O45" s="29" t="s">
        <v>1927</v>
      </c>
    </row>
    <row r="46" spans="2:15" ht="20.100000000000001" customHeight="1" x14ac:dyDescent="0.25">
      <c r="B46" s="7" t="s">
        <v>184</v>
      </c>
      <c r="C46" s="7" t="str">
        <f>IF(Entity[[#This Row],[Link]]="","",HYPERLINK(HTMLDokuPath&amp;Entity[[#This Row],[Link]],"Doku"))</f>
        <v>Doku</v>
      </c>
      <c r="D46" s="6">
        <v>8</v>
      </c>
      <c r="E46" s="20" t="str">
        <f>IFERROR(IF(VLOOKUP(Entity[ID-Modul],Modul[],3,FALSE)=0,VLOOKUP(Entity[ID-Modul],Modul[],2,FALSE),VLOOKUP(Entity[ID-Modul],Modul[],3,FALSE)),"unbekannt")</f>
        <v>IfcCostResource</v>
      </c>
      <c r="F46" s="21" t="b">
        <v>1</v>
      </c>
      <c r="G46" s="21" t="b">
        <v>0</v>
      </c>
      <c r="H46" s="22" t="s">
        <v>817</v>
      </c>
      <c r="I46" s="19">
        <f>LEN(Entity[[#This Row],[IFC-Name]])</f>
        <v>27</v>
      </c>
      <c r="J46" s="7" t="s">
        <v>184</v>
      </c>
      <c r="K46" s="19">
        <f>LEN(Entity[[#This Row],[Klassen-Name]])</f>
        <v>27</v>
      </c>
      <c r="L46" s="7"/>
      <c r="M46" s="19" t="b">
        <f>IF(NOT(Entity[[#This Row],[Supertype]]),TRUE,AND(Entity[[#This Row],[Supertype]],Entity[[#This Row],[Subtype]]))</f>
        <v>1</v>
      </c>
      <c r="N46" s="28" t="s">
        <v>3114</v>
      </c>
      <c r="O46" s="29" t="s">
        <v>2003</v>
      </c>
    </row>
    <row r="47" spans="2:15" ht="20.100000000000001" customHeight="1" x14ac:dyDescent="0.25">
      <c r="B47" s="7" t="s">
        <v>640</v>
      </c>
      <c r="C47" s="7" t="str">
        <f>IF(Entity[[#This Row],[Link]]="","",HYPERLINK(HTMLDokuPath&amp;Entity[[#This Row],[Link]],"Doku"))</f>
        <v>Doku</v>
      </c>
      <c r="D47" s="6">
        <v>8</v>
      </c>
      <c r="E47" s="20" t="str">
        <f>IFERROR(IF(VLOOKUP(Entity[ID-Modul],Modul[],3,FALSE)=0,VLOOKUP(Entity[ID-Modul],Modul[],2,FALSE),VLOOKUP(Entity[ID-Modul],Modul[],3,FALSE)),"unbekannt")</f>
        <v>IfcCostResource</v>
      </c>
      <c r="F47" s="21" t="b">
        <v>0</v>
      </c>
      <c r="G47" s="21" t="b">
        <v>0</v>
      </c>
      <c r="H47" s="22" t="s">
        <v>981</v>
      </c>
      <c r="I47" s="19">
        <f>LEN(Entity[[#This Row],[IFC-Name]])</f>
        <v>26</v>
      </c>
      <c r="J47" s="7" t="s">
        <v>640</v>
      </c>
      <c r="K47" s="19">
        <f>LEN(Entity[[#This Row],[Klassen-Name]])</f>
        <v>26</v>
      </c>
      <c r="L47" s="7"/>
      <c r="M47" s="19" t="b">
        <f>IF(NOT(Entity[[#This Row],[Supertype]]),TRUE,AND(Entity[[#This Row],[Supertype]],Entity[[#This Row],[Subtype]]))</f>
        <v>1</v>
      </c>
      <c r="N47" s="28" t="s">
        <v>3336</v>
      </c>
      <c r="O47" s="29" t="s">
        <v>2225</v>
      </c>
    </row>
    <row r="48" spans="2:15" ht="20.100000000000001" customHeight="1" x14ac:dyDescent="0.25">
      <c r="B48" s="7" t="s">
        <v>596</v>
      </c>
      <c r="C48" s="7" t="str">
        <f>IF(Entity[[#This Row],[Link]]="","",HYPERLINK(HTMLDokuPath&amp;Entity[[#This Row],[Link]],"Doku"))</f>
        <v>Doku</v>
      </c>
      <c r="D48" s="6">
        <v>9</v>
      </c>
      <c r="E48" s="20" t="str">
        <f>IFERROR(IF(VLOOKUP(Entity[ID-Modul],Modul[],3,FALSE)=0,VLOOKUP(Entity[ID-Modul],Modul[],2,FALSE),VLOOKUP(Entity[ID-Modul],Modul[],3,FALSE)),"unbekannt")</f>
        <v>IfcDateTimeResource</v>
      </c>
      <c r="F48" s="21" t="b">
        <v>0</v>
      </c>
      <c r="G48" s="21" t="b">
        <v>0</v>
      </c>
      <c r="H48" s="22" t="s">
        <v>708</v>
      </c>
      <c r="I48" s="19">
        <f>LEN(Entity[[#This Row],[IFC-Name]])</f>
        <v>15</v>
      </c>
      <c r="J48" s="7" t="s">
        <v>596</v>
      </c>
      <c r="K48" s="19">
        <f>LEN(Entity[[#This Row],[Klassen-Name]])</f>
        <v>15</v>
      </c>
      <c r="L48" s="7"/>
      <c r="M48" s="19" t="b">
        <f>IF(NOT(Entity[[#This Row],[Supertype]]),TRUE,AND(Entity[[#This Row],[Supertype]],Entity[[#This Row],[Subtype]]))</f>
        <v>1</v>
      </c>
      <c r="N48" s="28" t="s">
        <v>2971</v>
      </c>
      <c r="O48" s="29" t="s">
        <v>1861</v>
      </c>
    </row>
    <row r="49" spans="2:15" ht="20.100000000000001" customHeight="1" x14ac:dyDescent="0.25">
      <c r="B49" s="7" t="s">
        <v>605</v>
      </c>
      <c r="C49" s="7" t="str">
        <f>IF(Entity[[#This Row],[Link]]="","",HYPERLINK(HTMLDokuPath&amp;Entity[[#This Row],[Link]],"Doku"))</f>
        <v>Doku</v>
      </c>
      <c r="D49" s="6">
        <v>9</v>
      </c>
      <c r="E49" s="20" t="str">
        <f>IFERROR(IF(VLOOKUP(Entity[ID-Modul],Modul[],3,FALSE)=0,VLOOKUP(Entity[ID-Modul],Modul[],2,FALSE),VLOOKUP(Entity[ID-Modul],Modul[],3,FALSE)),"unbekannt")</f>
        <v>IfcDateTimeResource</v>
      </c>
      <c r="F49" s="21" t="b">
        <v>0</v>
      </c>
      <c r="G49" s="21" t="b">
        <v>0</v>
      </c>
      <c r="H49" s="22" t="s">
        <v>750</v>
      </c>
      <c r="I49" s="19">
        <f>LEN(Entity[[#This Row],[IFC-Name]])</f>
        <v>33</v>
      </c>
      <c r="J49" s="1" t="s">
        <v>2864</v>
      </c>
      <c r="K49" s="19">
        <f>LEN(Entity[[#This Row],[Klassen-Name]])</f>
        <v>22</v>
      </c>
      <c r="L49" s="7"/>
      <c r="M49" s="19" t="b">
        <f>IF(NOT(Entity[[#This Row],[Supertype]]),TRUE,AND(Entity[[#This Row],[Supertype]],Entity[[#This Row],[Subtype]]))</f>
        <v>1</v>
      </c>
      <c r="N49" s="28" t="s">
        <v>3026</v>
      </c>
      <c r="O49" s="29" t="s">
        <v>1916</v>
      </c>
    </row>
    <row r="50" spans="2:15" ht="20.100000000000001" customHeight="1" x14ac:dyDescent="0.25">
      <c r="B50" s="7" t="s">
        <v>610</v>
      </c>
      <c r="C50" s="7" t="str">
        <f>IF(Entity[[#This Row],[Link]]="","",HYPERLINK(HTMLDokuPath&amp;Entity[[#This Row],[Link]],"Doku"))</f>
        <v>Doku</v>
      </c>
      <c r="D50" s="6">
        <v>9</v>
      </c>
      <c r="E50" s="20" t="str">
        <f>IFERROR(IF(VLOOKUP(Entity[ID-Modul],Modul[],3,FALSE)=0,VLOOKUP(Entity[ID-Modul],Modul[],2,FALSE),VLOOKUP(Entity[ID-Modul],Modul[],3,FALSE)),"unbekannt")</f>
        <v>IfcDateTimeResource</v>
      </c>
      <c r="F50" s="21" t="b">
        <v>0</v>
      </c>
      <c r="G50" s="21" t="b">
        <v>0</v>
      </c>
      <c r="H50" s="22" t="s">
        <v>769</v>
      </c>
      <c r="I50" s="19">
        <f>LEN(Entity[[#This Row],[IFC-Name]])</f>
        <v>14</v>
      </c>
      <c r="J50" s="7" t="s">
        <v>610</v>
      </c>
      <c r="K50" s="19">
        <f>LEN(Entity[[#This Row],[Klassen-Name]])</f>
        <v>14</v>
      </c>
      <c r="L50" s="7"/>
      <c r="M50" s="19" t="b">
        <f>IF(NOT(Entity[[#This Row],[Supertype]]),TRUE,AND(Entity[[#This Row],[Supertype]],Entity[[#This Row],[Subtype]]))</f>
        <v>1</v>
      </c>
      <c r="N50" s="28" t="s">
        <v>3048</v>
      </c>
      <c r="O50" s="29" t="s">
        <v>1937</v>
      </c>
    </row>
    <row r="51" spans="2:15" ht="20.100000000000001" customHeight="1" x14ac:dyDescent="0.25">
      <c r="B51" s="7" t="s">
        <v>622</v>
      </c>
      <c r="C51" s="7" t="str">
        <f>IF(Entity[[#This Row],[Link]]="","",HYPERLINK(HTMLDokuPath&amp;Entity[[#This Row],[Link]],"Doku"))</f>
        <v>Doku</v>
      </c>
      <c r="D51" s="6">
        <v>9</v>
      </c>
      <c r="E51" s="20" t="str">
        <f>IFERROR(IF(VLOOKUP(Entity[ID-Modul],Modul[],3,FALSE)=0,VLOOKUP(Entity[ID-Modul],Modul[],2,FALSE),VLOOKUP(Entity[ID-Modul],Modul[],3,FALSE)),"unbekannt")</f>
        <v>IfcDateTimeResource</v>
      </c>
      <c r="F51" s="21" t="b">
        <v>0</v>
      </c>
      <c r="G51" s="21" t="b">
        <v>0</v>
      </c>
      <c r="H51" s="22" t="s">
        <v>885</v>
      </c>
      <c r="I51" s="19">
        <f>LEN(Entity[[#This Row],[IFC-Name]])</f>
        <v>12</v>
      </c>
      <c r="J51" s="7" t="s">
        <v>622</v>
      </c>
      <c r="K51" s="19">
        <f>LEN(Entity[[#This Row],[Klassen-Name]])</f>
        <v>12</v>
      </c>
      <c r="L51" s="7"/>
      <c r="M51" s="19" t="b">
        <f>IF(NOT(Entity[[#This Row],[Supertype]]),TRUE,AND(Entity[[#This Row],[Supertype]],Entity[[#This Row],[Subtype]]))</f>
        <v>1</v>
      </c>
      <c r="N51" s="28" t="s">
        <v>3207</v>
      </c>
      <c r="O51" s="29" t="s">
        <v>2097</v>
      </c>
    </row>
    <row r="52" spans="2:15" ht="20.100000000000001" customHeight="1" x14ac:dyDescent="0.25">
      <c r="B52" s="7" t="s">
        <v>60</v>
      </c>
      <c r="C52" s="7" t="str">
        <f>IF(Entity[[#This Row],[Link]]="","",HYPERLINK(HTMLDokuPath&amp;Entity[[#This Row],[Link]],"Doku"))</f>
        <v>Doku</v>
      </c>
      <c r="D52" s="6">
        <v>10</v>
      </c>
      <c r="E52" s="20" t="str">
        <f>IFERROR(IF(VLOOKUP(Entity[ID-Modul],Modul[],3,FALSE)=0,VLOOKUP(Entity[ID-Modul],Modul[],2,FALSE),VLOOKUP(Entity[ID-Modul],Modul[],3,FALSE)),"unbekannt")</f>
        <v>IfcElectricalDomain</v>
      </c>
      <c r="F52" s="21" t="b">
        <v>1</v>
      </c>
      <c r="G52" s="21" t="b">
        <v>0</v>
      </c>
      <c r="H52" s="22" t="s">
        <v>705</v>
      </c>
      <c r="I52" s="19">
        <f>LEN(Entity[[#This Row],[IFC-Name]])</f>
        <v>26</v>
      </c>
      <c r="J52" s="7" t="s">
        <v>60</v>
      </c>
      <c r="K52" s="19">
        <f>LEN(Entity[[#This Row],[Klassen-Name]])</f>
        <v>26</v>
      </c>
      <c r="L52" s="7"/>
      <c r="M52" s="19" t="b">
        <f>IF(NOT(Entity[[#This Row],[Supertype]]),TRUE,AND(Entity[[#This Row],[Supertype]],Entity[[#This Row],[Subtype]]))</f>
        <v>1</v>
      </c>
      <c r="N52" s="28" t="s">
        <v>2968</v>
      </c>
      <c r="O52" s="29" t="s">
        <v>1858</v>
      </c>
    </row>
    <row r="53" spans="2:15" ht="20.100000000000001" customHeight="1" x14ac:dyDescent="0.25">
      <c r="B53" s="7" t="s">
        <v>61</v>
      </c>
      <c r="C53" s="7" t="str">
        <f>IF(Entity[[#This Row],[Link]]="","",HYPERLINK(HTMLDokuPath&amp;Entity[[#This Row],[Link]],"Doku"))</f>
        <v>Doku</v>
      </c>
      <c r="D53" s="6">
        <v>10</v>
      </c>
      <c r="E53" s="20" t="str">
        <f>IFERROR(IF(VLOOKUP(Entity[ID-Modul],Modul[],3,FALSE)=0,VLOOKUP(Entity[ID-Modul],Modul[],2,FALSE),VLOOKUP(Entity[ID-Modul],Modul[],3,FALSE)),"unbekannt")</f>
        <v>IfcElectricalDomain</v>
      </c>
      <c r="F53" s="21" t="b">
        <v>1</v>
      </c>
      <c r="G53" s="21" t="b">
        <v>0</v>
      </c>
      <c r="H53" s="22" t="s">
        <v>706</v>
      </c>
      <c r="I53" s="19">
        <f>LEN(Entity[[#This Row],[IFC-Name]])</f>
        <v>26</v>
      </c>
      <c r="J53" s="7" t="s">
        <v>61</v>
      </c>
      <c r="K53" s="19">
        <f>LEN(Entity[[#This Row],[Klassen-Name]])</f>
        <v>26</v>
      </c>
      <c r="L53" s="7"/>
      <c r="M53" s="19" t="b">
        <f>IF(NOT(Entity[[#This Row],[Supertype]]),TRUE,AND(Entity[[#This Row],[Supertype]],Entity[[#This Row],[Subtype]]))</f>
        <v>1</v>
      </c>
      <c r="N53" s="28" t="s">
        <v>2969</v>
      </c>
      <c r="O53" s="29" t="s">
        <v>1859</v>
      </c>
    </row>
    <row r="54" spans="2:15" ht="20.100000000000001" customHeight="1" x14ac:dyDescent="0.25">
      <c r="B54" s="7" t="s">
        <v>62</v>
      </c>
      <c r="C54" s="7" t="str">
        <f>IF(Entity[[#This Row],[Link]]="","",HYPERLINK(HTMLDokuPath&amp;Entity[[#This Row],[Link]],"Doku"))</f>
        <v>Doku</v>
      </c>
      <c r="D54" s="6">
        <v>10</v>
      </c>
      <c r="E54" s="20" t="str">
        <f>IFERROR(IF(VLOOKUP(Entity[ID-Modul],Modul[],3,FALSE)=0,VLOOKUP(Entity[ID-Modul],Modul[],2,FALSE),VLOOKUP(Entity[ID-Modul],Modul[],3,FALSE)),"unbekannt")</f>
        <v>IfcElectricalDomain</v>
      </c>
      <c r="F54" s="21" t="b">
        <v>1</v>
      </c>
      <c r="G54" s="21" t="b">
        <v>0</v>
      </c>
      <c r="H54" s="22" t="s">
        <v>707</v>
      </c>
      <c r="I54" s="19">
        <f>LEN(Entity[[#This Row],[IFC-Name]])</f>
        <v>19</v>
      </c>
      <c r="J54" s="7" t="s">
        <v>62</v>
      </c>
      <c r="K54" s="19">
        <f>LEN(Entity[[#This Row],[Klassen-Name]])</f>
        <v>19</v>
      </c>
      <c r="L54" s="7"/>
      <c r="M54" s="19" t="b">
        <f>IF(NOT(Entity[[#This Row],[Supertype]]),TRUE,AND(Entity[[#This Row],[Supertype]],Entity[[#This Row],[Subtype]]))</f>
        <v>1</v>
      </c>
      <c r="N54" s="28" t="s">
        <v>2970</v>
      </c>
      <c r="O54" s="29" t="s">
        <v>1860</v>
      </c>
    </row>
    <row r="55" spans="2:15" ht="20.100000000000001" customHeight="1" x14ac:dyDescent="0.25">
      <c r="B55" s="7" t="s">
        <v>170</v>
      </c>
      <c r="C55" s="7" t="str">
        <f>IF(Entity[[#This Row],[Link]]="","",HYPERLINK(HTMLDokuPath&amp;Entity[[#This Row],[Link]],"Doku"))</f>
        <v>Doku</v>
      </c>
      <c r="D55" s="6">
        <v>10</v>
      </c>
      <c r="E55" s="20" t="str">
        <f>IFERROR(IF(VLOOKUP(Entity[ID-Modul],Modul[],3,FALSE)=0,VLOOKUP(Entity[ID-Modul],Modul[],2,FALSE),VLOOKUP(Entity[ID-Modul],Modul[],3,FALSE)),"unbekannt")</f>
        <v>IfcElectricalDomain</v>
      </c>
      <c r="F55" s="21" t="b">
        <v>1</v>
      </c>
      <c r="G55" s="21" t="b">
        <v>0</v>
      </c>
      <c r="H55" s="22" t="s">
        <v>810</v>
      </c>
      <c r="I55" s="19">
        <f>LEN(Entity[[#This Row],[IFC-Name]])</f>
        <v>20</v>
      </c>
      <c r="J55" s="7" t="s">
        <v>170</v>
      </c>
      <c r="K55" s="19">
        <f>LEN(Entity[[#This Row],[Klassen-Name]])</f>
        <v>20</v>
      </c>
      <c r="L55" s="7"/>
      <c r="M55" s="19" t="b">
        <f>IF(NOT(Entity[[#This Row],[Supertype]]),TRUE,AND(Entity[[#This Row],[Supertype]],Entity[[#This Row],[Subtype]]))</f>
        <v>1</v>
      </c>
      <c r="N55" s="28" t="s">
        <v>3093</v>
      </c>
      <c r="O55" s="29" t="s">
        <v>1989</v>
      </c>
    </row>
    <row r="56" spans="2:15" ht="20.100000000000001" customHeight="1" x14ac:dyDescent="0.25">
      <c r="B56" s="7" t="s">
        <v>162</v>
      </c>
      <c r="C56" s="7" t="str">
        <f>IF(Entity[[#This Row],[Link]]="","",HYPERLINK(HTMLDokuPath&amp;Entity[[#This Row],[Link]],"Doku"))</f>
        <v>Doku</v>
      </c>
      <c r="D56" s="6">
        <v>10</v>
      </c>
      <c r="E56" s="20" t="str">
        <f>IFERROR(IF(VLOOKUP(Entity[ID-Modul],Modul[],3,FALSE)=0,VLOOKUP(Entity[ID-Modul],Modul[],2,FALSE),VLOOKUP(Entity[ID-Modul],Modul[],3,FALSE)),"unbekannt")</f>
        <v>IfcElectricalDomain</v>
      </c>
      <c r="F56" s="21" t="b">
        <v>1</v>
      </c>
      <c r="G56" s="21" t="b">
        <v>0</v>
      </c>
      <c r="H56" s="22" t="s">
        <v>802</v>
      </c>
      <c r="I56" s="19">
        <f>LEN(Entity[[#This Row],[IFC-Name]])</f>
        <v>24</v>
      </c>
      <c r="J56" s="7" t="s">
        <v>162</v>
      </c>
      <c r="K56" s="19">
        <f>LEN(Entity[[#This Row],[Klassen-Name]])</f>
        <v>24</v>
      </c>
      <c r="L56" s="7"/>
      <c r="M56" s="19" t="b">
        <f>IF(NOT(Entity[[#This Row],[Supertype]]),TRUE,AND(Entity[[#This Row],[Supertype]],Entity[[#This Row],[Subtype]]))</f>
        <v>1</v>
      </c>
      <c r="N56" s="28" t="s">
        <v>3095</v>
      </c>
      <c r="O56" s="29" t="s">
        <v>1981</v>
      </c>
    </row>
    <row r="57" spans="2:15" ht="20.100000000000001" customHeight="1" x14ac:dyDescent="0.25">
      <c r="B57" s="7" t="s">
        <v>163</v>
      </c>
      <c r="C57" s="7" t="str">
        <f>IF(Entity[[#This Row],[Link]]="","",HYPERLINK(HTMLDokuPath&amp;Entity[[#This Row],[Link]],"Doku"))</f>
        <v>Doku</v>
      </c>
      <c r="D57" s="6">
        <v>10</v>
      </c>
      <c r="E57" s="20" t="str">
        <f>IFERROR(IF(VLOOKUP(Entity[ID-Modul],Modul[],3,FALSE)=0,VLOOKUP(Entity[ID-Modul],Modul[],2,FALSE),VLOOKUP(Entity[ID-Modul],Modul[],3,FALSE)),"unbekannt")</f>
        <v>IfcElectricalDomain</v>
      </c>
      <c r="F57" s="21" t="b">
        <v>1</v>
      </c>
      <c r="G57" s="21" t="b">
        <v>0</v>
      </c>
      <c r="H57" s="22" t="s">
        <v>803</v>
      </c>
      <c r="I57" s="19">
        <f>LEN(Entity[[#This Row],[IFC-Name]])</f>
        <v>28</v>
      </c>
      <c r="J57" s="7" t="s">
        <v>163</v>
      </c>
      <c r="K57" s="19">
        <f>LEN(Entity[[#This Row],[Klassen-Name]])</f>
        <v>28</v>
      </c>
      <c r="L57" s="7"/>
      <c r="M57" s="19" t="b">
        <f>IF(NOT(Entity[[#This Row],[Supertype]]),TRUE,AND(Entity[[#This Row],[Supertype]],Entity[[#This Row],[Subtype]]))</f>
        <v>1</v>
      </c>
      <c r="N57" s="28" t="s">
        <v>3096</v>
      </c>
      <c r="O57" s="29" t="s">
        <v>1982</v>
      </c>
    </row>
    <row r="58" spans="2:15" ht="20.100000000000001" customHeight="1" x14ac:dyDescent="0.25">
      <c r="B58" s="7" t="s">
        <v>164</v>
      </c>
      <c r="C58" s="7" t="str">
        <f>IF(Entity[[#This Row],[Link]]="","",HYPERLINK(HTMLDokuPath&amp;Entity[[#This Row],[Link]],"Doku"))</f>
        <v>Doku</v>
      </c>
      <c r="D58" s="6">
        <v>10</v>
      </c>
      <c r="E58" s="20" t="str">
        <f>IFERROR(IF(VLOOKUP(Entity[ID-Modul],Modul[],3,FALSE)=0,VLOOKUP(Entity[ID-Modul],Modul[],2,FALSE),VLOOKUP(Entity[ID-Modul],Modul[],3,FALSE)),"unbekannt")</f>
        <v>IfcElectricalDomain</v>
      </c>
      <c r="F58" s="21" t="b">
        <v>1</v>
      </c>
      <c r="G58" s="21" t="b">
        <v>0</v>
      </c>
      <c r="H58" s="22" t="s">
        <v>804</v>
      </c>
      <c r="I58" s="19">
        <f>LEN(Entity[[#This Row],[IFC-Name]])</f>
        <v>32</v>
      </c>
      <c r="J58" s="1" t="s">
        <v>2865</v>
      </c>
      <c r="K58" s="19">
        <f>LEN(Entity[[#This Row],[Klassen-Name]])</f>
        <v>29</v>
      </c>
      <c r="L58" s="7"/>
      <c r="M58" s="19" t="b">
        <f>IF(NOT(Entity[[#This Row],[Supertype]]),TRUE,AND(Entity[[#This Row],[Supertype]],Entity[[#This Row],[Subtype]]))</f>
        <v>1</v>
      </c>
      <c r="N58" s="28" t="s">
        <v>3097</v>
      </c>
      <c r="O58" s="29" t="s">
        <v>1983</v>
      </c>
    </row>
    <row r="59" spans="2:15" ht="20.100000000000001" customHeight="1" x14ac:dyDescent="0.25">
      <c r="B59" s="7" t="s">
        <v>165</v>
      </c>
      <c r="C59" s="7" t="str">
        <f>IF(Entity[[#This Row],[Link]]="","",HYPERLINK(HTMLDokuPath&amp;Entity[[#This Row],[Link]],"Doku"))</f>
        <v>Doku</v>
      </c>
      <c r="D59" s="6">
        <v>10</v>
      </c>
      <c r="E59" s="20" t="str">
        <f>IFERROR(IF(VLOOKUP(Entity[ID-Modul],Modul[],3,FALSE)=0,VLOOKUP(Entity[ID-Modul],Modul[],2,FALSE),VLOOKUP(Entity[ID-Modul],Modul[],3,FALSE)),"unbekannt")</f>
        <v>IfcElectricalDomain</v>
      </c>
      <c r="F59" s="21" t="b">
        <v>1</v>
      </c>
      <c r="G59" s="21" t="b">
        <v>0</v>
      </c>
      <c r="H59" s="22" t="s">
        <v>805</v>
      </c>
      <c r="I59" s="19">
        <f>LEN(Entity[[#This Row],[IFC-Name]])</f>
        <v>24</v>
      </c>
      <c r="J59" s="7" t="s">
        <v>165</v>
      </c>
      <c r="K59" s="19">
        <f>LEN(Entity[[#This Row],[Klassen-Name]])</f>
        <v>24</v>
      </c>
      <c r="L59" s="7"/>
      <c r="M59" s="19" t="b">
        <f>IF(NOT(Entity[[#This Row],[Supertype]]),TRUE,AND(Entity[[#This Row],[Supertype]],Entity[[#This Row],[Subtype]]))</f>
        <v>1</v>
      </c>
      <c r="N59" s="28" t="s">
        <v>3098</v>
      </c>
      <c r="O59" s="29" t="s">
        <v>1984</v>
      </c>
    </row>
    <row r="60" spans="2:15" ht="20.100000000000001" customHeight="1" x14ac:dyDescent="0.25">
      <c r="B60" s="7" t="s">
        <v>166</v>
      </c>
      <c r="C60" s="7" t="str">
        <f>IF(Entity[[#This Row],[Link]]="","",HYPERLINK(HTMLDokuPath&amp;Entity[[#This Row],[Link]],"Doku"))</f>
        <v>Doku</v>
      </c>
      <c r="D60" s="6">
        <v>10</v>
      </c>
      <c r="E60" s="20" t="str">
        <f>IFERROR(IF(VLOOKUP(Entity[ID-Modul],Modul[],3,FALSE)=0,VLOOKUP(Entity[ID-Modul],Modul[],2,FALSE),VLOOKUP(Entity[ID-Modul],Modul[],3,FALSE)),"unbekannt")</f>
        <v>IfcElectricalDomain</v>
      </c>
      <c r="F60" s="21" t="b">
        <v>1</v>
      </c>
      <c r="G60" s="21" t="b">
        <v>0</v>
      </c>
      <c r="H60" s="22" t="s">
        <v>806</v>
      </c>
      <c r="I60" s="19">
        <f>LEN(Entity[[#This Row],[IFC-Name]])</f>
        <v>21</v>
      </c>
      <c r="J60" s="7" t="s">
        <v>166</v>
      </c>
      <c r="K60" s="19">
        <f>LEN(Entity[[#This Row],[Klassen-Name]])</f>
        <v>21</v>
      </c>
      <c r="L60" s="7"/>
      <c r="M60" s="19" t="b">
        <f>IF(NOT(Entity[[#This Row],[Supertype]]),TRUE,AND(Entity[[#This Row],[Supertype]],Entity[[#This Row],[Subtype]]))</f>
        <v>1</v>
      </c>
      <c r="N60" s="28" t="s">
        <v>3099</v>
      </c>
      <c r="O60" s="29" t="s">
        <v>1985</v>
      </c>
    </row>
    <row r="61" spans="2:15" ht="20.100000000000001" customHeight="1" x14ac:dyDescent="0.25">
      <c r="B61" s="7" t="s">
        <v>167</v>
      </c>
      <c r="C61" s="7" t="str">
        <f>IF(Entity[[#This Row],[Link]]="","",HYPERLINK(HTMLDokuPath&amp;Entity[[#This Row],[Link]],"Doku"))</f>
        <v>Doku</v>
      </c>
      <c r="D61" s="6">
        <v>10</v>
      </c>
      <c r="E61" s="20" t="str">
        <f>IFERROR(IF(VLOOKUP(Entity[ID-Modul],Modul[],3,FALSE)=0,VLOOKUP(Entity[ID-Modul],Modul[],2,FALSE),VLOOKUP(Entity[ID-Modul],Modul[],3,FALSE)),"unbekannt")</f>
        <v>IfcElectricalDomain</v>
      </c>
      <c r="F61" s="21" t="b">
        <v>1</v>
      </c>
      <c r="G61" s="21" t="b">
        <v>0</v>
      </c>
      <c r="H61" s="22" t="s">
        <v>807</v>
      </c>
      <c r="I61" s="19">
        <f>LEN(Entity[[#This Row],[IFC-Name]])</f>
        <v>20</v>
      </c>
      <c r="J61" s="7" t="s">
        <v>167</v>
      </c>
      <c r="K61" s="19">
        <f>LEN(Entity[[#This Row],[Klassen-Name]])</f>
        <v>20</v>
      </c>
      <c r="L61" s="7"/>
      <c r="M61" s="19" t="b">
        <f>IF(NOT(Entity[[#This Row],[Supertype]]),TRUE,AND(Entity[[#This Row],[Supertype]],Entity[[#This Row],[Subtype]]))</f>
        <v>1</v>
      </c>
      <c r="N61" s="28" t="s">
        <v>3100</v>
      </c>
      <c r="O61" s="29" t="s">
        <v>1986</v>
      </c>
    </row>
    <row r="62" spans="2:15" ht="20.100000000000001" customHeight="1" x14ac:dyDescent="0.25">
      <c r="B62" s="7" t="s">
        <v>168</v>
      </c>
      <c r="C62" s="7" t="str">
        <f>IF(Entity[[#This Row],[Link]]="","",HYPERLINK(HTMLDokuPath&amp;Entity[[#This Row],[Link]],"Doku"))</f>
        <v>Doku</v>
      </c>
      <c r="D62" s="6">
        <v>10</v>
      </c>
      <c r="E62" s="20" t="str">
        <f>IFERROR(IF(VLOOKUP(Entity[ID-Modul],Modul[],3,FALSE)=0,VLOOKUP(Entity[ID-Modul],Modul[],2,FALSE),VLOOKUP(Entity[ID-Modul],Modul[],3,FALSE)),"unbekannt")</f>
        <v>IfcElectricalDomain</v>
      </c>
      <c r="F62" s="21" t="b">
        <v>1</v>
      </c>
      <c r="G62" s="21" t="b">
        <v>0</v>
      </c>
      <c r="H62" s="22" t="s">
        <v>808</v>
      </c>
      <c r="I62" s="19">
        <f>LEN(Entity[[#This Row],[IFC-Name]])</f>
        <v>26</v>
      </c>
      <c r="J62" s="7" t="s">
        <v>168</v>
      </c>
      <c r="K62" s="19">
        <f>LEN(Entity[[#This Row],[Klassen-Name]])</f>
        <v>26</v>
      </c>
      <c r="L62" s="7"/>
      <c r="M62" s="19" t="b">
        <f>IF(NOT(Entity[[#This Row],[Supertype]]),TRUE,AND(Entity[[#This Row],[Supertype]],Entity[[#This Row],[Subtype]]))</f>
        <v>1</v>
      </c>
      <c r="N62" s="28" t="s">
        <v>3101</v>
      </c>
      <c r="O62" s="29" t="s">
        <v>1987</v>
      </c>
    </row>
    <row r="63" spans="2:15" ht="20.100000000000001" customHeight="1" x14ac:dyDescent="0.25">
      <c r="B63" s="7" t="s">
        <v>258</v>
      </c>
      <c r="C63" s="7" t="str">
        <f>IF(Entity[[#This Row],[Link]]="","",HYPERLINK(HTMLDokuPath&amp;Entity[[#This Row],[Link]],"Doku"))</f>
        <v>Doku</v>
      </c>
      <c r="D63" s="6">
        <v>10</v>
      </c>
      <c r="E63" s="20" t="str">
        <f>IFERROR(IF(VLOOKUP(Entity[ID-Modul],Modul[],3,FALSE)=0,VLOOKUP(Entity[ID-Modul],Modul[],2,FALSE),VLOOKUP(Entity[ID-Modul],Modul[],3,FALSE)),"unbekannt")</f>
        <v>IfcElectricalDomain</v>
      </c>
      <c r="F63" s="21" t="b">
        <v>1</v>
      </c>
      <c r="G63" s="21" t="b">
        <v>0</v>
      </c>
      <c r="H63" s="22" t="s">
        <v>869</v>
      </c>
      <c r="I63" s="19">
        <f>LEN(Entity[[#This Row],[IFC-Name]])</f>
        <v>18</v>
      </c>
      <c r="J63" s="7" t="s">
        <v>258</v>
      </c>
      <c r="K63" s="19">
        <f>LEN(Entity[[#This Row],[Klassen-Name]])</f>
        <v>18</v>
      </c>
      <c r="L63" s="7"/>
      <c r="M63" s="19" t="b">
        <f>IF(NOT(Entity[[#This Row],[Supertype]]),TRUE,AND(Entity[[#This Row],[Supertype]],Entity[[#This Row],[Subtype]]))</f>
        <v>1</v>
      </c>
      <c r="N63" s="28" t="s">
        <v>3190</v>
      </c>
      <c r="O63" s="29" t="s">
        <v>2079</v>
      </c>
    </row>
    <row r="64" spans="2:15" ht="20.100000000000001" customHeight="1" x14ac:dyDescent="0.25">
      <c r="B64" s="7" t="s">
        <v>261</v>
      </c>
      <c r="C64" s="7" t="str">
        <f>IF(Entity[[#This Row],[Link]]="","",HYPERLINK(HTMLDokuPath&amp;Entity[[#This Row],[Link]],"Doku"))</f>
        <v>Doku</v>
      </c>
      <c r="D64" s="6">
        <v>10</v>
      </c>
      <c r="E64" s="20" t="str">
        <f>IFERROR(IF(VLOOKUP(Entity[ID-Modul],Modul[],3,FALSE)=0,VLOOKUP(Entity[ID-Modul],Modul[],2,FALSE),VLOOKUP(Entity[ID-Modul],Modul[],3,FALSE)),"unbekannt")</f>
        <v>IfcElectricalDomain</v>
      </c>
      <c r="F64" s="21" t="b">
        <v>1</v>
      </c>
      <c r="G64" s="21" t="b">
        <v>0</v>
      </c>
      <c r="H64" s="22" t="s">
        <v>872</v>
      </c>
      <c r="I64" s="19">
        <f>LEN(Entity[[#This Row],[IFC-Name]])</f>
        <v>11</v>
      </c>
      <c r="J64" s="7" t="s">
        <v>261</v>
      </c>
      <c r="K64" s="19">
        <f>LEN(Entity[[#This Row],[Klassen-Name]])</f>
        <v>11</v>
      </c>
      <c r="L64" s="7"/>
      <c r="M64" s="19" t="b">
        <f>IF(NOT(Entity[[#This Row],[Supertype]]),TRUE,AND(Entity[[#This Row],[Supertype]],Entity[[#This Row],[Subtype]]))</f>
        <v>1</v>
      </c>
      <c r="N64" s="28" t="s">
        <v>3192</v>
      </c>
      <c r="O64" s="29" t="s">
        <v>2082</v>
      </c>
    </row>
    <row r="65" spans="2:15" ht="20.100000000000001" customHeight="1" x14ac:dyDescent="0.25">
      <c r="B65" s="7" t="s">
        <v>263</v>
      </c>
      <c r="C65" s="7" t="str">
        <f>IF(Entity[[#This Row],[Link]]="","",HYPERLINK(HTMLDokuPath&amp;Entity[[#This Row],[Link]],"Doku"))</f>
        <v>Doku</v>
      </c>
      <c r="D65" s="6">
        <v>10</v>
      </c>
      <c r="E65" s="20" t="str">
        <f>IFERROR(IF(VLOOKUP(Entity[ID-Modul],Modul[],3,FALSE)=0,VLOOKUP(Entity[ID-Modul],Modul[],2,FALSE),VLOOKUP(Entity[ID-Modul],Modul[],3,FALSE)),"unbekannt")</f>
        <v>IfcElectricalDomain</v>
      </c>
      <c r="F65" s="21" t="b">
        <v>1</v>
      </c>
      <c r="G65" s="21" t="b">
        <v>0</v>
      </c>
      <c r="H65" s="22" t="s">
        <v>876</v>
      </c>
      <c r="I65" s="19">
        <f>LEN(Entity[[#This Row],[IFC-Name]])</f>
        <v>19</v>
      </c>
      <c r="J65" s="7" t="s">
        <v>263</v>
      </c>
      <c r="K65" s="19">
        <f>LEN(Entity[[#This Row],[Klassen-Name]])</f>
        <v>19</v>
      </c>
      <c r="L65" s="7"/>
      <c r="M65" s="19" t="b">
        <f>IF(NOT(Entity[[#This Row],[Supertype]]),TRUE,AND(Entity[[#This Row],[Supertype]],Entity[[#This Row],[Subtype]]))</f>
        <v>1</v>
      </c>
      <c r="N65" s="28" t="s">
        <v>3196</v>
      </c>
      <c r="O65" s="29" t="s">
        <v>2086</v>
      </c>
    </row>
    <row r="66" spans="2:15" ht="20.100000000000001" customHeight="1" x14ac:dyDescent="0.25">
      <c r="B66" s="7" t="s">
        <v>286</v>
      </c>
      <c r="C66" s="7" t="str">
        <f>IF(Entity[[#This Row],[Link]]="","",HYPERLINK(HTMLDokuPath&amp;Entity[[#This Row],[Link]],"Doku"))</f>
        <v>Doku</v>
      </c>
      <c r="D66" s="6">
        <v>10</v>
      </c>
      <c r="E66" s="20" t="str">
        <f>IFERROR(IF(VLOOKUP(Entity[ID-Modul],Modul[],3,FALSE)=0,VLOOKUP(Entity[ID-Modul],Modul[],2,FALSE),VLOOKUP(Entity[ID-Modul],Modul[],3,FALSE)),"unbekannt")</f>
        <v>IfcElectricalDomain</v>
      </c>
      <c r="F66" s="21" t="b">
        <v>1</v>
      </c>
      <c r="G66" s="21" t="b">
        <v>0</v>
      </c>
      <c r="H66" s="22" t="s">
        <v>903</v>
      </c>
      <c r="I66" s="19">
        <f>LEN(Entity[[#This Row],[IFC-Name]])</f>
        <v>22</v>
      </c>
      <c r="J66" s="7" t="s">
        <v>286</v>
      </c>
      <c r="K66" s="19">
        <f>LEN(Entity[[#This Row],[Klassen-Name]])</f>
        <v>22</v>
      </c>
      <c r="L66" s="7"/>
      <c r="M66" s="19" t="b">
        <f>IF(NOT(Entity[[#This Row],[Supertype]]),TRUE,AND(Entity[[#This Row],[Supertype]],Entity[[#This Row],[Subtype]]))</f>
        <v>1</v>
      </c>
      <c r="N66" s="28" t="s">
        <v>3230</v>
      </c>
      <c r="O66" s="29" t="s">
        <v>2119</v>
      </c>
    </row>
    <row r="67" spans="2:15" ht="20.100000000000001" customHeight="1" x14ac:dyDescent="0.25">
      <c r="B67" s="7" t="s">
        <v>302</v>
      </c>
      <c r="C67" s="7" t="str">
        <f>IF(Entity[[#This Row],[Link]]="","",HYPERLINK(HTMLDokuPath&amp;Entity[[#This Row],[Link]],"Doku"))</f>
        <v>Doku</v>
      </c>
      <c r="D67" s="6">
        <v>10</v>
      </c>
      <c r="E67" s="20" t="str">
        <f>IFERROR(IF(VLOOKUP(Entity[ID-Modul],Modul[],3,FALSE)=0,VLOOKUP(Entity[ID-Modul],Modul[],2,FALSE),VLOOKUP(Entity[ID-Modul],Modul[],3,FALSE)),"unbekannt")</f>
        <v>IfcElectricalDomain</v>
      </c>
      <c r="F67" s="21" t="b">
        <v>1</v>
      </c>
      <c r="G67" s="21" t="b">
        <v>0</v>
      </c>
      <c r="H67" s="22" t="s">
        <v>916</v>
      </c>
      <c r="I67" s="19">
        <f>LEN(Entity[[#This Row],[IFC-Name]])</f>
        <v>13</v>
      </c>
      <c r="J67" s="7" t="s">
        <v>302</v>
      </c>
      <c r="K67" s="19">
        <f>LEN(Entity[[#This Row],[Klassen-Name]])</f>
        <v>13</v>
      </c>
      <c r="L67" s="7"/>
      <c r="M67" s="19" t="b">
        <f>IF(NOT(Entity[[#This Row],[Supertype]]),TRUE,AND(Entity[[#This Row],[Supertype]],Entity[[#This Row],[Subtype]]))</f>
        <v>1</v>
      </c>
      <c r="N67" s="28" t="s">
        <v>3248</v>
      </c>
      <c r="O67" s="29" t="s">
        <v>2137</v>
      </c>
    </row>
    <row r="68" spans="2:15" ht="20.100000000000001" customHeight="1" x14ac:dyDescent="0.25">
      <c r="B68" s="7" t="s">
        <v>363</v>
      </c>
      <c r="C68" s="7" t="str">
        <f>IF(Entity[[#This Row],[Link]]="","",HYPERLINK(HTMLDokuPath&amp;Entity[[#This Row],[Link]],"Doku"))</f>
        <v>Doku</v>
      </c>
      <c r="D68" s="6">
        <v>10</v>
      </c>
      <c r="E68" s="20" t="str">
        <f>IFERROR(IF(VLOOKUP(Entity[ID-Modul],Modul[],3,FALSE)=0,VLOOKUP(Entity[ID-Modul],Modul[],2,FALSE),VLOOKUP(Entity[ID-Modul],Modul[],3,FALSE)),"unbekannt")</f>
        <v>IfcElectricalDomain</v>
      </c>
      <c r="F68" s="21" t="b">
        <v>1</v>
      </c>
      <c r="G68" s="21" t="b">
        <v>0</v>
      </c>
      <c r="H68" s="22" t="s">
        <v>962</v>
      </c>
      <c r="I68" s="19">
        <f>LEN(Entity[[#This Row],[IFC-Name]])</f>
        <v>23</v>
      </c>
      <c r="J68" s="7" t="s">
        <v>363</v>
      </c>
      <c r="K68" s="19">
        <f>LEN(Entity[[#This Row],[Klassen-Name]])</f>
        <v>23</v>
      </c>
      <c r="L68" s="7"/>
      <c r="M68" s="19" t="b">
        <f>IF(NOT(Entity[[#This Row],[Supertype]]),TRUE,AND(Entity[[#This Row],[Supertype]],Entity[[#This Row],[Subtype]]))</f>
        <v>1</v>
      </c>
      <c r="N68" s="28" t="s">
        <v>3316</v>
      </c>
      <c r="O68" s="29" t="s">
        <v>2205</v>
      </c>
    </row>
    <row r="69" spans="2:15" ht="20.100000000000001" customHeight="1" x14ac:dyDescent="0.25">
      <c r="B69" s="7" t="s">
        <v>531</v>
      </c>
      <c r="C69" s="7" t="str">
        <f>IF(Entity[[#This Row],[Link]]="","",HYPERLINK(HTMLDokuPath&amp;Entity[[#This Row],[Link]],"Doku"))</f>
        <v>Doku</v>
      </c>
      <c r="D69" s="6">
        <v>10</v>
      </c>
      <c r="E69" s="20" t="str">
        <f>IFERROR(IF(VLOOKUP(Entity[ID-Modul],Modul[],3,FALSE)=0,VLOOKUP(Entity[ID-Modul],Modul[],2,FALSE),VLOOKUP(Entity[ID-Modul],Modul[],3,FALSE)),"unbekannt")</f>
        <v>IfcElectricalDomain</v>
      </c>
      <c r="F69" s="21" t="b">
        <v>1</v>
      </c>
      <c r="G69" s="21" t="b">
        <v>0</v>
      </c>
      <c r="H69" s="22" t="s">
        <v>1094</v>
      </c>
      <c r="I69" s="19">
        <f>LEN(Entity[[#This Row],[IFC-Name]])</f>
        <v>22</v>
      </c>
      <c r="J69" s="7" t="s">
        <v>531</v>
      </c>
      <c r="K69" s="19">
        <f>LEN(Entity[[#This Row],[Klassen-Name]])</f>
        <v>22</v>
      </c>
      <c r="L69" s="7"/>
      <c r="M69" s="19" t="b">
        <f>IF(NOT(Entity[[#This Row],[Supertype]]),TRUE,AND(Entity[[#This Row],[Supertype]],Entity[[#This Row],[Subtype]]))</f>
        <v>1</v>
      </c>
      <c r="N69" s="28" t="s">
        <v>3494</v>
      </c>
      <c r="O69" s="29" t="s">
        <v>2383</v>
      </c>
    </row>
    <row r="70" spans="2:15" ht="20.100000000000001" customHeight="1" x14ac:dyDescent="0.25">
      <c r="B70" s="7" t="s">
        <v>554</v>
      </c>
      <c r="C70" s="7" t="str">
        <f>IF(Entity[[#This Row],[Link]]="","",HYPERLINK(HTMLDokuPath&amp;Entity[[#This Row],[Link]],"Doku"))</f>
        <v>Doku</v>
      </c>
      <c r="D70" s="6">
        <v>10</v>
      </c>
      <c r="E70" s="20" t="str">
        <f>IFERROR(IF(VLOOKUP(Entity[ID-Modul],Modul[],3,FALSE)=0,VLOOKUP(Entity[ID-Modul],Modul[],2,FALSE),VLOOKUP(Entity[ID-Modul],Modul[],3,FALSE)),"unbekannt")</f>
        <v>IfcElectricalDomain</v>
      </c>
      <c r="F70" s="21" t="b">
        <v>1</v>
      </c>
      <c r="G70" s="21" t="b">
        <v>0</v>
      </c>
      <c r="H70" s="22" t="s">
        <v>1118</v>
      </c>
      <c r="I70" s="19">
        <f>LEN(Entity[[#This Row],[IFC-Name]])</f>
        <v>18</v>
      </c>
      <c r="J70" s="7" t="s">
        <v>554</v>
      </c>
      <c r="K70" s="19">
        <f>LEN(Entity[[#This Row],[Klassen-Name]])</f>
        <v>18</v>
      </c>
      <c r="L70" s="7"/>
      <c r="M70" s="19" t="b">
        <f>IF(NOT(Entity[[#This Row],[Supertype]]),TRUE,AND(Entity[[#This Row],[Supertype]],Entity[[#This Row],[Subtype]]))</f>
        <v>1</v>
      </c>
      <c r="N70" s="28" t="s">
        <v>3524</v>
      </c>
      <c r="O70" s="29" t="s">
        <v>2414</v>
      </c>
    </row>
    <row r="71" spans="2:15" ht="20.100000000000001" customHeight="1" x14ac:dyDescent="0.25">
      <c r="B71" s="7" t="s">
        <v>597</v>
      </c>
      <c r="C71" s="7" t="str">
        <f>IF(Entity[[#This Row],[Link]]="","",HYPERLINK(HTMLDokuPath&amp;Entity[[#This Row],[Link]],"Doku"))</f>
        <v>Doku</v>
      </c>
      <c r="D71" s="6">
        <v>11</v>
      </c>
      <c r="E71" s="20" t="str">
        <f>IFERROR(IF(VLOOKUP(Entity[ID-Modul],Modul[],3,FALSE)=0,VLOOKUP(Entity[ID-Modul],Modul[],2,FALSE),VLOOKUP(Entity[ID-Modul],Modul[],3,FALSE)),"unbekannt")</f>
        <v>IfcExternalReferenceResource</v>
      </c>
      <c r="F71" s="21" t="b">
        <v>0</v>
      </c>
      <c r="G71" s="21" t="b">
        <v>0</v>
      </c>
      <c r="H71" s="22" t="s">
        <v>717</v>
      </c>
      <c r="I71" s="19">
        <f>LEN(Entity[[#This Row],[IFC-Name]])</f>
        <v>17</v>
      </c>
      <c r="J71" s="7" t="s">
        <v>597</v>
      </c>
      <c r="K71" s="19">
        <f>LEN(Entity[[#This Row],[Klassen-Name]])</f>
        <v>17</v>
      </c>
      <c r="L71" s="7"/>
      <c r="M71" s="19" t="b">
        <f>IF(NOT(Entity[[#This Row],[Supertype]]),TRUE,AND(Entity[[#This Row],[Supertype]],Entity[[#This Row],[Subtype]]))</f>
        <v>1</v>
      </c>
      <c r="N71" s="28" t="s">
        <v>2984</v>
      </c>
      <c r="O71" s="29" t="s">
        <v>1874</v>
      </c>
    </row>
    <row r="72" spans="2:15" ht="20.100000000000001" customHeight="1" x14ac:dyDescent="0.25">
      <c r="B72" s="7" t="s">
        <v>598</v>
      </c>
      <c r="C72" s="7" t="str">
        <f>IF(Entity[[#This Row],[Link]]="","",HYPERLINK(HTMLDokuPath&amp;Entity[[#This Row],[Link]],"Doku"))</f>
        <v>Doku</v>
      </c>
      <c r="D72" s="6">
        <v>11</v>
      </c>
      <c r="E72" s="20" t="str">
        <f>IFERROR(IF(VLOOKUP(Entity[ID-Modul],Modul[],3,FALSE)=0,VLOOKUP(Entity[ID-Modul],Modul[],2,FALSE),VLOOKUP(Entity[ID-Modul],Modul[],3,FALSE)),"unbekannt")</f>
        <v>IfcExternalReferenceResource</v>
      </c>
      <c r="F72" s="21" t="b">
        <v>0</v>
      </c>
      <c r="G72" s="21" t="b">
        <v>0</v>
      </c>
      <c r="H72" s="22" t="s">
        <v>718</v>
      </c>
      <c r="I72" s="19">
        <f>LEN(Entity[[#This Row],[IFC-Name]])</f>
        <v>21</v>
      </c>
      <c r="J72" s="7" t="s">
        <v>598</v>
      </c>
      <c r="K72" s="19">
        <f>LEN(Entity[[#This Row],[Klassen-Name]])</f>
        <v>21</v>
      </c>
      <c r="L72" s="7"/>
      <c r="M72" s="19" t="b">
        <f>IF(NOT(Entity[[#This Row],[Supertype]]),TRUE,AND(Entity[[#This Row],[Supertype]],Entity[[#This Row],[Subtype]]))</f>
        <v>1</v>
      </c>
      <c r="N72" s="28" t="s">
        <v>2985</v>
      </c>
      <c r="O72" s="29" t="s">
        <v>1875</v>
      </c>
    </row>
    <row r="73" spans="2:15" ht="20.100000000000001" customHeight="1" x14ac:dyDescent="0.25">
      <c r="B73" s="7" t="s">
        <v>599</v>
      </c>
      <c r="C73" s="7" t="str">
        <f>IF(Entity[[#This Row],[Link]]="","",HYPERLINK(HTMLDokuPath&amp;Entity[[#This Row],[Link]],"Doku"))</f>
        <v>Doku</v>
      </c>
      <c r="D73" s="6">
        <v>11</v>
      </c>
      <c r="E73" s="20" t="str">
        <f>IFERROR(IF(VLOOKUP(Entity[ID-Modul],Modul[],3,FALSE)=0,VLOOKUP(Entity[ID-Modul],Modul[],2,FALSE),VLOOKUP(Entity[ID-Modul],Modul[],3,FALSE)),"unbekannt")</f>
        <v>IfcExternalReferenceResource</v>
      </c>
      <c r="F73" s="21" t="b">
        <v>0</v>
      </c>
      <c r="G73" s="21" t="b">
        <v>0</v>
      </c>
      <c r="H73" s="22" t="s">
        <v>719</v>
      </c>
      <c r="I73" s="19">
        <f>LEN(Entity[[#This Row],[IFC-Name]])</f>
        <v>33</v>
      </c>
      <c r="J73" s="1" t="s">
        <v>2866</v>
      </c>
      <c r="K73" s="19">
        <f>LEN(Entity[[#This Row],[Klassen-Name]])</f>
        <v>24</v>
      </c>
      <c r="L73" s="7"/>
      <c r="M73" s="19" t="b">
        <f>IF(NOT(Entity[[#This Row],[Supertype]]),TRUE,AND(Entity[[#This Row],[Supertype]],Entity[[#This Row],[Subtype]]))</f>
        <v>1</v>
      </c>
      <c r="N73" s="28" t="s">
        <v>2986</v>
      </c>
      <c r="O73" s="29" t="s">
        <v>1876</v>
      </c>
    </row>
    <row r="74" spans="2:15" ht="20.100000000000001" customHeight="1" x14ac:dyDescent="0.25">
      <c r="B74" s="7" t="s">
        <v>600</v>
      </c>
      <c r="C74" s="7" t="str">
        <f>IF(Entity[[#This Row],[Link]]="","",HYPERLINK(HTMLDokuPath&amp;Entity[[#This Row],[Link]],"Doku"))</f>
        <v>Doku</v>
      </c>
      <c r="D74" s="6">
        <v>11</v>
      </c>
      <c r="E74" s="20" t="str">
        <f>IFERROR(IF(VLOOKUP(Entity[ID-Modul],Modul[],3,FALSE)=0,VLOOKUP(Entity[ID-Modul],Modul[],2,FALSE),VLOOKUP(Entity[ID-Modul],Modul[],3,FALSE)),"unbekannt")</f>
        <v>IfcExternalReferenceResource</v>
      </c>
      <c r="F74" s="21" t="b">
        <v>0</v>
      </c>
      <c r="G74" s="21" t="b">
        <v>0</v>
      </c>
      <c r="H74" s="22" t="s">
        <v>720</v>
      </c>
      <c r="I74" s="19">
        <f>LEN(Entity[[#This Row],[IFC-Name]])</f>
        <v>25</v>
      </c>
      <c r="J74" s="7" t="s">
        <v>600</v>
      </c>
      <c r="K74" s="19">
        <f>LEN(Entity[[#This Row],[Klassen-Name]])</f>
        <v>25</v>
      </c>
      <c r="L74" s="7"/>
      <c r="M74" s="19" t="b">
        <f>IF(NOT(Entity[[#This Row],[Supertype]]),TRUE,AND(Entity[[#This Row],[Supertype]],Entity[[#This Row],[Subtype]]))</f>
        <v>1</v>
      </c>
      <c r="N74" s="28" t="s">
        <v>2987</v>
      </c>
      <c r="O74" s="29" t="s">
        <v>1877</v>
      </c>
    </row>
    <row r="75" spans="2:15" ht="20.100000000000001" customHeight="1" x14ac:dyDescent="0.25">
      <c r="B75" s="7" t="s">
        <v>601</v>
      </c>
      <c r="C75" s="7" t="str">
        <f>IF(Entity[[#This Row],[Link]]="","",HYPERLINK(HTMLDokuPath&amp;Entity[[#This Row],[Link]],"Doku"))</f>
        <v>Doku</v>
      </c>
      <c r="D75" s="6">
        <v>11</v>
      </c>
      <c r="E75" s="20" t="str">
        <f>IFERROR(IF(VLOOKUP(Entity[ID-Modul],Modul[],3,FALSE)=0,VLOOKUP(Entity[ID-Modul],Modul[],2,FALSE),VLOOKUP(Entity[ID-Modul],Modul[],3,FALSE)),"unbekannt")</f>
        <v>IfcExternalReferenceResource</v>
      </c>
      <c r="F75" s="21" t="b">
        <v>0</v>
      </c>
      <c r="G75" s="21" t="b">
        <v>0</v>
      </c>
      <c r="H75" s="22" t="s">
        <v>721</v>
      </c>
      <c r="I75" s="19">
        <f>LEN(Entity[[#This Row],[IFC-Name]])</f>
        <v>30</v>
      </c>
      <c r="J75" s="7" t="s">
        <v>601</v>
      </c>
      <c r="K75" s="19">
        <f>LEN(Entity[[#This Row],[Klassen-Name]])</f>
        <v>30</v>
      </c>
      <c r="L75" s="7"/>
      <c r="M75" s="19" t="b">
        <f>IF(NOT(Entity[[#This Row],[Supertype]]),TRUE,AND(Entity[[#This Row],[Supertype]],Entity[[#This Row],[Subtype]]))</f>
        <v>1</v>
      </c>
      <c r="N75" s="28" t="s">
        <v>2988</v>
      </c>
      <c r="O75" s="29" t="s">
        <v>1878</v>
      </c>
    </row>
    <row r="76" spans="2:15" ht="20.100000000000001" customHeight="1" x14ac:dyDescent="0.25">
      <c r="B76" s="7" t="s">
        <v>75</v>
      </c>
      <c r="C76" s="7" t="str">
        <f>IF(Entity[[#This Row],[Link]]="","",HYPERLINK(HTMLDokuPath&amp;Entity[[#This Row],[Link]],"Doku"))</f>
        <v>Doku</v>
      </c>
      <c r="D76" s="6">
        <v>11</v>
      </c>
      <c r="E76" s="20" t="str">
        <f>IFERROR(IF(VLOOKUP(Entity[ID-Modul],Modul[],3,FALSE)=0,VLOOKUP(Entity[ID-Modul],Modul[],2,FALSE),VLOOKUP(Entity[ID-Modul],Modul[],3,FALSE)),"unbekannt")</f>
        <v>IfcExternalReferenceResource</v>
      </c>
      <c r="F76" s="21" t="b">
        <v>1</v>
      </c>
      <c r="G76" s="21" t="b">
        <v>0</v>
      </c>
      <c r="H76" s="22" t="s">
        <v>722</v>
      </c>
      <c r="I76" s="19">
        <f>LEN(Entity[[#This Row],[IFC-Name]])</f>
        <v>26</v>
      </c>
      <c r="J76" s="7" t="s">
        <v>75</v>
      </c>
      <c r="K76" s="19">
        <f>LEN(Entity[[#This Row],[Klassen-Name]])</f>
        <v>26</v>
      </c>
      <c r="L76" s="7"/>
      <c r="M76" s="19" t="b">
        <f>IF(NOT(Entity[[#This Row],[Supertype]]),TRUE,AND(Entity[[#This Row],[Supertype]],Entity[[#This Row],[Subtype]]))</f>
        <v>1</v>
      </c>
      <c r="N76" s="28" t="s">
        <v>2989</v>
      </c>
      <c r="O76" s="29" t="s">
        <v>1879</v>
      </c>
    </row>
    <row r="77" spans="2:15" ht="20.100000000000001" customHeight="1" x14ac:dyDescent="0.25">
      <c r="B77" s="7" t="s">
        <v>614</v>
      </c>
      <c r="C77" s="7" t="str">
        <f>IF(Entity[[#This Row],[Link]]="","",HYPERLINK(HTMLDokuPath&amp;Entity[[#This Row],[Link]],"Doku"))</f>
        <v>Doku</v>
      </c>
      <c r="D77" s="6">
        <v>11</v>
      </c>
      <c r="E77" s="20" t="str">
        <f>IFERROR(IF(VLOOKUP(Entity[ID-Modul],Modul[],3,FALSE)=0,VLOOKUP(Entity[ID-Modul],Modul[],2,FALSE),VLOOKUP(Entity[ID-Modul],Modul[],3,FALSE)),"unbekannt")</f>
        <v>IfcExternalReferenceResource</v>
      </c>
      <c r="F77" s="21" t="b">
        <v>0</v>
      </c>
      <c r="G77" s="21" t="b">
        <v>0</v>
      </c>
      <c r="H77" s="22" t="s">
        <v>786</v>
      </c>
      <c r="I77" s="19">
        <f>LEN(Entity[[#This Row],[IFC-Name]])</f>
        <v>27</v>
      </c>
      <c r="J77" s="7" t="s">
        <v>614</v>
      </c>
      <c r="K77" s="19">
        <f>LEN(Entity[[#This Row],[Klassen-Name]])</f>
        <v>27</v>
      </c>
      <c r="L77" s="7"/>
      <c r="M77" s="19" t="b">
        <f>IF(NOT(Entity[[#This Row],[Supertype]]),TRUE,AND(Entity[[#This Row],[Supertype]],Entity[[#This Row],[Subtype]]))</f>
        <v>1</v>
      </c>
      <c r="N77" s="28" t="s">
        <v>3072</v>
      </c>
      <c r="O77" s="29" t="s">
        <v>1961</v>
      </c>
    </row>
    <row r="78" spans="2:15" ht="20.100000000000001" customHeight="1" x14ac:dyDescent="0.25">
      <c r="B78" s="7" t="s">
        <v>615</v>
      </c>
      <c r="C78" s="7" t="str">
        <f>IF(Entity[[#This Row],[Link]]="","",HYPERLINK(HTMLDokuPath&amp;Entity[[#This Row],[Link]],"Doku"))</f>
        <v>Doku</v>
      </c>
      <c r="D78" s="6">
        <v>11</v>
      </c>
      <c r="E78" s="20" t="str">
        <f>IFERROR(IF(VLOOKUP(Entity[ID-Modul],Modul[],3,FALSE)=0,VLOOKUP(Entity[ID-Modul],Modul[],2,FALSE),VLOOKUP(Entity[ID-Modul],Modul[],3,FALSE)),"unbekannt")</f>
        <v>IfcExternalReferenceResource</v>
      </c>
      <c r="F78" s="21" t="b">
        <v>0</v>
      </c>
      <c r="G78" s="21" t="b">
        <v>0</v>
      </c>
      <c r="H78" s="22" t="s">
        <v>787</v>
      </c>
      <c r="I78" s="19">
        <f>LEN(Entity[[#This Row],[IFC-Name]])</f>
        <v>22</v>
      </c>
      <c r="J78" s="7" t="s">
        <v>615</v>
      </c>
      <c r="K78" s="19">
        <f>LEN(Entity[[#This Row],[Klassen-Name]])</f>
        <v>22</v>
      </c>
      <c r="L78" s="7"/>
      <c r="M78" s="19" t="b">
        <f>IF(NOT(Entity[[#This Row],[Supertype]]),TRUE,AND(Entity[[#This Row],[Supertype]],Entity[[#This Row],[Subtype]]))</f>
        <v>1</v>
      </c>
      <c r="N78" s="28" t="s">
        <v>3073</v>
      </c>
      <c r="O78" s="29" t="s">
        <v>1962</v>
      </c>
    </row>
    <row r="79" spans="2:15" ht="20.100000000000001" customHeight="1" x14ac:dyDescent="0.25">
      <c r="B79" s="7" t="s">
        <v>616</v>
      </c>
      <c r="C79" s="7" t="str">
        <f>IF(Entity[[#This Row],[Link]]="","",HYPERLINK(HTMLDokuPath&amp;Entity[[#This Row],[Link]],"Doku"))</f>
        <v>Doku</v>
      </c>
      <c r="D79" s="6">
        <v>11</v>
      </c>
      <c r="E79" s="20" t="str">
        <f>IFERROR(IF(VLOOKUP(Entity[ID-Modul],Modul[],3,FALSE)=0,VLOOKUP(Entity[ID-Modul],Modul[],2,FALSE),VLOOKUP(Entity[ID-Modul],Modul[],3,FALSE)),"unbekannt")</f>
        <v>IfcExternalReferenceResource</v>
      </c>
      <c r="F79" s="21" t="b">
        <v>0</v>
      </c>
      <c r="G79" s="21" t="b">
        <v>0</v>
      </c>
      <c r="H79" s="22" t="s">
        <v>788</v>
      </c>
      <c r="I79" s="19">
        <f>LEN(Entity[[#This Row],[IFC-Name]])</f>
        <v>34</v>
      </c>
      <c r="J79" s="1" t="s">
        <v>2867</v>
      </c>
      <c r="K79" s="19">
        <f>LEN(Entity[[#This Row],[Klassen-Name]])</f>
        <v>25</v>
      </c>
      <c r="L79" s="7"/>
      <c r="M79" s="19" t="b">
        <f>IF(NOT(Entity[[#This Row],[Supertype]]),TRUE,AND(Entity[[#This Row],[Supertype]],Entity[[#This Row],[Subtype]]))</f>
        <v>1</v>
      </c>
      <c r="N79" s="28" t="s">
        <v>3074</v>
      </c>
      <c r="O79" s="29" t="s">
        <v>1963</v>
      </c>
    </row>
    <row r="80" spans="2:15" ht="20.100000000000001" customHeight="1" x14ac:dyDescent="0.25">
      <c r="B80" s="7" t="s">
        <v>145</v>
      </c>
      <c r="C80" s="7" t="str">
        <f>IF(Entity[[#This Row],[Link]]="","",HYPERLINK(HTMLDokuPath&amp;Entity[[#This Row],[Link]],"Doku"))</f>
        <v>Doku</v>
      </c>
      <c r="D80" s="6">
        <v>11</v>
      </c>
      <c r="E80" s="20" t="str">
        <f>IFERROR(IF(VLOOKUP(Entity[ID-Modul],Modul[],3,FALSE)=0,VLOOKUP(Entity[ID-Modul],Modul[],2,FALSE),VLOOKUP(Entity[ID-Modul],Modul[],3,FALSE)),"unbekannt")</f>
        <v>IfcExternalReferenceResource</v>
      </c>
      <c r="F80" s="21" t="b">
        <v>1</v>
      </c>
      <c r="G80" s="21" t="b">
        <v>0</v>
      </c>
      <c r="H80" s="22" t="s">
        <v>789</v>
      </c>
      <c r="I80" s="19">
        <f>LEN(Entity[[#This Row],[IFC-Name]])</f>
        <v>20</v>
      </c>
      <c r="J80" s="7" t="s">
        <v>145</v>
      </c>
      <c r="K80" s="19">
        <f>LEN(Entity[[#This Row],[Klassen-Name]])</f>
        <v>20</v>
      </c>
      <c r="L80" s="7"/>
      <c r="M80" s="19" t="b">
        <f>IF(NOT(Entity[[#This Row],[Supertype]]),TRUE,AND(Entity[[#This Row],[Supertype]],Entity[[#This Row],[Subtype]]))</f>
        <v>1</v>
      </c>
      <c r="N80" s="28" t="s">
        <v>3075</v>
      </c>
      <c r="O80" s="29" t="s">
        <v>1964</v>
      </c>
    </row>
    <row r="81" spans="2:15" ht="20.100000000000001" customHeight="1" x14ac:dyDescent="0.25">
      <c r="B81" s="7" t="s">
        <v>190</v>
      </c>
      <c r="C81" s="7" t="str">
        <f>IF(Entity[[#This Row],[Link]]="","",HYPERLINK(HTMLDokuPath&amp;Entity[[#This Row],[Link]],"Doku"))</f>
        <v>Doku</v>
      </c>
      <c r="D81" s="6">
        <v>11</v>
      </c>
      <c r="E81" s="20" t="str">
        <f>IFERROR(IF(VLOOKUP(Entity[ID-Modul],Modul[],3,FALSE)=0,VLOOKUP(Entity[ID-Modul],Modul[],2,FALSE),VLOOKUP(Entity[ID-Modul],Modul[],3,FALSE)),"unbekannt")</f>
        <v>IfcExternalReferenceResource</v>
      </c>
      <c r="F81" s="21" t="b">
        <v>0</v>
      </c>
      <c r="G81" s="21" t="b">
        <v>1</v>
      </c>
      <c r="H81" s="22" t="s">
        <v>1342</v>
      </c>
      <c r="I81" s="19">
        <f>LEN(Entity[[#This Row],[IFC-Name]])</f>
        <v>20</v>
      </c>
      <c r="J81" s="7" t="s">
        <v>2859</v>
      </c>
      <c r="K81" s="19">
        <f>LEN(Entity[[#This Row],[Klassen-Name]])</f>
        <v>0</v>
      </c>
      <c r="L81" s="7"/>
      <c r="M81" s="19" t="b">
        <f>IF(NOT(Entity[[#This Row],[Supertype]]),TRUE,AND(Entity[[#This Row],[Supertype]],Entity[[#This Row],[Subtype]]))</f>
        <v>0</v>
      </c>
      <c r="N81" s="28" t="s">
        <v>3124</v>
      </c>
      <c r="O81" s="29" t="s">
        <v>2009</v>
      </c>
    </row>
    <row r="82" spans="2:15" ht="20.100000000000001" customHeight="1" x14ac:dyDescent="0.25">
      <c r="B82" s="7" t="s">
        <v>619</v>
      </c>
      <c r="C82" s="7" t="str">
        <f>IF(Entity[[#This Row],[Link]]="","",HYPERLINK(HTMLDokuPath&amp;Entity[[#This Row],[Link]],"Doku"))</f>
        <v>Doku</v>
      </c>
      <c r="D82" s="6">
        <v>11</v>
      </c>
      <c r="E82" s="20" t="str">
        <f>IFERROR(IF(VLOOKUP(Entity[ID-Modul],Modul[],3,FALSE)=0,VLOOKUP(Entity[ID-Modul],Modul[],2,FALSE),VLOOKUP(Entity[ID-Modul],Modul[],3,FALSE)),"unbekannt")</f>
        <v>IfcExternalReferenceResource</v>
      </c>
      <c r="F82" s="21" t="b">
        <v>0</v>
      </c>
      <c r="G82" s="21" t="b">
        <v>0</v>
      </c>
      <c r="H82" s="22" t="s">
        <v>873</v>
      </c>
      <c r="I82" s="19">
        <f>LEN(Entity[[#This Row],[IFC-Name]])</f>
        <v>21</v>
      </c>
      <c r="J82" s="7" t="s">
        <v>619</v>
      </c>
      <c r="K82" s="19">
        <f>LEN(Entity[[#This Row],[Klassen-Name]])</f>
        <v>21</v>
      </c>
      <c r="L82" s="7"/>
      <c r="M82" s="19" t="b">
        <f>IF(NOT(Entity[[#This Row],[Supertype]]),TRUE,AND(Entity[[#This Row],[Supertype]],Entity[[#This Row],[Subtype]]))</f>
        <v>1</v>
      </c>
      <c r="N82" s="28" t="s">
        <v>3193</v>
      </c>
      <c r="O82" s="29" t="s">
        <v>2083</v>
      </c>
    </row>
    <row r="83" spans="2:15" ht="20.100000000000001" customHeight="1" x14ac:dyDescent="0.25">
      <c r="B83" s="7" t="s">
        <v>262</v>
      </c>
      <c r="C83" s="7" t="str">
        <f>IF(Entity[[#This Row],[Link]]="","",HYPERLINK(HTMLDokuPath&amp;Entity[[#This Row],[Link]],"Doku"))</f>
        <v>Doku</v>
      </c>
      <c r="D83" s="6">
        <v>11</v>
      </c>
      <c r="E83" s="20" t="str">
        <f>IFERROR(IF(VLOOKUP(Entity[ID-Modul],Modul[],3,FALSE)=0,VLOOKUP(Entity[ID-Modul],Modul[],2,FALSE),VLOOKUP(Entity[ID-Modul],Modul[],3,FALSE)),"unbekannt")</f>
        <v>IfcExternalReferenceResource</v>
      </c>
      <c r="F83" s="21" t="b">
        <v>1</v>
      </c>
      <c r="G83" s="21" t="b">
        <v>0</v>
      </c>
      <c r="H83" s="22" t="s">
        <v>874</v>
      </c>
      <c r="I83" s="19">
        <f>LEN(Entity[[#This Row],[IFC-Name]])</f>
        <v>19</v>
      </c>
      <c r="J83" s="7" t="s">
        <v>262</v>
      </c>
      <c r="K83" s="19">
        <f>LEN(Entity[[#This Row],[Klassen-Name]])</f>
        <v>19</v>
      </c>
      <c r="L83" s="7"/>
      <c r="M83" s="19" t="b">
        <f>IF(NOT(Entity[[#This Row],[Supertype]]),TRUE,AND(Entity[[#This Row],[Supertype]],Entity[[#This Row],[Subtype]]))</f>
        <v>1</v>
      </c>
      <c r="N83" s="28" t="s">
        <v>3194</v>
      </c>
      <c r="O83" s="29" t="s">
        <v>2084</v>
      </c>
    </row>
    <row r="84" spans="2:15" ht="20.100000000000001" customHeight="1" x14ac:dyDescent="0.25">
      <c r="B84" s="7" t="s">
        <v>6</v>
      </c>
      <c r="C84" s="7" t="str">
        <f>IF(Entity[[#This Row],[Link]]="","",HYPERLINK(HTMLDokuPath&amp;Entity[[#This Row],[Link]],"Doku"))</f>
        <v>Doku</v>
      </c>
      <c r="D84" s="6">
        <v>12</v>
      </c>
      <c r="E84" s="20" t="str">
        <f>IFERROR(IF(VLOOKUP(Entity[ID-Modul],Modul[],3,FALSE)=0,VLOOKUP(Entity[ID-Modul],Modul[],2,FALSE),VLOOKUP(Entity[ID-Modul],Modul[],3,FALSE)),"unbekannt")</f>
        <v>IfcFacilitiesMgmtDomain</v>
      </c>
      <c r="F84" s="21" t="b">
        <v>1</v>
      </c>
      <c r="G84" s="21" t="b">
        <v>0</v>
      </c>
      <c r="H84" s="22" t="s">
        <v>662</v>
      </c>
      <c r="I84" s="19">
        <f>LEN(Entity[[#This Row],[IFC-Name]])</f>
        <v>16</v>
      </c>
      <c r="J84" s="7" t="s">
        <v>6</v>
      </c>
      <c r="K84" s="19">
        <f>LEN(Entity[[#This Row],[Klassen-Name]])</f>
        <v>16</v>
      </c>
      <c r="L84" s="7"/>
      <c r="M84" s="19" t="b">
        <f>IF(NOT(Entity[[#This Row],[Supertype]]),TRUE,AND(Entity[[#This Row],[Supertype]],Entity[[#This Row],[Subtype]]))</f>
        <v>1</v>
      </c>
      <c r="N84" s="28" t="s">
        <v>2908</v>
      </c>
      <c r="O84" s="29" t="s">
        <v>1797</v>
      </c>
    </row>
    <row r="85" spans="2:15" ht="20.100000000000001" customHeight="1" x14ac:dyDescent="0.25">
      <c r="B85" s="7" t="s">
        <v>88</v>
      </c>
      <c r="C85" s="7" t="str">
        <f>IF(Entity[[#This Row],[Link]]="","",HYPERLINK(HTMLDokuPath&amp;Entity[[#This Row],[Link]],"Doku"))</f>
        <v>Doku</v>
      </c>
      <c r="D85" s="6">
        <v>12</v>
      </c>
      <c r="E85" s="20" t="str">
        <f>IFERROR(IF(VLOOKUP(Entity[ID-Modul],Modul[],3,FALSE)=0,VLOOKUP(Entity[ID-Modul],Modul[],2,FALSE),VLOOKUP(Entity[ID-Modul],Modul[],3,FALSE)),"unbekannt")</f>
        <v>IfcFacilitiesMgmtDomain</v>
      </c>
      <c r="F85" s="21" t="b">
        <v>1</v>
      </c>
      <c r="G85" s="21" t="b">
        <v>0</v>
      </c>
      <c r="H85" s="22" t="s">
        <v>733</v>
      </c>
      <c r="I85" s="19">
        <f>LEN(Entity[[#This Row],[IFC-Name]])</f>
        <v>12</v>
      </c>
      <c r="J85" s="7" t="s">
        <v>88</v>
      </c>
      <c r="K85" s="19">
        <f>LEN(Entity[[#This Row],[Klassen-Name]])</f>
        <v>12</v>
      </c>
      <c r="L85" s="7"/>
      <c r="M85" s="19" t="b">
        <f>IF(NOT(Entity[[#This Row],[Supertype]]),TRUE,AND(Entity[[#This Row],[Supertype]],Entity[[#This Row],[Subtype]]))</f>
        <v>1</v>
      </c>
      <c r="N85" s="28" t="s">
        <v>3002</v>
      </c>
      <c r="O85" s="29" t="s">
        <v>1892</v>
      </c>
    </row>
    <row r="86" spans="2:15" ht="20.100000000000001" customHeight="1" x14ac:dyDescent="0.25">
      <c r="B86" s="7" t="s">
        <v>89</v>
      </c>
      <c r="C86" s="7" t="str">
        <f>IF(Entity[[#This Row],[Link]]="","",HYPERLINK(HTMLDokuPath&amp;Entity[[#This Row],[Link]],"Doku"))</f>
        <v>Doku</v>
      </c>
      <c r="D86" s="6">
        <v>12</v>
      </c>
      <c r="E86" s="20" t="str">
        <f>IFERROR(IF(VLOOKUP(Entity[ID-Modul],Modul[],3,FALSE)=0,VLOOKUP(Entity[ID-Modul],Modul[],2,FALSE),VLOOKUP(Entity[ID-Modul],Modul[],3,FALSE)),"unbekannt")</f>
        <v>IfcFacilitiesMgmtDomain</v>
      </c>
      <c r="F86" s="21" t="b">
        <v>1</v>
      </c>
      <c r="G86" s="21" t="b">
        <v>0</v>
      </c>
      <c r="H86" s="22" t="s">
        <v>734</v>
      </c>
      <c r="I86" s="19">
        <f>LEN(Entity[[#This Row],[IFC-Name]])</f>
        <v>21</v>
      </c>
      <c r="J86" s="7" t="s">
        <v>89</v>
      </c>
      <c r="K86" s="19">
        <f>LEN(Entity[[#This Row],[Klassen-Name]])</f>
        <v>21</v>
      </c>
      <c r="L86" s="7"/>
      <c r="M86" s="19" t="b">
        <f>IF(NOT(Entity[[#This Row],[Supertype]]),TRUE,AND(Entity[[#This Row],[Supertype]],Entity[[#This Row],[Subtype]]))</f>
        <v>1</v>
      </c>
      <c r="N86" s="28" t="s">
        <v>3003</v>
      </c>
      <c r="O86" s="29" t="s">
        <v>1893</v>
      </c>
    </row>
    <row r="87" spans="2:15" ht="20.100000000000001" customHeight="1" x14ac:dyDescent="0.25">
      <c r="B87" s="7" t="s">
        <v>186</v>
      </c>
      <c r="C87" s="7" t="str">
        <f>IF(Entity[[#This Row],[Link]]="","",HYPERLINK(HTMLDokuPath&amp;Entity[[#This Row],[Link]],"Doku"))</f>
        <v>Doku</v>
      </c>
      <c r="D87" s="6">
        <v>12</v>
      </c>
      <c r="E87" s="20" t="str">
        <f>IFERROR(IF(VLOOKUP(Entity[ID-Modul],Modul[],3,FALSE)=0,VLOOKUP(Entity[ID-Modul],Modul[],2,FALSE),VLOOKUP(Entity[ID-Modul],Modul[],3,FALSE)),"unbekannt")</f>
        <v>IfcFacilitiesMgmtDomain</v>
      </c>
      <c r="F87" s="21" t="b">
        <v>1</v>
      </c>
      <c r="G87" s="21" t="b">
        <v>0</v>
      </c>
      <c r="H87" s="22" t="s">
        <v>819</v>
      </c>
      <c r="I87" s="19">
        <f>LEN(Entity[[#This Row],[IFC-Name]])</f>
        <v>20</v>
      </c>
      <c r="J87" s="7" t="s">
        <v>186</v>
      </c>
      <c r="K87" s="19">
        <f>LEN(Entity[[#This Row],[Klassen-Name]])</f>
        <v>20</v>
      </c>
      <c r="L87" s="7"/>
      <c r="M87" s="19" t="b">
        <f>IF(NOT(Entity[[#This Row],[Supertype]]),TRUE,AND(Entity[[#This Row],[Supertype]],Entity[[#This Row],[Subtype]]))</f>
        <v>1</v>
      </c>
      <c r="N87" s="28" t="s">
        <v>3116</v>
      </c>
      <c r="O87" s="29" t="s">
        <v>2005</v>
      </c>
    </row>
    <row r="88" spans="2:15" ht="20.100000000000001" customHeight="1" x14ac:dyDescent="0.25">
      <c r="B88" s="7" t="s">
        <v>237</v>
      </c>
      <c r="C88" s="7" t="str">
        <f>IF(Entity[[#This Row],[Link]]="","",HYPERLINK(HTMLDokuPath&amp;Entity[[#This Row],[Link]],"Doku"))</f>
        <v>Doku</v>
      </c>
      <c r="D88" s="6">
        <v>12</v>
      </c>
      <c r="E88" s="20" t="str">
        <f>IFERROR(IF(VLOOKUP(Entity[ID-Modul],Modul[],3,FALSE)=0,VLOOKUP(Entity[ID-Modul],Modul[],2,FALSE),VLOOKUP(Entity[ID-Modul],Modul[],3,FALSE)),"unbekannt")</f>
        <v>IfcFacilitiesMgmtDomain</v>
      </c>
      <c r="F88" s="21" t="b">
        <v>1</v>
      </c>
      <c r="G88" s="21" t="b">
        <v>0</v>
      </c>
      <c r="H88" s="22" t="s">
        <v>853</v>
      </c>
      <c r="I88" s="19">
        <f>LEN(Entity[[#This Row],[IFC-Name]])</f>
        <v>20</v>
      </c>
      <c r="J88" s="7" t="s">
        <v>237</v>
      </c>
      <c r="K88" s="19">
        <f>LEN(Entity[[#This Row],[Klassen-Name]])</f>
        <v>20</v>
      </c>
      <c r="L88" s="7"/>
      <c r="M88" s="19" t="b">
        <f>IF(NOT(Entity[[#This Row],[Supertype]]),TRUE,AND(Entity[[#This Row],[Supertype]],Entity[[#This Row],[Subtype]]))</f>
        <v>1</v>
      </c>
      <c r="N88" s="28" t="s">
        <v>3167</v>
      </c>
      <c r="O88" s="29" t="s">
        <v>2056</v>
      </c>
    </row>
    <row r="89" spans="2:15" ht="20.100000000000001" customHeight="1" x14ac:dyDescent="0.25">
      <c r="B89" s="7" t="s">
        <v>287</v>
      </c>
      <c r="C89" s="7" t="str">
        <f>IF(Entity[[#This Row],[Link]]="","",HYPERLINK(HTMLDokuPath&amp;Entity[[#This Row],[Link]],"Doku"))</f>
        <v>Doku</v>
      </c>
      <c r="D89" s="6">
        <v>12</v>
      </c>
      <c r="E89" s="20" t="str">
        <f>IFERROR(IF(VLOOKUP(Entity[ID-Modul],Modul[],3,FALSE)=0,VLOOKUP(Entity[ID-Modul],Modul[],2,FALSE),VLOOKUP(Entity[ID-Modul],Modul[],3,FALSE)),"unbekannt")</f>
        <v>IfcFacilitiesMgmtDomain</v>
      </c>
      <c r="F89" s="21" t="b">
        <v>1</v>
      </c>
      <c r="G89" s="21" t="b">
        <v>0</v>
      </c>
      <c r="H89" s="22" t="s">
        <v>904</v>
      </c>
      <c r="I89" s="19">
        <f>LEN(Entity[[#This Row],[IFC-Name]])</f>
        <v>7</v>
      </c>
      <c r="J89" s="7" t="s">
        <v>287</v>
      </c>
      <c r="K89" s="19">
        <f>LEN(Entity[[#This Row],[Klassen-Name]])</f>
        <v>7</v>
      </c>
      <c r="L89" s="7"/>
      <c r="M89" s="19" t="b">
        <f>IF(NOT(Entity[[#This Row],[Supertype]]),TRUE,AND(Entity[[#This Row],[Supertype]],Entity[[#This Row],[Subtype]]))</f>
        <v>1</v>
      </c>
      <c r="N89" s="28" t="s">
        <v>3231</v>
      </c>
      <c r="O89" s="29" t="s">
        <v>2120</v>
      </c>
    </row>
    <row r="90" spans="2:15" ht="20.100000000000001" customHeight="1" x14ac:dyDescent="0.25">
      <c r="B90" s="7" t="s">
        <v>300</v>
      </c>
      <c r="C90" s="7" t="str">
        <f>IF(Entity[[#This Row],[Link]]="","",HYPERLINK(HTMLDokuPath&amp;Entity[[#This Row],[Link]],"Doku"))</f>
        <v>Doku</v>
      </c>
      <c r="D90" s="6">
        <v>12</v>
      </c>
      <c r="E90" s="20" t="str">
        <f>IFERROR(IF(VLOOKUP(Entity[ID-Modul],Modul[],3,FALSE)=0,VLOOKUP(Entity[ID-Modul],Modul[],2,FALSE),VLOOKUP(Entity[ID-Modul],Modul[],3,FALSE)),"unbekannt")</f>
        <v>IfcFacilitiesMgmtDomain</v>
      </c>
      <c r="F90" s="21" t="b">
        <v>1</v>
      </c>
      <c r="G90" s="21" t="b">
        <v>0</v>
      </c>
      <c r="H90" s="22" t="s">
        <v>912</v>
      </c>
      <c r="I90" s="19">
        <f>LEN(Entity[[#This Row],[IFC-Name]])</f>
        <v>14</v>
      </c>
      <c r="J90" s="7" t="s">
        <v>300</v>
      </c>
      <c r="K90" s="19">
        <f>LEN(Entity[[#This Row],[Klassen-Name]])</f>
        <v>14</v>
      </c>
      <c r="L90" s="7"/>
      <c r="M90" s="19" t="b">
        <f>IF(NOT(Entity[[#This Row],[Supertype]]),TRUE,AND(Entity[[#This Row],[Supertype]],Entity[[#This Row],[Subtype]]))</f>
        <v>1</v>
      </c>
      <c r="N90" s="28" t="s">
        <v>3244</v>
      </c>
      <c r="O90" s="29" t="s">
        <v>2133</v>
      </c>
    </row>
    <row r="91" spans="2:15" ht="20.100000000000001" customHeight="1" x14ac:dyDescent="0.25">
      <c r="B91" s="7" t="s">
        <v>307</v>
      </c>
      <c r="C91" s="7" t="str">
        <f>IF(Entity[[#This Row],[Link]]="","",HYPERLINK(HTMLDokuPath&amp;Entity[[#This Row],[Link]],"Doku"))</f>
        <v>Doku</v>
      </c>
      <c r="D91" s="6">
        <v>12</v>
      </c>
      <c r="E91" s="20" t="str">
        <f>IFERROR(IF(VLOOKUP(Entity[ID-Modul],Modul[],3,FALSE)=0,VLOOKUP(Entity[ID-Modul],Modul[],2,FALSE),VLOOKUP(Entity[ID-Modul],Modul[],3,FALSE)),"unbekannt")</f>
        <v>IfcFacilitiesMgmtDomain</v>
      </c>
      <c r="F91" s="21" t="b">
        <v>1</v>
      </c>
      <c r="G91" s="21" t="b">
        <v>0</v>
      </c>
      <c r="H91" s="22" t="s">
        <v>921</v>
      </c>
      <c r="I91" s="19">
        <f>LEN(Entity[[#This Row],[IFC-Name]])</f>
        <v>9</v>
      </c>
      <c r="J91" s="7" t="s">
        <v>307</v>
      </c>
      <c r="K91" s="19">
        <f>LEN(Entity[[#This Row],[Klassen-Name]])</f>
        <v>9</v>
      </c>
      <c r="L91" s="7"/>
      <c r="M91" s="19" t="b">
        <f>IF(NOT(Entity[[#This Row],[Supertype]]),TRUE,AND(Entity[[#This Row],[Supertype]],Entity[[#This Row],[Subtype]]))</f>
        <v>1</v>
      </c>
      <c r="N91" s="28" t="s">
        <v>3254</v>
      </c>
      <c r="O91" s="29" t="s">
        <v>2143</v>
      </c>
    </row>
    <row r="92" spans="2:15" ht="20.100000000000001" customHeight="1" x14ac:dyDescent="0.25">
      <c r="B92" s="7" t="s">
        <v>92</v>
      </c>
      <c r="C92" s="7" t="str">
        <f>IF(Entity[[#This Row],[Link]]="","",HYPERLINK(HTMLDokuPath&amp;Entity[[#This Row],[Link]],"Doku"))</f>
        <v>Doku</v>
      </c>
      <c r="D92" s="6">
        <v>13</v>
      </c>
      <c r="E92" s="20" t="str">
        <f>IFERROR(IF(VLOOKUP(Entity[ID-Modul],Modul[],3,FALSE)=0,VLOOKUP(Entity[ID-Modul],Modul[],2,FALSE),VLOOKUP(Entity[ID-Modul],Modul[],3,FALSE)),"unbekannt")</f>
        <v>IfcGeometricConstraintResource</v>
      </c>
      <c r="F92" s="21" t="b">
        <v>1</v>
      </c>
      <c r="G92" s="21" t="b">
        <v>0</v>
      </c>
      <c r="H92" s="22" t="s">
        <v>735</v>
      </c>
      <c r="I92" s="19">
        <f>LEN(Entity[[#This Row],[IFC-Name]])</f>
        <v>26</v>
      </c>
      <c r="J92" s="7" t="s">
        <v>92</v>
      </c>
      <c r="K92" s="19">
        <f>LEN(Entity[[#This Row],[Klassen-Name]])</f>
        <v>26</v>
      </c>
      <c r="L92" s="7"/>
      <c r="M92" s="19" t="b">
        <f>IF(NOT(Entity[[#This Row],[Supertype]]),TRUE,AND(Entity[[#This Row],[Supertype]],Entity[[#This Row],[Subtype]]))</f>
        <v>1</v>
      </c>
      <c r="N92" s="28" t="s">
        <v>3006</v>
      </c>
      <c r="O92" s="29" t="s">
        <v>1896</v>
      </c>
    </row>
    <row r="93" spans="2:15" ht="20.100000000000001" customHeight="1" x14ac:dyDescent="0.25">
      <c r="B93" s="7" t="s">
        <v>93</v>
      </c>
      <c r="C93" s="7" t="str">
        <f>IF(Entity[[#This Row],[Link]]="","",HYPERLINK(HTMLDokuPath&amp;Entity[[#This Row],[Link]],"Doku"))</f>
        <v>Doku</v>
      </c>
      <c r="D93" s="6">
        <v>13</v>
      </c>
      <c r="E93" s="20" t="str">
        <f>IFERROR(IF(VLOOKUP(Entity[ID-Modul],Modul[],3,FALSE)=0,VLOOKUP(Entity[ID-Modul],Modul[],2,FALSE),VLOOKUP(Entity[ID-Modul],Modul[],3,FALSE)),"unbekannt")</f>
        <v>IfcGeometricConstraintResource</v>
      </c>
      <c r="F93" s="21" t="b">
        <v>0</v>
      </c>
      <c r="G93" s="21" t="b">
        <v>1</v>
      </c>
      <c r="H93" s="22" t="s">
        <v>1317</v>
      </c>
      <c r="I93" s="19">
        <f>LEN(Entity[[#This Row],[IFC-Name]])</f>
        <v>21</v>
      </c>
      <c r="J93" s="7" t="s">
        <v>2859</v>
      </c>
      <c r="K93" s="19">
        <f>LEN(Entity[[#This Row],[Klassen-Name]])</f>
        <v>0</v>
      </c>
      <c r="L93" s="7"/>
      <c r="M93" s="19" t="b">
        <f>IF(NOT(Entity[[#This Row],[Supertype]]),TRUE,AND(Entity[[#This Row],[Supertype]],Entity[[#This Row],[Subtype]]))</f>
        <v>0</v>
      </c>
      <c r="N93" s="28" t="s">
        <v>3007</v>
      </c>
      <c r="O93" s="29" t="s">
        <v>1897</v>
      </c>
    </row>
    <row r="94" spans="2:15" ht="20.100000000000001" customHeight="1" x14ac:dyDescent="0.25">
      <c r="B94" s="7" t="s">
        <v>94</v>
      </c>
      <c r="C94" s="7" t="str">
        <f>IF(Entity[[#This Row],[Link]]="","",HYPERLINK(HTMLDokuPath&amp;Entity[[#This Row],[Link]],"Doku"))</f>
        <v>Doku</v>
      </c>
      <c r="D94" s="6">
        <v>13</v>
      </c>
      <c r="E94" s="20" t="str">
        <f>IFERROR(IF(VLOOKUP(Entity[ID-Modul],Modul[],3,FALSE)=0,VLOOKUP(Entity[ID-Modul],Modul[],2,FALSE),VLOOKUP(Entity[ID-Modul],Modul[],3,FALSE)),"unbekannt")</f>
        <v>IfcGeometricConstraintResource</v>
      </c>
      <c r="F94" s="21" t="b">
        <v>1</v>
      </c>
      <c r="G94" s="21" t="b">
        <v>0</v>
      </c>
      <c r="H94" s="22" t="s">
        <v>736</v>
      </c>
      <c r="I94" s="19">
        <f>LEN(Entity[[#This Row],[IFC-Name]])</f>
        <v>30</v>
      </c>
      <c r="J94" s="7" t="s">
        <v>94</v>
      </c>
      <c r="K94" s="19">
        <f>LEN(Entity[[#This Row],[Klassen-Name]])</f>
        <v>30</v>
      </c>
      <c r="L94" s="7"/>
      <c r="M94" s="19" t="b">
        <f>IF(NOT(Entity[[#This Row],[Supertype]]),TRUE,AND(Entity[[#This Row],[Supertype]],Entity[[#This Row],[Subtype]]))</f>
        <v>1</v>
      </c>
      <c r="N94" s="28" t="s">
        <v>3008</v>
      </c>
      <c r="O94" s="29" t="s">
        <v>1898</v>
      </c>
    </row>
    <row r="95" spans="2:15" ht="20.100000000000001" customHeight="1" x14ac:dyDescent="0.25">
      <c r="B95" s="7" t="s">
        <v>95</v>
      </c>
      <c r="C95" s="7" t="str">
        <f>IF(Entity[[#This Row],[Link]]="","",HYPERLINK(HTMLDokuPath&amp;Entity[[#This Row],[Link]],"Doku"))</f>
        <v>Doku</v>
      </c>
      <c r="D95" s="6">
        <v>13</v>
      </c>
      <c r="E95" s="20" t="str">
        <f>IFERROR(IF(VLOOKUP(Entity[ID-Modul],Modul[],3,FALSE)=0,VLOOKUP(Entity[ID-Modul],Modul[],2,FALSE),VLOOKUP(Entity[ID-Modul],Modul[],3,FALSE)),"unbekannt")</f>
        <v>IfcGeometricConstraintResource</v>
      </c>
      <c r="F95" s="21" t="b">
        <v>1</v>
      </c>
      <c r="G95" s="21" t="b">
        <v>1</v>
      </c>
      <c r="H95" s="22" t="s">
        <v>1318</v>
      </c>
      <c r="I95" s="19">
        <f>LEN(Entity[[#This Row],[IFC-Name]])</f>
        <v>26</v>
      </c>
      <c r="J95" s="7" t="s">
        <v>95</v>
      </c>
      <c r="K95" s="19">
        <f>LEN(Entity[[#This Row],[Klassen-Name]])</f>
        <v>26</v>
      </c>
      <c r="L95" s="7"/>
      <c r="M95" s="19" t="b">
        <f>IF(NOT(Entity[[#This Row],[Supertype]]),TRUE,AND(Entity[[#This Row],[Supertype]],Entity[[#This Row],[Subtype]]))</f>
        <v>1</v>
      </c>
      <c r="N95" s="28" t="s">
        <v>3009</v>
      </c>
      <c r="O95" s="29" t="s">
        <v>1899</v>
      </c>
    </row>
    <row r="96" spans="2:15" ht="20.100000000000001" customHeight="1" x14ac:dyDescent="0.25">
      <c r="B96" s="7" t="s">
        <v>96</v>
      </c>
      <c r="C96" s="7" t="str">
        <f>IF(Entity[[#This Row],[Link]]="","",HYPERLINK(HTMLDokuPath&amp;Entity[[#This Row],[Link]],"Doku"))</f>
        <v>Doku</v>
      </c>
      <c r="D96" s="6">
        <v>13</v>
      </c>
      <c r="E96" s="20" t="str">
        <f>IFERROR(IF(VLOOKUP(Entity[ID-Modul],Modul[],3,FALSE)=0,VLOOKUP(Entity[ID-Modul],Modul[],2,FALSE),VLOOKUP(Entity[ID-Modul],Modul[],3,FALSE)),"unbekannt")</f>
        <v>IfcGeometricConstraintResource</v>
      </c>
      <c r="F96" s="21" t="b">
        <v>1</v>
      </c>
      <c r="G96" s="21" t="b">
        <v>0</v>
      </c>
      <c r="H96" s="22" t="s">
        <v>737</v>
      </c>
      <c r="I96" s="19">
        <f>LEN(Entity[[#This Row],[IFC-Name]])</f>
        <v>25</v>
      </c>
      <c r="J96" s="7" t="s">
        <v>96</v>
      </c>
      <c r="K96" s="19">
        <f>LEN(Entity[[#This Row],[Klassen-Name]])</f>
        <v>25</v>
      </c>
      <c r="L96" s="7"/>
      <c r="M96" s="19" t="b">
        <f>IF(NOT(Entity[[#This Row],[Supertype]]),TRUE,AND(Entity[[#This Row],[Supertype]],Entity[[#This Row],[Subtype]]))</f>
        <v>1</v>
      </c>
      <c r="N96" s="28" t="s">
        <v>3010</v>
      </c>
      <c r="O96" s="29" t="s">
        <v>1900</v>
      </c>
    </row>
    <row r="97" spans="2:15" ht="20.100000000000001" customHeight="1" x14ac:dyDescent="0.25">
      <c r="B97" s="7" t="s">
        <v>97</v>
      </c>
      <c r="C97" s="7" t="str">
        <f>IF(Entity[[#This Row],[Link]]="","",HYPERLINK(HTMLDokuPath&amp;Entity[[#This Row],[Link]],"Doku"))</f>
        <v>Doku</v>
      </c>
      <c r="D97" s="6">
        <v>13</v>
      </c>
      <c r="E97" s="20" t="str">
        <f>IFERROR(IF(VLOOKUP(Entity[ID-Modul],Modul[],3,FALSE)=0,VLOOKUP(Entity[ID-Modul],Modul[],2,FALSE),VLOOKUP(Entity[ID-Modul],Modul[],3,FALSE)),"unbekannt")</f>
        <v>IfcGeometricConstraintResource</v>
      </c>
      <c r="F97" s="21" t="b">
        <v>1</v>
      </c>
      <c r="G97" s="21" t="b">
        <v>0</v>
      </c>
      <c r="H97" s="22" t="s">
        <v>738</v>
      </c>
      <c r="I97" s="19">
        <f>LEN(Entity[[#This Row],[IFC-Name]])</f>
        <v>28</v>
      </c>
      <c r="J97" s="7" t="s">
        <v>97</v>
      </c>
      <c r="K97" s="19">
        <f>LEN(Entity[[#This Row],[Klassen-Name]])</f>
        <v>28</v>
      </c>
      <c r="L97" s="7"/>
      <c r="M97" s="19" t="b">
        <f>IF(NOT(Entity[[#This Row],[Supertype]]),TRUE,AND(Entity[[#This Row],[Supertype]],Entity[[#This Row],[Subtype]]))</f>
        <v>1</v>
      </c>
      <c r="N97" s="28" t="s">
        <v>3011</v>
      </c>
      <c r="O97" s="29" t="s">
        <v>1901</v>
      </c>
    </row>
    <row r="98" spans="2:15" ht="20.100000000000001" customHeight="1" x14ac:dyDescent="0.25">
      <c r="B98" s="7" t="s">
        <v>617</v>
      </c>
      <c r="C98" s="7" t="str">
        <f>IF(Entity[[#This Row],[Link]]="","",HYPERLINK(HTMLDokuPath&amp;Entity[[#This Row],[Link]],"Doku"))</f>
        <v>Doku</v>
      </c>
      <c r="D98" s="6">
        <v>13</v>
      </c>
      <c r="E98" s="20" t="str">
        <f>IFERROR(IF(VLOOKUP(Entity[ID-Modul],Modul[],3,FALSE)=0,VLOOKUP(Entity[ID-Modul],Modul[],2,FALSE),VLOOKUP(Entity[ID-Modul],Modul[],3,FALSE)),"unbekannt")</f>
        <v>IfcGeometricConstraintResource</v>
      </c>
      <c r="F98" s="21" t="b">
        <v>0</v>
      </c>
      <c r="G98" s="21" t="b">
        <v>0</v>
      </c>
      <c r="H98" s="22" t="s">
        <v>860</v>
      </c>
      <c r="I98" s="19">
        <f>LEN(Entity[[#This Row],[IFC-Name]])</f>
        <v>11</v>
      </c>
      <c r="J98" s="7" t="s">
        <v>617</v>
      </c>
      <c r="K98" s="19">
        <f>LEN(Entity[[#This Row],[Klassen-Name]])</f>
        <v>11</v>
      </c>
      <c r="L98" s="7"/>
      <c r="M98" s="19" t="b">
        <f>IF(NOT(Entity[[#This Row],[Supertype]]),TRUE,AND(Entity[[#This Row],[Supertype]],Entity[[#This Row],[Subtype]]))</f>
        <v>1</v>
      </c>
      <c r="N98" s="28" t="s">
        <v>3178</v>
      </c>
      <c r="O98" s="29" t="s">
        <v>2067</v>
      </c>
    </row>
    <row r="99" spans="2:15" ht="20.100000000000001" customHeight="1" x14ac:dyDescent="0.25">
      <c r="B99" s="7" t="s">
        <v>248</v>
      </c>
      <c r="C99" s="7" t="str">
        <f>IF(Entity[[#This Row],[Link]]="","",HYPERLINK(HTMLDokuPath&amp;Entity[[#This Row],[Link]],"Doku"))</f>
        <v>Doku</v>
      </c>
      <c r="D99" s="6">
        <v>13</v>
      </c>
      <c r="E99" s="20" t="str">
        <f>IFERROR(IF(VLOOKUP(Entity[ID-Modul],Modul[],3,FALSE)=0,VLOOKUP(Entity[ID-Modul],Modul[],2,FALSE),VLOOKUP(Entity[ID-Modul],Modul[],3,FALSE)),"unbekannt")</f>
        <v>IfcGeometricConstraintResource</v>
      </c>
      <c r="F99" s="21" t="b">
        <v>1</v>
      </c>
      <c r="G99" s="21" t="b">
        <v>0</v>
      </c>
      <c r="H99" s="22" t="s">
        <v>861</v>
      </c>
      <c r="I99" s="19">
        <f>LEN(Entity[[#This Row],[IFC-Name]])</f>
        <v>16</v>
      </c>
      <c r="J99" s="7" t="s">
        <v>248</v>
      </c>
      <c r="K99" s="19">
        <f>LEN(Entity[[#This Row],[Klassen-Name]])</f>
        <v>16</v>
      </c>
      <c r="L99" s="7"/>
      <c r="M99" s="19" t="b">
        <f>IF(NOT(Entity[[#This Row],[Supertype]]),TRUE,AND(Entity[[#This Row],[Supertype]],Entity[[#This Row],[Subtype]]))</f>
        <v>1</v>
      </c>
      <c r="N99" s="28" t="s">
        <v>3179</v>
      </c>
      <c r="O99" s="29" t="s">
        <v>2068</v>
      </c>
    </row>
    <row r="100" spans="2:15" ht="20.100000000000001" customHeight="1" x14ac:dyDescent="0.25">
      <c r="B100" s="7" t="s">
        <v>272</v>
      </c>
      <c r="C100" s="7" t="str">
        <f>IF(Entity[[#This Row],[Link]]="","",HYPERLINK(HTMLDokuPath&amp;Entity[[#This Row],[Link]],"Doku"))</f>
        <v>Doku</v>
      </c>
      <c r="D100" s="6">
        <v>13</v>
      </c>
      <c r="E100" s="20" t="str">
        <f>IFERROR(IF(VLOOKUP(Entity[ID-Modul],Modul[],3,FALSE)=0,VLOOKUP(Entity[ID-Modul],Modul[],2,FALSE),VLOOKUP(Entity[ID-Modul],Modul[],3,FALSE)),"unbekannt")</f>
        <v>IfcGeometricConstraintResource</v>
      </c>
      <c r="F100" s="21" t="b">
        <v>1</v>
      </c>
      <c r="G100" s="21" t="b">
        <v>0</v>
      </c>
      <c r="H100" s="22" t="s">
        <v>884</v>
      </c>
      <c r="I100" s="19">
        <f>LEN(Entity[[#This Row],[IFC-Name]])</f>
        <v>17</v>
      </c>
      <c r="J100" s="7" t="s">
        <v>272</v>
      </c>
      <c r="K100" s="19">
        <f>LEN(Entity[[#This Row],[Klassen-Name]])</f>
        <v>17</v>
      </c>
      <c r="L100" s="7"/>
      <c r="M100" s="19" t="b">
        <f>IF(NOT(Entity[[#This Row],[Supertype]]),TRUE,AND(Entity[[#This Row],[Supertype]],Entity[[#This Row],[Subtype]]))</f>
        <v>1</v>
      </c>
      <c r="N100" s="28" t="s">
        <v>3206</v>
      </c>
      <c r="O100" s="29" t="s">
        <v>2096</v>
      </c>
    </row>
    <row r="101" spans="2:15" ht="20.100000000000001" customHeight="1" x14ac:dyDescent="0.25">
      <c r="B101" s="7" t="s">
        <v>291</v>
      </c>
      <c r="C101" s="7" t="str">
        <f>IF(Entity[[#This Row],[Link]]="","",HYPERLINK(HTMLDokuPath&amp;Entity[[#This Row],[Link]],"Doku"))</f>
        <v>Doku</v>
      </c>
      <c r="D101" s="6">
        <v>13</v>
      </c>
      <c r="E101" s="20" t="str">
        <f>IFERROR(IF(VLOOKUP(Entity[ID-Modul],Modul[],3,FALSE)=0,VLOOKUP(Entity[ID-Modul],Modul[],2,FALSE),VLOOKUP(Entity[ID-Modul],Modul[],3,FALSE)),"unbekannt")</f>
        <v>IfcGeometricConstraintResource</v>
      </c>
      <c r="F101" s="21" t="b">
        <v>0</v>
      </c>
      <c r="G101" s="21" t="b">
        <v>1</v>
      </c>
      <c r="H101" s="22" t="s">
        <v>1375</v>
      </c>
      <c r="I101" s="19">
        <f>LEN(Entity[[#This Row],[IFC-Name]])</f>
        <v>18</v>
      </c>
      <c r="J101" s="7" t="s">
        <v>2859</v>
      </c>
      <c r="K101" s="19">
        <f>LEN(Entity[[#This Row],[Klassen-Name]])</f>
        <v>0</v>
      </c>
      <c r="L101" s="7"/>
      <c r="M101" s="19" t="b">
        <f>IF(NOT(Entity[[#This Row],[Supertype]]),TRUE,AND(Entity[[#This Row],[Supertype]],Entity[[#This Row],[Subtype]]))</f>
        <v>0</v>
      </c>
      <c r="N101" s="28" t="s">
        <v>3236</v>
      </c>
      <c r="O101" s="29" t="s">
        <v>2124</v>
      </c>
    </row>
    <row r="102" spans="2:15" ht="20.100000000000001" customHeight="1" x14ac:dyDescent="0.25">
      <c r="B102" s="7" t="s">
        <v>660</v>
      </c>
      <c r="C102" s="7" t="str">
        <f>IF(Entity[[#This Row],[Link]]="","",HYPERLINK(HTMLDokuPath&amp;Entity[[#This Row],[Link]],"Doku"))</f>
        <v>Doku</v>
      </c>
      <c r="D102" s="6">
        <v>13</v>
      </c>
      <c r="E102" s="20" t="str">
        <f>IFERROR(IF(VLOOKUP(Entity[ID-Modul],Modul[],3,FALSE)=0,VLOOKUP(Entity[ID-Modul],Modul[],2,FALSE),VLOOKUP(Entity[ID-Modul],Modul[],3,FALSE)),"unbekannt")</f>
        <v>IfcGeometricConstraintResource</v>
      </c>
      <c r="F102" s="21" t="b">
        <v>0</v>
      </c>
      <c r="G102" s="21" t="b">
        <v>0</v>
      </c>
      <c r="H102" s="22" t="s">
        <v>1135</v>
      </c>
      <c r="I102" s="19">
        <f>LEN(Entity[[#This Row],[IFC-Name]])</f>
        <v>26</v>
      </c>
      <c r="J102" s="7" t="s">
        <v>660</v>
      </c>
      <c r="K102" s="19">
        <f>LEN(Entity[[#This Row],[Klassen-Name]])</f>
        <v>26</v>
      </c>
      <c r="L102" s="7"/>
      <c r="M102" s="19" t="b">
        <f>IF(NOT(Entity[[#This Row],[Supertype]]),TRUE,AND(Entity[[#This Row],[Supertype]],Entity[[#This Row],[Subtype]]))</f>
        <v>1</v>
      </c>
      <c r="N102" s="28" t="s">
        <v>3545</v>
      </c>
      <c r="O102" s="29" t="s">
        <v>2434</v>
      </c>
    </row>
    <row r="103" spans="2:15" ht="20.100000000000001" customHeight="1" x14ac:dyDescent="0.25">
      <c r="B103" s="7" t="s">
        <v>38</v>
      </c>
      <c r="C103" s="7" t="str">
        <f>IF(Entity[[#This Row],[Link]]="","",HYPERLINK(HTMLDokuPath&amp;Entity[[#This Row],[Link]],"Doku"))</f>
        <v>Doku</v>
      </c>
      <c r="D103" s="6">
        <v>14</v>
      </c>
      <c r="E103" s="20" t="str">
        <f>IFERROR(IF(VLOOKUP(Entity[ID-Modul],Modul[],3,FALSE)=0,VLOOKUP(Entity[ID-Modul],Modul[],2,FALSE),VLOOKUP(Entity[ID-Modul],Modul[],3,FALSE)),"unbekannt")</f>
        <v>IfcGeometricModelResource</v>
      </c>
      <c r="F103" s="21" t="b">
        <v>1</v>
      </c>
      <c r="G103" s="21" t="b">
        <v>0</v>
      </c>
      <c r="H103" s="22" t="s">
        <v>691</v>
      </c>
      <c r="I103" s="19">
        <f>LEN(Entity[[#This Row],[IFC-Name]])</f>
        <v>8</v>
      </c>
      <c r="J103" s="7" t="s">
        <v>38</v>
      </c>
      <c r="K103" s="19">
        <f>LEN(Entity[[#This Row],[Klassen-Name]])</f>
        <v>8</v>
      </c>
      <c r="L103" s="7"/>
      <c r="M103" s="19" t="b">
        <f>IF(NOT(Entity[[#This Row],[Supertype]]),TRUE,AND(Entity[[#This Row],[Supertype]],Entity[[#This Row],[Subtype]]))</f>
        <v>1</v>
      </c>
      <c r="N103" s="28" t="s">
        <v>2946</v>
      </c>
      <c r="O103" s="29" t="s">
        <v>1836</v>
      </c>
    </row>
    <row r="104" spans="2:15" ht="20.100000000000001" customHeight="1" x14ac:dyDescent="0.25">
      <c r="B104" s="7" t="s">
        <v>40</v>
      </c>
      <c r="C104" s="7" t="str">
        <f>IF(Entity[[#This Row],[Link]]="","",HYPERLINK(HTMLDokuPath&amp;Entity[[#This Row],[Link]],"Doku"))</f>
        <v>Doku</v>
      </c>
      <c r="D104" s="6">
        <v>14</v>
      </c>
      <c r="E104" s="20" t="str">
        <f>IFERROR(IF(VLOOKUP(Entity[ID-Modul],Modul[],3,FALSE)=0,VLOOKUP(Entity[ID-Modul],Modul[],2,FALSE),VLOOKUP(Entity[ID-Modul],Modul[],3,FALSE)),"unbekannt")</f>
        <v>IfcGeometricModelResource</v>
      </c>
      <c r="F104" s="21" t="b">
        <v>1</v>
      </c>
      <c r="G104" s="21" t="b">
        <v>0</v>
      </c>
      <c r="H104" s="22" t="s">
        <v>693</v>
      </c>
      <c r="I104" s="19">
        <f>LEN(Entity[[#This Row],[IFC-Name]])</f>
        <v>24</v>
      </c>
      <c r="J104" s="7" t="s">
        <v>40</v>
      </c>
      <c r="K104" s="19">
        <f>LEN(Entity[[#This Row],[Klassen-Name]])</f>
        <v>24</v>
      </c>
      <c r="L104" s="7"/>
      <c r="M104" s="19" t="b">
        <f>IF(NOT(Entity[[#This Row],[Supertype]]),TRUE,AND(Entity[[#This Row],[Supertype]],Entity[[#This Row],[Subtype]]))</f>
        <v>1</v>
      </c>
      <c r="N104" s="28" t="s">
        <v>2948</v>
      </c>
      <c r="O104" s="29" t="s">
        <v>1838</v>
      </c>
    </row>
    <row r="105" spans="2:15" ht="20.100000000000001" customHeight="1" x14ac:dyDescent="0.25">
      <c r="B105" s="7" t="s">
        <v>41</v>
      </c>
      <c r="C105" s="7" t="str">
        <f>IF(Entity[[#This Row],[Link]]="","",HYPERLINK(HTMLDokuPath&amp;Entity[[#This Row],[Link]],"Doku"))</f>
        <v>Doku</v>
      </c>
      <c r="D105" s="6">
        <v>14</v>
      </c>
      <c r="E105" s="20" t="str">
        <f>IFERROR(IF(VLOOKUP(Entity[ID-Modul],Modul[],3,FALSE)=0,VLOOKUP(Entity[ID-Modul],Modul[],2,FALSE),VLOOKUP(Entity[ID-Modul],Modul[],3,FALSE)),"unbekannt")</f>
        <v>IfcGeometricModelResource</v>
      </c>
      <c r="F105" s="21" t="b">
        <v>1</v>
      </c>
      <c r="G105" s="21" t="b">
        <v>1</v>
      </c>
      <c r="H105" s="22" t="s">
        <v>1301</v>
      </c>
      <c r="I105" s="19">
        <f>LEN(Entity[[#This Row],[IFC-Name]])</f>
        <v>16</v>
      </c>
      <c r="J105" s="7" t="s">
        <v>41</v>
      </c>
      <c r="K105" s="19">
        <f>LEN(Entity[[#This Row],[Klassen-Name]])</f>
        <v>16</v>
      </c>
      <c r="L105" s="7"/>
      <c r="M105" s="19" t="b">
        <f>IF(NOT(Entity[[#This Row],[Supertype]]),TRUE,AND(Entity[[#This Row],[Supertype]],Entity[[#This Row],[Subtype]]))</f>
        <v>1</v>
      </c>
      <c r="N105" s="28" t="s">
        <v>2949</v>
      </c>
      <c r="O105" s="29" t="s">
        <v>1839</v>
      </c>
    </row>
    <row r="106" spans="2:15" ht="20.100000000000001" customHeight="1" x14ac:dyDescent="0.25">
      <c r="B106" s="7" t="s">
        <v>49</v>
      </c>
      <c r="C106" s="7" t="str">
        <f>IF(Entity[[#This Row],[Link]]="","",HYPERLINK(HTMLDokuPath&amp;Entity[[#This Row],[Link]],"Doku"))</f>
        <v>Doku</v>
      </c>
      <c r="D106" s="6">
        <v>14</v>
      </c>
      <c r="E106" s="20" t="str">
        <f>IFERROR(IF(VLOOKUP(Entity[ID-Modul],Modul[],3,FALSE)=0,VLOOKUP(Entity[ID-Modul],Modul[],2,FALSE),VLOOKUP(Entity[ID-Modul],Modul[],3,FALSE)),"unbekannt")</f>
        <v>IfcGeometricModelResource</v>
      </c>
      <c r="F106" s="21" t="b">
        <v>1</v>
      </c>
      <c r="G106" s="21" t="b">
        <v>0</v>
      </c>
      <c r="H106" s="22" t="s">
        <v>697</v>
      </c>
      <c r="I106" s="19">
        <f>LEN(Entity[[#This Row],[IFC-Name]])</f>
        <v>14</v>
      </c>
      <c r="J106" s="7" t="s">
        <v>49</v>
      </c>
      <c r="K106" s="19">
        <f>LEN(Entity[[#This Row],[Klassen-Name]])</f>
        <v>14</v>
      </c>
      <c r="L106" s="7"/>
      <c r="M106" s="19" t="b">
        <f>IF(NOT(Entity[[#This Row],[Supertype]]),TRUE,AND(Entity[[#This Row],[Supertype]],Entity[[#This Row],[Subtype]]))</f>
        <v>1</v>
      </c>
      <c r="N106" s="28" t="s">
        <v>2957</v>
      </c>
      <c r="O106" s="29" t="s">
        <v>1847</v>
      </c>
    </row>
    <row r="107" spans="2:15" ht="20.100000000000001" customHeight="1" x14ac:dyDescent="0.25">
      <c r="B107" s="7" t="s">
        <v>50</v>
      </c>
      <c r="C107" s="7" t="str">
        <f>IF(Entity[[#This Row],[Link]]="","",HYPERLINK(HTMLDokuPath&amp;Entity[[#This Row],[Link]],"Doku"))</f>
        <v>Doku</v>
      </c>
      <c r="D107" s="6">
        <v>14</v>
      </c>
      <c r="E107" s="20" t="str">
        <f>IFERROR(IF(VLOOKUP(Entity[ID-Modul],Modul[],3,FALSE)=0,VLOOKUP(Entity[ID-Modul],Modul[],2,FALSE),VLOOKUP(Entity[ID-Modul],Modul[],3,FALSE)),"unbekannt")</f>
        <v>IfcGeometricModelResource</v>
      </c>
      <c r="F107" s="21" t="b">
        <v>1</v>
      </c>
      <c r="G107" s="21" t="b">
        <v>0</v>
      </c>
      <c r="H107" s="22" t="s">
        <v>698</v>
      </c>
      <c r="I107" s="19">
        <f>LEN(Entity[[#This Row],[IFC-Name]])</f>
        <v>17</v>
      </c>
      <c r="J107" s="7" t="s">
        <v>50</v>
      </c>
      <c r="K107" s="19">
        <f>LEN(Entity[[#This Row],[Klassen-Name]])</f>
        <v>17</v>
      </c>
      <c r="L107" s="7"/>
      <c r="M107" s="19" t="b">
        <f>IF(NOT(Entity[[#This Row],[Supertype]]),TRUE,AND(Entity[[#This Row],[Supertype]],Entity[[#This Row],[Subtype]]))</f>
        <v>1</v>
      </c>
      <c r="N107" s="28" t="s">
        <v>2958</v>
      </c>
      <c r="O107" s="29" t="s">
        <v>1848</v>
      </c>
    </row>
    <row r="108" spans="2:15" ht="20.100000000000001" customHeight="1" x14ac:dyDescent="0.25">
      <c r="B108" s="7" t="s">
        <v>117</v>
      </c>
      <c r="C108" s="7" t="str">
        <f>IF(Entity[[#This Row],[Link]]="","",HYPERLINK(HTMLDokuPath&amp;Entity[[#This Row],[Link]],"Doku"))</f>
        <v>Doku</v>
      </c>
      <c r="D108" s="6">
        <v>14</v>
      </c>
      <c r="E108" s="20" t="str">
        <f>IFERROR(IF(VLOOKUP(Entity[ID-Modul],Modul[],3,FALSE)=0,VLOOKUP(Entity[ID-Modul],Modul[],2,FALSE),VLOOKUP(Entity[ID-Modul],Modul[],3,FALSE)),"unbekannt")</f>
        <v>IfcGeometricModelResource</v>
      </c>
      <c r="F108" s="21" t="b">
        <v>1</v>
      </c>
      <c r="G108" s="21" t="b">
        <v>1</v>
      </c>
      <c r="H108" s="22" t="s">
        <v>1322</v>
      </c>
      <c r="I108" s="19">
        <f>LEN(Entity[[#This Row],[IFC-Name]])</f>
        <v>17</v>
      </c>
      <c r="J108" s="7" t="s">
        <v>117</v>
      </c>
      <c r="K108" s="19">
        <f>LEN(Entity[[#This Row],[Klassen-Name]])</f>
        <v>17</v>
      </c>
      <c r="L108" s="7"/>
      <c r="M108" s="19" t="b">
        <f>IF(NOT(Entity[[#This Row],[Supertype]]),TRUE,AND(Entity[[#This Row],[Supertype]],Entity[[#This Row],[Subtype]]))</f>
        <v>1</v>
      </c>
      <c r="N108" s="28" t="s">
        <v>3035</v>
      </c>
      <c r="O108" s="29" t="s">
        <v>1925</v>
      </c>
    </row>
    <row r="109" spans="2:15" ht="20.100000000000001" customHeight="1" x14ac:dyDescent="0.25">
      <c r="B109" s="7" t="s">
        <v>118</v>
      </c>
      <c r="C109" s="7" t="str">
        <f>IF(Entity[[#This Row],[Link]]="","",HYPERLINK(HTMLDokuPath&amp;Entity[[#This Row],[Link]],"Doku"))</f>
        <v>Doku</v>
      </c>
      <c r="D109" s="6">
        <v>14</v>
      </c>
      <c r="E109" s="20" t="str">
        <f>IFERROR(IF(VLOOKUP(Entity[ID-Modul],Modul[],3,FALSE)=0,VLOOKUP(Entity[ID-Modul],Modul[],2,FALSE),VLOOKUP(Entity[ID-Modul],Modul[],3,FALSE)),"unbekannt")</f>
        <v>IfcGeometricModelResource</v>
      </c>
      <c r="F109" s="21" t="b">
        <v>1</v>
      </c>
      <c r="G109" s="21" t="b">
        <v>0</v>
      </c>
      <c r="H109" s="22" t="s">
        <v>759</v>
      </c>
      <c r="I109" s="19">
        <f>LEN(Entity[[#This Row],[IFC-Name]])</f>
        <v>11</v>
      </c>
      <c r="J109" s="7" t="s">
        <v>118</v>
      </c>
      <c r="K109" s="19">
        <f>LEN(Entity[[#This Row],[Klassen-Name]])</f>
        <v>11</v>
      </c>
      <c r="L109" s="7"/>
      <c r="M109" s="19" t="b">
        <f>IF(NOT(Entity[[#This Row],[Supertype]]),TRUE,AND(Entity[[#This Row],[Supertype]],Entity[[#This Row],[Subtype]]))</f>
        <v>1</v>
      </c>
      <c r="N109" s="28" t="s">
        <v>3036</v>
      </c>
      <c r="O109" s="29" t="s">
        <v>1926</v>
      </c>
    </row>
    <row r="110" spans="2:15" ht="20.100000000000001" customHeight="1" x14ac:dyDescent="0.25">
      <c r="B110" s="7" t="s">
        <v>195</v>
      </c>
      <c r="C110" s="7" t="str">
        <f>IF(Entity[[#This Row],[Link]]="","",HYPERLINK(HTMLDokuPath&amp;Entity[[#This Row],[Link]],"Doku"))</f>
        <v>Doku</v>
      </c>
      <c r="D110" s="6">
        <v>14</v>
      </c>
      <c r="E110" s="20" t="str">
        <f>IFERROR(IF(VLOOKUP(Entity[ID-Modul],Modul[],3,FALSE)=0,VLOOKUP(Entity[ID-Modul],Modul[],2,FALSE),VLOOKUP(Entity[ID-Modul],Modul[],3,FALSE)),"unbekannt")</f>
        <v>IfcGeometricModelResource</v>
      </c>
      <c r="F110" s="21" t="b">
        <v>1</v>
      </c>
      <c r="G110" s="21" t="b">
        <v>0</v>
      </c>
      <c r="H110" s="22" t="s">
        <v>827</v>
      </c>
      <c r="I110" s="19">
        <f>LEN(Entity[[#This Row],[IFC-Name]])</f>
        <v>20</v>
      </c>
      <c r="J110" s="7" t="s">
        <v>195</v>
      </c>
      <c r="K110" s="19">
        <f>LEN(Entity[[#This Row],[Klassen-Name]])</f>
        <v>20</v>
      </c>
      <c r="L110" s="7"/>
      <c r="M110" s="19" t="b">
        <f>IF(NOT(Entity[[#This Row],[Supertype]]),TRUE,AND(Entity[[#This Row],[Supertype]],Entity[[#This Row],[Subtype]]))</f>
        <v>1</v>
      </c>
      <c r="N110" s="28" t="s">
        <v>3125</v>
      </c>
      <c r="O110" s="29" t="s">
        <v>2014</v>
      </c>
    </row>
    <row r="111" spans="2:15" ht="20.100000000000001" customHeight="1" x14ac:dyDescent="0.25">
      <c r="B111" s="7" t="s">
        <v>197</v>
      </c>
      <c r="C111" s="7" t="str">
        <f>IF(Entity[[#This Row],[Link]]="","",HYPERLINK(HTMLDokuPath&amp;Entity[[#This Row],[Link]],"Doku"))</f>
        <v>Doku</v>
      </c>
      <c r="D111" s="6">
        <v>14</v>
      </c>
      <c r="E111" s="20" t="str">
        <f>IFERROR(IF(VLOOKUP(Entity[ID-Modul],Modul[],3,FALSE)=0,VLOOKUP(Entity[ID-Modul],Modul[],2,FALSE),VLOOKUP(Entity[ID-Modul],Modul[],3,FALSE)),"unbekannt")</f>
        <v>IfcGeometricModelResource</v>
      </c>
      <c r="F111" s="21" t="b">
        <v>1</v>
      </c>
      <c r="G111" s="21" t="b">
        <v>0</v>
      </c>
      <c r="H111" s="22" t="s">
        <v>828</v>
      </c>
      <c r="I111" s="19">
        <f>LEN(Entity[[#This Row],[IFC-Name]])</f>
        <v>24</v>
      </c>
      <c r="J111" s="7" t="s">
        <v>197</v>
      </c>
      <c r="K111" s="19">
        <f>LEN(Entity[[#This Row],[Klassen-Name]])</f>
        <v>24</v>
      </c>
      <c r="L111" s="7"/>
      <c r="M111" s="19" t="b">
        <f>IF(NOT(Entity[[#This Row],[Supertype]]),TRUE,AND(Entity[[#This Row],[Supertype]],Entity[[#This Row],[Subtype]]))</f>
        <v>1</v>
      </c>
      <c r="N111" s="28" t="s">
        <v>3127</v>
      </c>
      <c r="O111" s="29" t="s">
        <v>2016</v>
      </c>
    </row>
    <row r="112" spans="2:15" ht="20.100000000000001" customHeight="1" x14ac:dyDescent="0.25">
      <c r="B112" s="7" t="s">
        <v>201</v>
      </c>
      <c r="C112" s="7" t="str">
        <f>IF(Entity[[#This Row],[Link]]="","",HYPERLINK(HTMLDokuPath&amp;Entity[[#This Row],[Link]],"Doku"))</f>
        <v>Doku</v>
      </c>
      <c r="D112" s="6">
        <v>14</v>
      </c>
      <c r="E112" s="20" t="str">
        <f>IFERROR(IF(VLOOKUP(Entity[ID-Modul],Modul[],3,FALSE)=0,VLOOKUP(Entity[ID-Modul],Modul[],2,FALSE),VLOOKUP(Entity[ID-Modul],Modul[],3,FALSE)),"unbekannt")</f>
        <v>IfcGeometricModelResource</v>
      </c>
      <c r="F112" s="21" t="b">
        <v>1</v>
      </c>
      <c r="G112" s="21" t="b">
        <v>0</v>
      </c>
      <c r="H112" s="22" t="s">
        <v>831</v>
      </c>
      <c r="I112" s="19">
        <f>LEN(Entity[[#This Row],[IFC-Name]])</f>
        <v>14</v>
      </c>
      <c r="J112" s="7" t="s">
        <v>201</v>
      </c>
      <c r="K112" s="19">
        <f>LEN(Entity[[#This Row],[Klassen-Name]])</f>
        <v>14</v>
      </c>
      <c r="L112" s="7"/>
      <c r="M112" s="19" t="b">
        <f>IF(NOT(Entity[[#This Row],[Supertype]]),TRUE,AND(Entity[[#This Row],[Supertype]],Entity[[#This Row],[Subtype]]))</f>
        <v>1</v>
      </c>
      <c r="N112" s="28" t="s">
        <v>3131</v>
      </c>
      <c r="O112" s="29" t="s">
        <v>2020</v>
      </c>
    </row>
    <row r="113" spans="2:15" ht="20.100000000000001" customHeight="1" x14ac:dyDescent="0.25">
      <c r="B113" s="7" t="s">
        <v>202</v>
      </c>
      <c r="C113" s="7" t="str">
        <f>IF(Entity[[#This Row],[Link]]="","",HYPERLINK(HTMLDokuPath&amp;Entity[[#This Row],[Link]],"Doku"))</f>
        <v>Doku</v>
      </c>
      <c r="D113" s="6">
        <v>14</v>
      </c>
      <c r="E113" s="20" t="str">
        <f>IFERROR(IF(VLOOKUP(Entity[ID-Modul],Modul[],3,FALSE)=0,VLOOKUP(Entity[ID-Modul],Modul[],2,FALSE),VLOOKUP(Entity[ID-Modul],Modul[],3,FALSE)),"unbekannt")</f>
        <v>IfcGeometricModelResource</v>
      </c>
      <c r="F113" s="21" t="b">
        <v>1</v>
      </c>
      <c r="G113" s="21" t="b">
        <v>0</v>
      </c>
      <c r="H113" s="22" t="s">
        <v>832</v>
      </c>
      <c r="I113" s="19">
        <f>LEN(Entity[[#This Row],[IFC-Name]])</f>
        <v>23</v>
      </c>
      <c r="J113" s="7" t="s">
        <v>202</v>
      </c>
      <c r="K113" s="19">
        <f>LEN(Entity[[#This Row],[Klassen-Name]])</f>
        <v>23</v>
      </c>
      <c r="L113" s="7"/>
      <c r="M113" s="19" t="b">
        <f>IF(NOT(Entity[[#This Row],[Supertype]]),TRUE,AND(Entity[[#This Row],[Supertype]],Entity[[#This Row],[Subtype]]))</f>
        <v>1</v>
      </c>
      <c r="N113" s="28" t="s">
        <v>3132</v>
      </c>
      <c r="O113" s="29" t="s">
        <v>2021</v>
      </c>
    </row>
    <row r="114" spans="2:15" ht="20.100000000000001" customHeight="1" x14ac:dyDescent="0.25">
      <c r="B114" s="7" t="s">
        <v>242</v>
      </c>
      <c r="C114" s="7" t="str">
        <f>IF(Entity[[#This Row],[Link]]="","",HYPERLINK(HTMLDokuPath&amp;Entity[[#This Row],[Link]],"Doku"))</f>
        <v>Doku</v>
      </c>
      <c r="D114" s="6">
        <v>14</v>
      </c>
      <c r="E114" s="20" t="str">
        <f>IFERROR(IF(VLOOKUP(Entity[ID-Modul],Modul[],3,FALSE)=0,VLOOKUP(Entity[ID-Modul],Modul[],2,FALSE),VLOOKUP(Entity[ID-Modul],Modul[],3,FALSE)),"unbekannt")</f>
        <v>IfcGeometricModelResource</v>
      </c>
      <c r="F114" s="21" t="b">
        <v>1</v>
      </c>
      <c r="G114" s="21" t="b">
        <v>0</v>
      </c>
      <c r="H114" s="22" t="s">
        <v>857</v>
      </c>
      <c r="I114" s="19">
        <f>LEN(Entity[[#This Row],[IFC-Name]])</f>
        <v>20</v>
      </c>
      <c r="J114" s="7" t="s">
        <v>242</v>
      </c>
      <c r="K114" s="19">
        <f>LEN(Entity[[#This Row],[Klassen-Name]])</f>
        <v>20</v>
      </c>
      <c r="L114" s="7"/>
      <c r="M114" s="19" t="b">
        <f>IF(NOT(Entity[[#This Row],[Supertype]]),TRUE,AND(Entity[[#This Row],[Supertype]],Entity[[#This Row],[Subtype]]))</f>
        <v>1</v>
      </c>
      <c r="N114" s="28" t="s">
        <v>3172</v>
      </c>
      <c r="O114" s="29" t="s">
        <v>2061</v>
      </c>
    </row>
    <row r="115" spans="2:15" ht="20.100000000000001" customHeight="1" x14ac:dyDescent="0.25">
      <c r="B115" s="7" t="s">
        <v>246</v>
      </c>
      <c r="C115" s="7" t="str">
        <f>IF(Entity[[#This Row],[Link]]="","",HYPERLINK(HTMLDokuPath&amp;Entity[[#This Row],[Link]],"Doku"))</f>
        <v>Doku</v>
      </c>
      <c r="D115" s="6">
        <v>14</v>
      </c>
      <c r="E115" s="20" t="str">
        <f>IFERROR(IF(VLOOKUP(Entity[ID-Modul],Modul[],3,FALSE)=0,VLOOKUP(Entity[ID-Modul],Modul[],2,FALSE),VLOOKUP(Entity[ID-Modul],Modul[],3,FALSE)),"unbekannt")</f>
        <v>IfcGeometricModelResource</v>
      </c>
      <c r="F115" s="21" t="b">
        <v>1</v>
      </c>
      <c r="G115" s="21" t="b">
        <v>1</v>
      </c>
      <c r="H115" s="22" t="s">
        <v>1362</v>
      </c>
      <c r="I115" s="19">
        <f>LEN(Entity[[#This Row],[IFC-Name]])</f>
        <v>15</v>
      </c>
      <c r="J115" s="7" t="s">
        <v>246</v>
      </c>
      <c r="K115" s="19">
        <f>LEN(Entity[[#This Row],[Klassen-Name]])</f>
        <v>15</v>
      </c>
      <c r="L115" s="7"/>
      <c r="M115" s="19" t="b">
        <f>IF(NOT(Entity[[#This Row],[Supertype]]),TRUE,AND(Entity[[#This Row],[Supertype]],Entity[[#This Row],[Subtype]]))</f>
        <v>1</v>
      </c>
      <c r="N115" s="28" t="s">
        <v>3176</v>
      </c>
      <c r="O115" s="29" t="s">
        <v>2065</v>
      </c>
    </row>
    <row r="116" spans="2:15" ht="20.100000000000001" customHeight="1" x14ac:dyDescent="0.25">
      <c r="B116" s="7" t="s">
        <v>250</v>
      </c>
      <c r="C116" s="7" t="str">
        <f>IF(Entity[[#This Row],[Link]]="","",HYPERLINK(HTMLDokuPath&amp;Entity[[#This Row],[Link]],"Doku"))</f>
        <v>Doku</v>
      </c>
      <c r="D116" s="6">
        <v>14</v>
      </c>
      <c r="E116" s="20" t="str">
        <f>IFERROR(IF(VLOOKUP(Entity[ID-Modul],Modul[],3,FALSE)=0,VLOOKUP(Entity[ID-Modul],Modul[],2,FALSE),VLOOKUP(Entity[ID-Modul],Modul[],3,FALSE)),"unbekannt")</f>
        <v>IfcGeometricModelResource</v>
      </c>
      <c r="F116" s="21" t="b">
        <v>1</v>
      </c>
      <c r="G116" s="21" t="b">
        <v>1</v>
      </c>
      <c r="H116" s="22" t="s">
        <v>1364</v>
      </c>
      <c r="I116" s="19">
        <f>LEN(Entity[[#This Row],[IFC-Name]])</f>
        <v>17</v>
      </c>
      <c r="J116" s="7" t="s">
        <v>250</v>
      </c>
      <c r="K116" s="19">
        <f>LEN(Entity[[#This Row],[Klassen-Name]])</f>
        <v>17</v>
      </c>
      <c r="L116" s="7"/>
      <c r="M116" s="19" t="b">
        <f>IF(NOT(Entity[[#This Row],[Supertype]]),TRUE,AND(Entity[[#This Row],[Supertype]],Entity[[#This Row],[Subtype]]))</f>
        <v>1</v>
      </c>
      <c r="N116" s="28" t="s">
        <v>3181</v>
      </c>
      <c r="O116" s="29" t="s">
        <v>2070</v>
      </c>
    </row>
    <row r="117" spans="2:15" ht="20.100000000000001" customHeight="1" x14ac:dyDescent="0.25">
      <c r="B117" s="7" t="s">
        <v>274</v>
      </c>
      <c r="C117" s="7" t="str">
        <f>IF(Entity[[#This Row],[Link]]="","",HYPERLINK(HTMLDokuPath&amp;Entity[[#This Row],[Link]],"Doku"))</f>
        <v>Doku</v>
      </c>
      <c r="D117" s="6">
        <v>14</v>
      </c>
      <c r="E117" s="20" t="str">
        <f>IFERROR(IF(VLOOKUP(Entity[ID-Modul],Modul[],3,FALSE)=0,VLOOKUP(Entity[ID-Modul],Modul[],2,FALSE),VLOOKUP(Entity[ID-Modul],Modul[],3,FALSE)),"unbekannt")</f>
        <v>IfcGeometricModelResource</v>
      </c>
      <c r="F117" s="21" t="b">
        <v>1</v>
      </c>
      <c r="G117" s="21" t="b">
        <v>1</v>
      </c>
      <c r="H117" s="22" t="s">
        <v>1369</v>
      </c>
      <c r="I117" s="19">
        <f>LEN(Entity[[#This Row],[IFC-Name]])</f>
        <v>20</v>
      </c>
      <c r="J117" s="7" t="s">
        <v>274</v>
      </c>
      <c r="K117" s="19">
        <f>LEN(Entity[[#This Row],[Klassen-Name]])</f>
        <v>20</v>
      </c>
      <c r="L117" s="7"/>
      <c r="M117" s="19" t="b">
        <f>IF(NOT(Entity[[#This Row],[Supertype]]),TRUE,AND(Entity[[#This Row],[Supertype]],Entity[[#This Row],[Subtype]]))</f>
        <v>1</v>
      </c>
      <c r="N117" s="28" t="s">
        <v>3210</v>
      </c>
      <c r="O117" s="29" t="s">
        <v>2099</v>
      </c>
    </row>
    <row r="118" spans="2:15" ht="20.100000000000001" customHeight="1" x14ac:dyDescent="0.25">
      <c r="B118" s="7" t="s">
        <v>325</v>
      </c>
      <c r="C118" s="7" t="str">
        <f>IF(Entity[[#This Row],[Link]]="","",HYPERLINK(HTMLDokuPath&amp;Entity[[#This Row],[Link]],"Doku"))</f>
        <v>Doku</v>
      </c>
      <c r="D118" s="6">
        <v>14</v>
      </c>
      <c r="E118" s="20" t="str">
        <f>IFERROR(IF(VLOOKUP(Entity[ID-Modul],Modul[],3,FALSE)=0,VLOOKUP(Entity[ID-Modul],Modul[],2,FALSE),VLOOKUP(Entity[ID-Modul],Modul[],3,FALSE)),"unbekannt")</f>
        <v>IfcGeometricModelResource</v>
      </c>
      <c r="F118" s="21" t="b">
        <v>1</v>
      </c>
      <c r="G118" s="21" t="b">
        <v>0</v>
      </c>
      <c r="H118" s="22" t="s">
        <v>936</v>
      </c>
      <c r="I118" s="19">
        <f>LEN(Entity[[#This Row],[IFC-Name]])</f>
        <v>28</v>
      </c>
      <c r="J118" s="7" t="s">
        <v>325</v>
      </c>
      <c r="K118" s="19">
        <f>LEN(Entity[[#This Row],[Klassen-Name]])</f>
        <v>28</v>
      </c>
      <c r="L118" s="7"/>
      <c r="M118" s="19" t="b">
        <f>IF(NOT(Entity[[#This Row],[Supertype]]),TRUE,AND(Entity[[#This Row],[Supertype]],Entity[[#This Row],[Subtype]]))</f>
        <v>1</v>
      </c>
      <c r="N118" s="28" t="s">
        <v>3273</v>
      </c>
      <c r="O118" s="29" t="s">
        <v>2163</v>
      </c>
    </row>
    <row r="119" spans="2:15" ht="20.100000000000001" customHeight="1" x14ac:dyDescent="0.25">
      <c r="B119" s="7" t="s">
        <v>381</v>
      </c>
      <c r="C119" s="7" t="str">
        <f>IF(Entity[[#This Row],[Link]]="","",HYPERLINK(HTMLDokuPath&amp;Entity[[#This Row],[Link]],"Doku"))</f>
        <v>Doku</v>
      </c>
      <c r="D119" s="6">
        <v>14</v>
      </c>
      <c r="E119" s="20" t="str">
        <f>IFERROR(IF(VLOOKUP(Entity[ID-Modul],Modul[],3,FALSE)=0,VLOOKUP(Entity[ID-Modul],Modul[],2,FALSE),VLOOKUP(Entity[ID-Modul],Modul[],3,FALSE)),"unbekannt")</f>
        <v>IfcGeometricModelResource</v>
      </c>
      <c r="F119" s="21" t="b">
        <v>1</v>
      </c>
      <c r="G119" s="21" t="b">
        <v>0</v>
      </c>
      <c r="H119" s="22" t="s">
        <v>979</v>
      </c>
      <c r="I119" s="19">
        <f>LEN(Entity[[#This Row],[IFC-Name]])</f>
        <v>21</v>
      </c>
      <c r="J119" s="7" t="s">
        <v>381</v>
      </c>
      <c r="K119" s="19">
        <f>LEN(Entity[[#This Row],[Klassen-Name]])</f>
        <v>21</v>
      </c>
      <c r="L119" s="7"/>
      <c r="M119" s="19" t="b">
        <f>IF(NOT(Entity[[#This Row],[Supertype]]),TRUE,AND(Entity[[#This Row],[Supertype]],Entity[[#This Row],[Subtype]]))</f>
        <v>1</v>
      </c>
      <c r="N119" s="28" t="s">
        <v>3334</v>
      </c>
      <c r="O119" s="29" t="s">
        <v>2223</v>
      </c>
    </row>
    <row r="120" spans="2:15" ht="20.100000000000001" customHeight="1" x14ac:dyDescent="0.25">
      <c r="B120" s="7" t="s">
        <v>442</v>
      </c>
      <c r="C120" s="7" t="str">
        <f>IF(Entity[[#This Row],[Link]]="","",HYPERLINK(HTMLDokuPath&amp;Entity[[#This Row],[Link]],"Doku"))</f>
        <v>Doku</v>
      </c>
      <c r="D120" s="6">
        <v>14</v>
      </c>
      <c r="E120" s="20" t="str">
        <f>IFERROR(IF(VLOOKUP(Entity[ID-Modul],Modul[],3,FALSE)=0,VLOOKUP(Entity[ID-Modul],Modul[],2,FALSE),VLOOKUP(Entity[ID-Modul],Modul[],3,FALSE)),"unbekannt")</f>
        <v>IfcGeometricModelResource</v>
      </c>
      <c r="F120" s="21" t="b">
        <v>1</v>
      </c>
      <c r="G120" s="21" t="b">
        <v>0</v>
      </c>
      <c r="H120" s="22" t="s">
        <v>1028</v>
      </c>
      <c r="I120" s="19">
        <f>LEN(Entity[[#This Row],[IFC-Name]])</f>
        <v>20</v>
      </c>
      <c r="J120" s="7" t="s">
        <v>442</v>
      </c>
      <c r="K120" s="19">
        <f>LEN(Entity[[#This Row],[Klassen-Name]])</f>
        <v>20</v>
      </c>
      <c r="L120" s="7"/>
      <c r="M120" s="19" t="b">
        <f>IF(NOT(Entity[[#This Row],[Supertype]]),TRUE,AND(Entity[[#This Row],[Supertype]],Entity[[#This Row],[Subtype]]))</f>
        <v>1</v>
      </c>
      <c r="N120" s="28" t="s">
        <v>3399</v>
      </c>
      <c r="O120" s="29" t="s">
        <v>2288</v>
      </c>
    </row>
    <row r="121" spans="2:15" ht="20.100000000000001" customHeight="1" x14ac:dyDescent="0.25">
      <c r="B121" s="7" t="s">
        <v>444</v>
      </c>
      <c r="C121" s="7" t="str">
        <f>IF(Entity[[#This Row],[Link]]="","",HYPERLINK(HTMLDokuPath&amp;Entity[[#This Row],[Link]],"Doku"))</f>
        <v>Doku</v>
      </c>
      <c r="D121" s="6">
        <v>14</v>
      </c>
      <c r="E121" s="20" t="str">
        <f>IFERROR(IF(VLOOKUP(Entity[ID-Modul],Modul[],3,FALSE)=0,VLOOKUP(Entity[ID-Modul],Modul[],2,FALSE),VLOOKUP(Entity[ID-Modul],Modul[],3,FALSE)),"unbekannt")</f>
        <v>IfcGeometricModelResource</v>
      </c>
      <c r="F121" s="21" t="b">
        <v>1</v>
      </c>
      <c r="G121" s="21" t="b">
        <v>0</v>
      </c>
      <c r="H121" s="22" t="s">
        <v>1030</v>
      </c>
      <c r="I121" s="19">
        <f>LEN(Entity[[#This Row],[IFC-Name]])</f>
        <v>20</v>
      </c>
      <c r="J121" s="7" t="s">
        <v>444</v>
      </c>
      <c r="K121" s="19">
        <f>LEN(Entity[[#This Row],[Klassen-Name]])</f>
        <v>20</v>
      </c>
      <c r="L121" s="7"/>
      <c r="M121" s="19" t="b">
        <f>IF(NOT(Entity[[#This Row],[Supertype]]),TRUE,AND(Entity[[#This Row],[Supertype]],Entity[[#This Row],[Subtype]]))</f>
        <v>1</v>
      </c>
      <c r="N121" s="28" t="s">
        <v>3401</v>
      </c>
      <c r="O121" s="29" t="s">
        <v>2290</v>
      </c>
    </row>
    <row r="122" spans="2:15" ht="20.100000000000001" customHeight="1" x14ac:dyDescent="0.25">
      <c r="B122" s="7" t="s">
        <v>445</v>
      </c>
      <c r="C122" s="7" t="str">
        <f>IF(Entity[[#This Row],[Link]]="","",HYPERLINK(HTMLDokuPath&amp;Entity[[#This Row],[Link]],"Doku"))</f>
        <v>Doku</v>
      </c>
      <c r="D122" s="6">
        <v>14</v>
      </c>
      <c r="E122" s="20" t="str">
        <f>IFERROR(IF(VLOOKUP(Entity[ID-Modul],Modul[],3,FALSE)=0,VLOOKUP(Entity[ID-Modul],Modul[],2,FALSE),VLOOKUP(Entity[ID-Modul],Modul[],3,FALSE)),"unbekannt")</f>
        <v>IfcGeometricModelResource</v>
      </c>
      <c r="F122" s="21" t="b">
        <v>1</v>
      </c>
      <c r="G122" s="21" t="b">
        <v>0</v>
      </c>
      <c r="H122" s="22" t="s">
        <v>1031</v>
      </c>
      <c r="I122" s="19">
        <f>LEN(Entity[[#This Row],[IFC-Name]])</f>
        <v>24</v>
      </c>
      <c r="J122" s="7" t="s">
        <v>445</v>
      </c>
      <c r="K122" s="19">
        <f>LEN(Entity[[#This Row],[Klassen-Name]])</f>
        <v>24</v>
      </c>
      <c r="L122" s="7"/>
      <c r="M122" s="19" t="b">
        <f>IF(NOT(Entity[[#This Row],[Supertype]]),TRUE,AND(Entity[[#This Row],[Supertype]],Entity[[#This Row],[Subtype]]))</f>
        <v>1</v>
      </c>
      <c r="N122" s="28" t="s">
        <v>3402</v>
      </c>
      <c r="O122" s="29" t="s">
        <v>2291</v>
      </c>
    </row>
    <row r="123" spans="2:15" ht="20.100000000000001" customHeight="1" x14ac:dyDescent="0.25">
      <c r="B123" s="7" t="s">
        <v>453</v>
      </c>
      <c r="C123" s="7" t="str">
        <f>IF(Entity[[#This Row],[Link]]="","",HYPERLINK(HTMLDokuPath&amp;Entity[[#This Row],[Link]],"Doku"))</f>
        <v>Doku</v>
      </c>
      <c r="D123" s="6">
        <v>14</v>
      </c>
      <c r="E123" s="20" t="str">
        <f>IFERROR(IF(VLOOKUP(Entity[ID-Modul],Modul[],3,FALSE)=0,VLOOKUP(Entity[ID-Modul],Modul[],2,FALSE),VLOOKUP(Entity[ID-Modul],Modul[],3,FALSE)),"unbekannt")</f>
        <v>IfcGeometricModelResource</v>
      </c>
      <c r="F123" s="21" t="b">
        <v>1</v>
      </c>
      <c r="G123" s="21" t="b">
        <v>0</v>
      </c>
      <c r="H123" s="22" t="s">
        <v>1040</v>
      </c>
      <c r="I123" s="19">
        <f>LEN(Entity[[#This Row],[IFC-Name]])</f>
        <v>17</v>
      </c>
      <c r="J123" s="7" t="s">
        <v>453</v>
      </c>
      <c r="K123" s="19">
        <f>LEN(Entity[[#This Row],[Klassen-Name]])</f>
        <v>17</v>
      </c>
      <c r="L123" s="7"/>
      <c r="M123" s="19" t="b">
        <f>IF(NOT(Entity[[#This Row],[Supertype]]),TRUE,AND(Entity[[#This Row],[Supertype]],Entity[[#This Row],[Subtype]]))</f>
        <v>1</v>
      </c>
      <c r="N123" s="28" t="s">
        <v>3409</v>
      </c>
      <c r="O123" s="29" t="s">
        <v>2301</v>
      </c>
    </row>
    <row r="124" spans="2:15" ht="20.100000000000001" customHeight="1" x14ac:dyDescent="0.25">
      <c r="B124" s="7" t="s">
        <v>459</v>
      </c>
      <c r="C124" s="7" t="str">
        <f>IF(Entity[[#This Row],[Link]]="","",HYPERLINK(HTMLDokuPath&amp;Entity[[#This Row],[Link]],"Doku"))</f>
        <v>Doku</v>
      </c>
      <c r="D124" s="6">
        <v>14</v>
      </c>
      <c r="E124" s="20" t="str">
        <f>IFERROR(IF(VLOOKUP(Entity[ID-Modul],Modul[],3,FALSE)=0,VLOOKUP(Entity[ID-Modul],Modul[],2,FALSE),VLOOKUP(Entity[ID-Modul],Modul[],3,FALSE)),"unbekannt")</f>
        <v>IfcGeometricModelResource</v>
      </c>
      <c r="F124" s="21" t="b">
        <v>1</v>
      </c>
      <c r="G124" s="21" t="b">
        <v>0</v>
      </c>
      <c r="H124" s="22" t="s">
        <v>1046</v>
      </c>
      <c r="I124" s="19">
        <f>LEN(Entity[[#This Row],[IFC-Name]])</f>
        <v>25</v>
      </c>
      <c r="J124" s="7" t="s">
        <v>459</v>
      </c>
      <c r="K124" s="19">
        <f>LEN(Entity[[#This Row],[Klassen-Name]])</f>
        <v>25</v>
      </c>
      <c r="L124" s="7"/>
      <c r="M124" s="19" t="b">
        <f>IF(NOT(Entity[[#This Row],[Supertype]]),TRUE,AND(Entity[[#This Row],[Supertype]],Entity[[#This Row],[Subtype]]))</f>
        <v>1</v>
      </c>
      <c r="N124" s="28" t="s">
        <v>3418</v>
      </c>
      <c r="O124" s="29" t="s">
        <v>2308</v>
      </c>
    </row>
    <row r="125" spans="2:15" ht="20.100000000000001" customHeight="1" x14ac:dyDescent="0.25">
      <c r="B125" s="7" t="s">
        <v>465</v>
      </c>
      <c r="C125" s="7" t="str">
        <f>IF(Entity[[#This Row],[Link]]="","",HYPERLINK(HTMLDokuPath&amp;Entity[[#This Row],[Link]],"Doku"))</f>
        <v>Doku</v>
      </c>
      <c r="D125" s="6">
        <v>14</v>
      </c>
      <c r="E125" s="20" t="str">
        <f>IFERROR(IF(VLOOKUP(Entity[ID-Modul],Modul[],3,FALSE)=0,VLOOKUP(Entity[ID-Modul],Modul[],2,FALSE),VLOOKUP(Entity[ID-Modul],Modul[],3,FALSE)),"unbekannt")</f>
        <v>IfcGeometricModelResource</v>
      </c>
      <c r="F125" s="21" t="b">
        <v>1</v>
      </c>
      <c r="G125" s="21" t="b">
        <v>1</v>
      </c>
      <c r="H125" s="22" t="s">
        <v>1419</v>
      </c>
      <c r="I125" s="19">
        <f>LEN(Entity[[#This Row],[IFC-Name]])</f>
        <v>13</v>
      </c>
      <c r="J125" s="7" t="s">
        <v>465</v>
      </c>
      <c r="K125" s="19">
        <f>LEN(Entity[[#This Row],[Klassen-Name]])</f>
        <v>13</v>
      </c>
      <c r="L125" s="7"/>
      <c r="M125" s="19" t="b">
        <f>IF(NOT(Entity[[#This Row],[Supertype]]),TRUE,AND(Entity[[#This Row],[Supertype]],Entity[[#This Row],[Subtype]]))</f>
        <v>1</v>
      </c>
      <c r="N125" s="28" t="s">
        <v>3425</v>
      </c>
      <c r="O125" s="29" t="s">
        <v>2314</v>
      </c>
    </row>
    <row r="126" spans="2:15" ht="20.100000000000001" customHeight="1" x14ac:dyDescent="0.25">
      <c r="B126" s="7" t="s">
        <v>475</v>
      </c>
      <c r="C126" s="7" t="str">
        <f>IF(Entity[[#This Row],[Link]]="","",HYPERLINK(HTMLDokuPath&amp;Entity[[#This Row],[Link]],"Doku"))</f>
        <v>Doku</v>
      </c>
      <c r="D126" s="6">
        <v>14</v>
      </c>
      <c r="E126" s="20" t="str">
        <f>IFERROR(IF(VLOOKUP(Entity[ID-Modul],Modul[],3,FALSE)=0,VLOOKUP(Entity[ID-Modul],Modul[],2,FALSE),VLOOKUP(Entity[ID-Modul],Modul[],3,FALSE)),"unbekannt")</f>
        <v>IfcGeometricModelResource</v>
      </c>
      <c r="F126" s="21" t="b">
        <v>1</v>
      </c>
      <c r="G126" s="21" t="b">
        <v>0</v>
      </c>
      <c r="H126" s="22" t="s">
        <v>1058</v>
      </c>
      <c r="I126" s="19">
        <f>LEN(Entity[[#This Row],[IFC-Name]])</f>
        <v>9</v>
      </c>
      <c r="J126" s="7" t="s">
        <v>475</v>
      </c>
      <c r="K126" s="19">
        <f>LEN(Entity[[#This Row],[Klassen-Name]])</f>
        <v>9</v>
      </c>
      <c r="L126" s="7"/>
      <c r="M126" s="19" t="b">
        <f>IF(NOT(Entity[[#This Row],[Supertype]]),TRUE,AND(Entity[[#This Row],[Supertype]],Entity[[#This Row],[Subtype]]))</f>
        <v>1</v>
      </c>
      <c r="N126" s="28" t="s">
        <v>3435</v>
      </c>
      <c r="O126" s="29" t="s">
        <v>2324</v>
      </c>
    </row>
    <row r="127" spans="2:15" ht="20.100000000000001" customHeight="1" x14ac:dyDescent="0.25">
      <c r="B127" s="7" t="s">
        <v>521</v>
      </c>
      <c r="C127" s="7" t="str">
        <f>IF(Entity[[#This Row],[Link]]="","",HYPERLINK(HTMLDokuPath&amp;Entity[[#This Row],[Link]],"Doku"))</f>
        <v>Doku</v>
      </c>
      <c r="D127" s="6">
        <v>14</v>
      </c>
      <c r="E127" s="20" t="str">
        <f>IFERROR(IF(VLOOKUP(Entity[ID-Modul],Modul[],3,FALSE)=0,VLOOKUP(Entity[ID-Modul],Modul[],2,FALSE),VLOOKUP(Entity[ID-Modul],Modul[],3,FALSE)),"unbekannt")</f>
        <v>IfcGeometricModelResource</v>
      </c>
      <c r="F127" s="21" t="b">
        <v>1</v>
      </c>
      <c r="G127" s="21" t="b">
        <v>0</v>
      </c>
      <c r="H127" s="22" t="s">
        <v>1085</v>
      </c>
      <c r="I127" s="19">
        <f>LEN(Entity[[#This Row],[IFC-Name]])</f>
        <v>29</v>
      </c>
      <c r="J127" s="7" t="s">
        <v>521</v>
      </c>
      <c r="K127" s="19">
        <f>LEN(Entity[[#This Row],[Klassen-Name]])</f>
        <v>29</v>
      </c>
      <c r="L127" s="7"/>
      <c r="M127" s="19" t="b">
        <f>IF(NOT(Entity[[#This Row],[Supertype]]),TRUE,AND(Entity[[#This Row],[Supertype]],Entity[[#This Row],[Subtype]]))</f>
        <v>1</v>
      </c>
      <c r="N127" s="28" t="s">
        <v>3481</v>
      </c>
      <c r="O127" s="29" t="s">
        <v>2370</v>
      </c>
    </row>
    <row r="128" spans="2:15" ht="20.100000000000001" customHeight="1" x14ac:dyDescent="0.25">
      <c r="B128" s="7" t="s">
        <v>528</v>
      </c>
      <c r="C128" s="7" t="str">
        <f>IF(Entity[[#This Row],[Link]]="","",HYPERLINK(HTMLDokuPath&amp;Entity[[#This Row],[Link]],"Doku"))</f>
        <v>Doku</v>
      </c>
      <c r="D128" s="6">
        <v>14</v>
      </c>
      <c r="E128" s="20" t="str">
        <f>IFERROR(IF(VLOOKUP(Entity[ID-Modul],Modul[],3,FALSE)=0,VLOOKUP(Entity[ID-Modul],Modul[],2,FALSE),VLOOKUP(Entity[ID-Modul],Modul[],3,FALSE)),"unbekannt")</f>
        <v>IfcGeometricModelResource</v>
      </c>
      <c r="F128" s="21" t="b">
        <v>1</v>
      </c>
      <c r="G128" s="21" t="b">
        <v>1</v>
      </c>
      <c r="H128" s="22" t="s">
        <v>1443</v>
      </c>
      <c r="I128" s="19">
        <f>LEN(Entity[[#This Row],[IFC-Name]])</f>
        <v>17</v>
      </c>
      <c r="J128" s="7" t="s">
        <v>528</v>
      </c>
      <c r="K128" s="19">
        <f>LEN(Entity[[#This Row],[Klassen-Name]])</f>
        <v>17</v>
      </c>
      <c r="L128" s="7"/>
      <c r="M128" s="19" t="b">
        <f>IF(NOT(Entity[[#This Row],[Supertype]]),TRUE,AND(Entity[[#This Row],[Supertype]],Entity[[#This Row],[Subtype]]))</f>
        <v>1</v>
      </c>
      <c r="N128" s="28" t="s">
        <v>3491</v>
      </c>
      <c r="O128" s="29" t="s">
        <v>2380</v>
      </c>
    </row>
    <row r="129" spans="2:15" ht="20.100000000000001" customHeight="1" x14ac:dyDescent="0.25">
      <c r="B129" s="7" t="s">
        <v>529</v>
      </c>
      <c r="C129" s="7" t="str">
        <f>IF(Entity[[#This Row],[Link]]="","",HYPERLINK(HTMLDokuPath&amp;Entity[[#This Row],[Link]],"Doku"))</f>
        <v>Doku</v>
      </c>
      <c r="D129" s="6">
        <v>14</v>
      </c>
      <c r="E129" s="20" t="str">
        <f>IFERROR(IF(VLOOKUP(Entity[ID-Modul],Modul[],3,FALSE)=0,VLOOKUP(Entity[ID-Modul],Modul[],2,FALSE),VLOOKUP(Entity[ID-Modul],Modul[],3,FALSE)),"unbekannt")</f>
        <v>IfcGeometricModelResource</v>
      </c>
      <c r="F129" s="21" t="b">
        <v>1</v>
      </c>
      <c r="G129" s="21" t="b">
        <v>0</v>
      </c>
      <c r="H129" s="22" t="s">
        <v>1093</v>
      </c>
      <c r="I129" s="19">
        <f>LEN(Entity[[#This Row],[IFC-Name]])</f>
        <v>17</v>
      </c>
      <c r="J129" s="7" t="s">
        <v>529</v>
      </c>
      <c r="K129" s="19">
        <f>LEN(Entity[[#This Row],[Klassen-Name]])</f>
        <v>17</v>
      </c>
      <c r="L129" s="7"/>
      <c r="M129" s="19" t="b">
        <f>IF(NOT(Entity[[#This Row],[Supertype]]),TRUE,AND(Entity[[#This Row],[Supertype]],Entity[[#This Row],[Subtype]]))</f>
        <v>1</v>
      </c>
      <c r="N129" s="28" t="s">
        <v>3492</v>
      </c>
      <c r="O129" s="29" t="s">
        <v>2381</v>
      </c>
    </row>
    <row r="130" spans="2:15" ht="20.100000000000001" customHeight="1" x14ac:dyDescent="0.25">
      <c r="B130" s="1" t="s">
        <v>5</v>
      </c>
      <c r="C130" s="1" t="str">
        <f>IF(Entity[[#This Row],[Link]]="","",HYPERLINK(HTMLDokuPath&amp;Entity[[#This Row],[Link]],"Doku"))</f>
        <v>Doku</v>
      </c>
      <c r="D130" s="2">
        <v>15</v>
      </c>
      <c r="E130" s="4" t="str">
        <f>IFERROR(IF(VLOOKUP(Entity[ID-Modul],Modul[],3,FALSE)=0,VLOOKUP(Entity[ID-Modul],Modul[],2,FALSE),VLOOKUP(Entity[ID-Modul],Modul[],3,FALSE)),"unbekannt")</f>
        <v>IfcGeometryResource</v>
      </c>
      <c r="F130" s="10" t="b">
        <v>1</v>
      </c>
      <c r="G130" s="10" t="b">
        <v>0</v>
      </c>
      <c r="H130" s="12" t="s">
        <v>661</v>
      </c>
      <c r="I130" s="1">
        <f>LEN(Entity[[#This Row],[IFC-Name]])</f>
        <v>19</v>
      </c>
      <c r="J130" s="1" t="s">
        <v>5</v>
      </c>
      <c r="K130" s="1">
        <f>LEN(Entity[[#This Row],[Klassen-Name]])</f>
        <v>19</v>
      </c>
      <c r="M130" s="1" t="b">
        <f>IF(NOT(Entity[[#This Row],[Supertype]]),TRUE,AND(Entity[[#This Row],[Supertype]],Entity[[#This Row],[Subtype]]))</f>
        <v>1</v>
      </c>
      <c r="N130" s="28" t="s">
        <v>2907</v>
      </c>
      <c r="O130" s="29" t="s">
        <v>1796</v>
      </c>
    </row>
    <row r="131" spans="2:15" ht="20.100000000000001" customHeight="1" x14ac:dyDescent="0.25">
      <c r="B131" s="7" t="s">
        <v>30</v>
      </c>
      <c r="C131" s="7" t="str">
        <f>IF(Entity[[#This Row],[Link]]="","",HYPERLINK(HTMLDokuPath&amp;Entity[[#This Row],[Link]],"Doku"))</f>
        <v>Doku</v>
      </c>
      <c r="D131" s="6">
        <v>15</v>
      </c>
      <c r="E131" s="20" t="str">
        <f>IFERROR(IF(VLOOKUP(Entity[ID-Modul],Modul[],3,FALSE)=0,VLOOKUP(Entity[ID-Modul],Modul[],2,FALSE),VLOOKUP(Entity[ID-Modul],Modul[],3,FALSE)),"unbekannt")</f>
        <v>IfcGeometryResource</v>
      </c>
      <c r="F131" s="21" t="b">
        <v>1</v>
      </c>
      <c r="G131" s="21" t="b">
        <v>0</v>
      </c>
      <c r="H131" s="22" t="s">
        <v>685</v>
      </c>
      <c r="I131" s="19">
        <f>LEN(Entity[[#This Row],[IFC-Name]])</f>
        <v>17</v>
      </c>
      <c r="J131" s="7" t="s">
        <v>30</v>
      </c>
      <c r="K131" s="19">
        <f>LEN(Entity[[#This Row],[Klassen-Name]])</f>
        <v>17</v>
      </c>
      <c r="L131" s="7"/>
      <c r="M131" s="19" t="b">
        <f>IF(NOT(Entity[[#This Row],[Supertype]]),TRUE,AND(Entity[[#This Row],[Supertype]],Entity[[#This Row],[Subtype]]))</f>
        <v>1</v>
      </c>
      <c r="N131" s="28" t="s">
        <v>2939</v>
      </c>
      <c r="O131" s="29" t="s">
        <v>1828</v>
      </c>
    </row>
    <row r="132" spans="2:15" ht="20.100000000000001" customHeight="1" x14ac:dyDescent="0.25">
      <c r="B132" s="7" t="s">
        <v>31</v>
      </c>
      <c r="C132" s="7" t="str">
        <f>IF(Entity[[#This Row],[Link]]="","",HYPERLINK(HTMLDokuPath&amp;Entity[[#This Row],[Link]],"Doku"))</f>
        <v>Doku</v>
      </c>
      <c r="D132" s="6">
        <v>15</v>
      </c>
      <c r="E132" s="20" t="str">
        <f>IFERROR(IF(VLOOKUP(Entity[ID-Modul],Modul[],3,FALSE)=0,VLOOKUP(Entity[ID-Modul],Modul[],2,FALSE),VLOOKUP(Entity[ID-Modul],Modul[],3,FALSE)),"unbekannt")</f>
        <v>IfcGeometryResource</v>
      </c>
      <c r="F132" s="21" t="b">
        <v>1</v>
      </c>
      <c r="G132" s="21" t="b">
        <v>0</v>
      </c>
      <c r="H132" s="22" t="s">
        <v>686</v>
      </c>
      <c r="I132" s="19">
        <f>LEN(Entity[[#This Row],[IFC-Name]])</f>
        <v>19</v>
      </c>
      <c r="J132" s="7" t="s">
        <v>31</v>
      </c>
      <c r="K132" s="19">
        <f>LEN(Entity[[#This Row],[Klassen-Name]])</f>
        <v>19</v>
      </c>
      <c r="L132" s="7"/>
      <c r="M132" s="19" t="b">
        <f>IF(NOT(Entity[[#This Row],[Supertype]]),TRUE,AND(Entity[[#This Row],[Supertype]],Entity[[#This Row],[Subtype]]))</f>
        <v>1</v>
      </c>
      <c r="N132" s="28" t="s">
        <v>2940</v>
      </c>
      <c r="O132" s="29" t="s">
        <v>1829</v>
      </c>
    </row>
    <row r="133" spans="2:15" ht="20.100000000000001" customHeight="1" x14ac:dyDescent="0.25">
      <c r="B133" s="7" t="s">
        <v>32</v>
      </c>
      <c r="C133" s="7" t="str">
        <f>IF(Entity[[#This Row],[Link]]="","",HYPERLINK(HTMLDokuPath&amp;Entity[[#This Row],[Link]],"Doku"))</f>
        <v>Doku</v>
      </c>
      <c r="D133" s="6">
        <v>15</v>
      </c>
      <c r="E133" s="20" t="str">
        <f>IFERROR(IF(VLOOKUP(Entity[ID-Modul],Modul[],3,FALSE)=0,VLOOKUP(Entity[ID-Modul],Modul[],2,FALSE),VLOOKUP(Entity[ID-Modul],Modul[],3,FALSE)),"unbekannt")</f>
        <v>IfcGeometryResource</v>
      </c>
      <c r="F133" s="21" t="b">
        <v>1</v>
      </c>
      <c r="G133" s="21" t="b">
        <v>0</v>
      </c>
      <c r="H133" s="22" t="s">
        <v>687</v>
      </c>
      <c r="I133" s="19">
        <f>LEN(Entity[[#This Row],[IFC-Name]])</f>
        <v>19</v>
      </c>
      <c r="J133" s="7" t="s">
        <v>32</v>
      </c>
      <c r="K133" s="19">
        <f>LEN(Entity[[#This Row],[Klassen-Name]])</f>
        <v>19</v>
      </c>
      <c r="L133" s="7"/>
      <c r="M133" s="19" t="b">
        <f>IF(NOT(Entity[[#This Row],[Supertype]]),TRUE,AND(Entity[[#This Row],[Supertype]],Entity[[#This Row],[Subtype]]))</f>
        <v>1</v>
      </c>
      <c r="N133" s="28" t="s">
        <v>2941</v>
      </c>
      <c r="O133" s="29" t="s">
        <v>1830</v>
      </c>
    </row>
    <row r="134" spans="2:15" ht="20.100000000000001" customHeight="1" x14ac:dyDescent="0.25">
      <c r="B134" s="7" t="s">
        <v>36</v>
      </c>
      <c r="C134" s="7" t="str">
        <f>IF(Entity[[#This Row],[Link]]="","",HYPERLINK(HTMLDokuPath&amp;Entity[[#This Row],[Link]],"Doku"))</f>
        <v>Doku</v>
      </c>
      <c r="D134" s="6">
        <v>15</v>
      </c>
      <c r="E134" s="20" t="str">
        <f>IFERROR(IF(VLOOKUP(Entity[ID-Modul],Modul[],3,FALSE)=0,VLOOKUP(Entity[ID-Modul],Modul[],2,FALSE),VLOOKUP(Entity[ID-Modul],Modul[],3,FALSE)),"unbekannt")</f>
        <v>IfcGeometryResource</v>
      </c>
      <c r="F134" s="21" t="b">
        <v>1</v>
      </c>
      <c r="G134" s="21" t="b">
        <v>1</v>
      </c>
      <c r="H134" s="22" t="s">
        <v>1300</v>
      </c>
      <c r="I134" s="19">
        <f>LEN(Entity[[#This Row],[IFC-Name]])</f>
        <v>14</v>
      </c>
      <c r="J134" s="7" t="s">
        <v>36</v>
      </c>
      <c r="K134" s="19">
        <f>LEN(Entity[[#This Row],[Klassen-Name]])</f>
        <v>14</v>
      </c>
      <c r="L134" s="7"/>
      <c r="M134" s="19" t="b">
        <f>IF(NOT(Entity[[#This Row],[Supertype]]),TRUE,AND(Entity[[#This Row],[Supertype]],Entity[[#This Row],[Subtype]]))</f>
        <v>1</v>
      </c>
      <c r="N134" s="28" t="s">
        <v>2944</v>
      </c>
      <c r="O134" s="29" t="s">
        <v>1834</v>
      </c>
    </row>
    <row r="135" spans="2:15" ht="20.100000000000001" customHeight="1" x14ac:dyDescent="0.25">
      <c r="B135" s="7" t="s">
        <v>47</v>
      </c>
      <c r="C135" s="7" t="str">
        <f>IF(Entity[[#This Row],[Link]]="","",HYPERLINK(HTMLDokuPath&amp;Entity[[#This Row],[Link]],"Doku"))</f>
        <v>Doku</v>
      </c>
      <c r="D135" s="6">
        <v>15</v>
      </c>
      <c r="E135" s="20" t="str">
        <f>IFERROR(IF(VLOOKUP(Entity[ID-Modul],Modul[],3,FALSE)=0,VLOOKUP(Entity[ID-Modul],Modul[],2,FALSE),VLOOKUP(Entity[ID-Modul],Modul[],3,FALSE)),"unbekannt")</f>
        <v>IfcGeometryResource</v>
      </c>
      <c r="F135" s="21" t="b">
        <v>1</v>
      </c>
      <c r="G135" s="21" t="b">
        <v>1</v>
      </c>
      <c r="H135" s="22" t="s">
        <v>1304</v>
      </c>
      <c r="I135" s="19">
        <f>LEN(Entity[[#This Row],[IFC-Name]])</f>
        <v>15</v>
      </c>
      <c r="J135" s="7" t="s">
        <v>47</v>
      </c>
      <c r="K135" s="19">
        <f>LEN(Entity[[#This Row],[Klassen-Name]])</f>
        <v>15</v>
      </c>
      <c r="L135" s="7"/>
      <c r="M135" s="19" t="b">
        <f>IF(NOT(Entity[[#This Row],[Supertype]]),TRUE,AND(Entity[[#This Row],[Supertype]],Entity[[#This Row],[Subtype]]))</f>
        <v>1</v>
      </c>
      <c r="N135" s="28" t="s">
        <v>2955</v>
      </c>
      <c r="O135" s="29" t="s">
        <v>1845</v>
      </c>
    </row>
    <row r="136" spans="2:15" ht="20.100000000000001" customHeight="1" x14ac:dyDescent="0.25">
      <c r="B136" s="7" t="s">
        <v>48</v>
      </c>
      <c r="C136" s="7" t="str">
        <f>IF(Entity[[#This Row],[Link]]="","",HYPERLINK(HTMLDokuPath&amp;Entity[[#This Row],[Link]],"Doku"))</f>
        <v>Doku</v>
      </c>
      <c r="D136" s="6">
        <v>15</v>
      </c>
      <c r="E136" s="20" t="str">
        <f>IFERROR(IF(VLOOKUP(Entity[ID-Modul],Modul[],3,FALSE)=0,VLOOKUP(Entity[ID-Modul],Modul[],2,FALSE),VLOOKUP(Entity[ID-Modul],Modul[],3,FALSE)),"unbekannt")</f>
        <v>IfcGeometryResource</v>
      </c>
      <c r="F136" s="21" t="b">
        <v>1</v>
      </c>
      <c r="G136" s="21" t="b">
        <v>1</v>
      </c>
      <c r="H136" s="22" t="s">
        <v>1305</v>
      </c>
      <c r="I136" s="19">
        <f>LEN(Entity[[#This Row],[IFC-Name]])</f>
        <v>17</v>
      </c>
      <c r="J136" s="7" t="s">
        <v>48</v>
      </c>
      <c r="K136" s="19">
        <f>LEN(Entity[[#This Row],[Klassen-Name]])</f>
        <v>17</v>
      </c>
      <c r="L136" s="7"/>
      <c r="M136" s="19" t="b">
        <f>IF(NOT(Entity[[#This Row],[Supertype]]),TRUE,AND(Entity[[#This Row],[Supertype]],Entity[[#This Row],[Subtype]]))</f>
        <v>1</v>
      </c>
      <c r="N136" s="28" t="s">
        <v>2956</v>
      </c>
      <c r="O136" s="29" t="s">
        <v>1846</v>
      </c>
    </row>
    <row r="137" spans="2:15" ht="20.100000000000001" customHeight="1" x14ac:dyDescent="0.25">
      <c r="B137" s="7" t="s">
        <v>33</v>
      </c>
      <c r="C137" s="7" t="str">
        <f>IF(Entity[[#This Row],[Link]]="","",HYPERLINK(HTMLDokuPath&amp;Entity[[#This Row],[Link]],"Doku"))</f>
        <v>Doku</v>
      </c>
      <c r="D137" s="6">
        <v>15</v>
      </c>
      <c r="E137" s="20" t="str">
        <f>IFERROR(IF(VLOOKUP(Entity[ID-Modul],Modul[],3,FALSE)=0,VLOOKUP(Entity[ID-Modul],Modul[],2,FALSE),VLOOKUP(Entity[ID-Modul],Modul[],3,FALSE)),"unbekannt")</f>
        <v>IfcGeometryResource</v>
      </c>
      <c r="F137" s="21" t="b">
        <v>1</v>
      </c>
      <c r="G137" s="21" t="b">
        <v>1</v>
      </c>
      <c r="H137" s="22" t="s">
        <v>1299</v>
      </c>
      <c r="I137" s="19">
        <f>LEN(Entity[[#This Row],[IFC-Name]])</f>
        <v>15</v>
      </c>
      <c r="J137" s="7" t="s">
        <v>33</v>
      </c>
      <c r="K137" s="19">
        <f>LEN(Entity[[#This Row],[Klassen-Name]])</f>
        <v>15</v>
      </c>
      <c r="L137" s="7"/>
      <c r="M137" s="19" t="b">
        <f>IF(NOT(Entity[[#This Row],[Supertype]]),TRUE,AND(Entity[[#This Row],[Supertype]],Entity[[#This Row],[Subtype]]))</f>
        <v>1</v>
      </c>
      <c r="N137" s="28" t="s">
        <v>2959</v>
      </c>
      <c r="O137" s="29" t="s">
        <v>1831</v>
      </c>
    </row>
    <row r="138" spans="2:15" ht="20.100000000000001" customHeight="1" x14ac:dyDescent="0.25">
      <c r="B138" s="7" t="s">
        <v>63</v>
      </c>
      <c r="C138" s="7" t="str">
        <f>IF(Entity[[#This Row],[Link]]="","",HYPERLINK(HTMLDokuPath&amp;Entity[[#This Row],[Link]],"Doku"))</f>
        <v>Doku</v>
      </c>
      <c r="D138" s="6">
        <v>15</v>
      </c>
      <c r="E138" s="20" t="str">
        <f>IFERROR(IF(VLOOKUP(Entity[ID-Modul],Modul[],3,FALSE)=0,VLOOKUP(Entity[ID-Modul],Modul[],2,FALSE),VLOOKUP(Entity[ID-Modul],Modul[],3,FALSE)),"unbekannt")</f>
        <v>IfcGeometryResource</v>
      </c>
      <c r="F138" s="21" t="b">
        <v>1</v>
      </c>
      <c r="G138" s="21" t="b">
        <v>0</v>
      </c>
      <c r="H138" s="22" t="s">
        <v>709</v>
      </c>
      <c r="I138" s="19">
        <f>LEN(Entity[[#This Row],[IFC-Name]])</f>
        <v>17</v>
      </c>
      <c r="J138" s="7" t="s">
        <v>63</v>
      </c>
      <c r="K138" s="19">
        <f>LEN(Entity[[#This Row],[Klassen-Name]])</f>
        <v>17</v>
      </c>
      <c r="L138" s="7"/>
      <c r="M138" s="19" t="b">
        <f>IF(NOT(Entity[[#This Row],[Supertype]]),TRUE,AND(Entity[[#This Row],[Supertype]],Entity[[#This Row],[Subtype]]))</f>
        <v>1</v>
      </c>
      <c r="N138" s="28" t="s">
        <v>2972</v>
      </c>
      <c r="O138" s="29" t="s">
        <v>1862</v>
      </c>
    </row>
    <row r="139" spans="2:15" ht="20.100000000000001" customHeight="1" x14ac:dyDescent="0.25">
      <c r="B139" s="7" t="s">
        <v>64</v>
      </c>
      <c r="C139" s="7" t="str">
        <f>IF(Entity[[#This Row],[Link]]="","",HYPERLINK(HTMLDokuPath&amp;Entity[[#This Row],[Link]],"Doku"))</f>
        <v>Doku</v>
      </c>
      <c r="D139" s="6">
        <v>15</v>
      </c>
      <c r="E139" s="20" t="str">
        <f>IFERROR(IF(VLOOKUP(Entity[ID-Modul],Modul[],3,FALSE)=0,VLOOKUP(Entity[ID-Modul],Modul[],2,FALSE),VLOOKUP(Entity[ID-Modul],Modul[],3,FALSE)),"unbekannt")</f>
        <v>IfcGeometryResource</v>
      </c>
      <c r="F139" s="21" t="b">
        <v>1</v>
      </c>
      <c r="G139" s="21" t="b">
        <v>1</v>
      </c>
      <c r="H139" s="22" t="s">
        <v>1309</v>
      </c>
      <c r="I139" s="19">
        <f>LEN(Entity[[#This Row],[IFC-Name]])</f>
        <v>34</v>
      </c>
      <c r="J139" s="1" t="s">
        <v>2870</v>
      </c>
      <c r="K139" s="19">
        <f>LEN(Entity[[#This Row],[Klassen-Name]])</f>
        <v>19</v>
      </c>
      <c r="L139" s="7"/>
      <c r="M139" s="19" t="b">
        <f>IF(NOT(Entity[[#This Row],[Supertype]]),TRUE,AND(Entity[[#This Row],[Supertype]],Entity[[#This Row],[Subtype]]))</f>
        <v>1</v>
      </c>
      <c r="N139" s="28" t="s">
        <v>2973</v>
      </c>
      <c r="O139" s="29" t="s">
        <v>1863</v>
      </c>
    </row>
    <row r="140" spans="2:15" ht="20.100000000000001" customHeight="1" x14ac:dyDescent="0.25">
      <c r="B140" s="7" t="s">
        <v>65</v>
      </c>
      <c r="C140" s="7" t="str">
        <f>IF(Entity[[#This Row],[Link]]="","",HYPERLINK(HTMLDokuPath&amp;Entity[[#This Row],[Link]],"Doku"))</f>
        <v>Doku</v>
      </c>
      <c r="D140" s="6">
        <v>15</v>
      </c>
      <c r="E140" s="20" t="str">
        <f>IFERROR(IF(VLOOKUP(Entity[ID-Modul],Modul[],3,FALSE)=0,VLOOKUP(Entity[ID-Modul],Modul[],2,FALSE),VLOOKUP(Entity[ID-Modul],Modul[],3,FALSE)),"unbekannt")</f>
        <v>IfcGeometryResource</v>
      </c>
      <c r="F140" s="21" t="b">
        <v>1</v>
      </c>
      <c r="G140" s="21" t="b">
        <v>1</v>
      </c>
      <c r="H140" s="22" t="s">
        <v>1310</v>
      </c>
      <c r="I140" s="19">
        <f>LEN(Entity[[#This Row],[IFC-Name]])</f>
        <v>36</v>
      </c>
      <c r="J140" s="1" t="s">
        <v>2869</v>
      </c>
      <c r="K140" s="19">
        <f>LEN(Entity[[#This Row],[Klassen-Name]])</f>
        <v>21</v>
      </c>
      <c r="L140" s="7"/>
      <c r="M140" s="19" t="b">
        <f>IF(NOT(Entity[[#This Row],[Supertype]]),TRUE,AND(Entity[[#This Row],[Supertype]],Entity[[#This Row],[Subtype]]))</f>
        <v>1</v>
      </c>
      <c r="N140" s="28" t="s">
        <v>2974</v>
      </c>
      <c r="O140" s="29" t="s">
        <v>1864</v>
      </c>
    </row>
    <row r="141" spans="2:15" ht="20.100000000000001" customHeight="1" x14ac:dyDescent="0.25">
      <c r="B141" s="7" t="s">
        <v>66</v>
      </c>
      <c r="C141" s="7" t="str">
        <f>IF(Entity[[#This Row],[Link]]="","",HYPERLINK(HTMLDokuPath&amp;Entity[[#This Row],[Link]],"Doku"))</f>
        <v>Doku</v>
      </c>
      <c r="D141" s="6">
        <v>15</v>
      </c>
      <c r="E141" s="20" t="str">
        <f>IFERROR(IF(VLOOKUP(Entity[ID-Modul],Modul[],3,FALSE)=0,VLOOKUP(Entity[ID-Modul],Modul[],2,FALSE),VLOOKUP(Entity[ID-Modul],Modul[],3,FALSE)),"unbekannt")</f>
        <v>IfcGeometryResource</v>
      </c>
      <c r="F141" s="21" t="b">
        <v>1</v>
      </c>
      <c r="G141" s="21" t="b">
        <v>0</v>
      </c>
      <c r="H141" s="22" t="s">
        <v>710</v>
      </c>
      <c r="I141" s="19">
        <f>LEN(Entity[[#This Row],[IFC-Name]])</f>
        <v>46</v>
      </c>
      <c r="J141" s="1" t="s">
        <v>2868</v>
      </c>
      <c r="K141" s="19">
        <f>LEN(Entity[[#This Row],[Klassen-Name]])</f>
        <v>31</v>
      </c>
      <c r="L141" s="7"/>
      <c r="M141" s="19" t="b">
        <f>IF(NOT(Entity[[#This Row],[Supertype]]),TRUE,AND(Entity[[#This Row],[Supertype]],Entity[[#This Row],[Subtype]]))</f>
        <v>1</v>
      </c>
      <c r="N141" s="28" t="s">
        <v>2975</v>
      </c>
      <c r="O141" s="29" t="s">
        <v>1865</v>
      </c>
    </row>
    <row r="142" spans="2:15" ht="20.100000000000001" customHeight="1" x14ac:dyDescent="0.25">
      <c r="B142" s="7" t="s">
        <v>67</v>
      </c>
      <c r="C142" s="7" t="str">
        <f>IF(Entity[[#This Row],[Link]]="","",HYPERLINK(HTMLDokuPath&amp;Entity[[#This Row],[Link]],"Doku"))</f>
        <v>Doku</v>
      </c>
      <c r="D142" s="6">
        <v>15</v>
      </c>
      <c r="E142" s="20" t="str">
        <f>IFERROR(IF(VLOOKUP(Entity[ID-Modul],Modul[],3,FALSE)=0,VLOOKUP(Entity[ID-Modul],Modul[],2,FALSE),VLOOKUP(Entity[ID-Modul],Modul[],3,FALSE)),"unbekannt")</f>
        <v>IfcGeometryResource</v>
      </c>
      <c r="F142" s="21" t="b">
        <v>1</v>
      </c>
      <c r="G142" s="21" t="b">
        <v>1</v>
      </c>
      <c r="H142" s="22" t="s">
        <v>1311</v>
      </c>
      <c r="I142" s="19">
        <f>LEN(Entity[[#This Row],[IFC-Name]])</f>
        <v>36</v>
      </c>
      <c r="J142" s="1" t="s">
        <v>2871</v>
      </c>
      <c r="K142" s="19">
        <f>LEN(Entity[[#This Row],[Klassen-Name]])</f>
        <v>21</v>
      </c>
      <c r="L142" s="7"/>
      <c r="M142" s="19" t="b">
        <f>IF(NOT(Entity[[#This Row],[Supertype]]),TRUE,AND(Entity[[#This Row],[Supertype]],Entity[[#This Row],[Subtype]]))</f>
        <v>1</v>
      </c>
      <c r="N142" s="28" t="s">
        <v>2976</v>
      </c>
      <c r="O142" s="29" t="s">
        <v>1866</v>
      </c>
    </row>
    <row r="143" spans="2:15" ht="20.100000000000001" customHeight="1" x14ac:dyDescent="0.25">
      <c r="B143" s="7" t="s">
        <v>68</v>
      </c>
      <c r="C143" s="7" t="str">
        <f>IF(Entity[[#This Row],[Link]]="","",HYPERLINK(HTMLDokuPath&amp;Entity[[#This Row],[Link]],"Doku"))</f>
        <v>Doku</v>
      </c>
      <c r="D143" s="6">
        <v>15</v>
      </c>
      <c r="E143" s="20" t="str">
        <f>IFERROR(IF(VLOOKUP(Entity[ID-Modul],Modul[],3,FALSE)=0,VLOOKUP(Entity[ID-Modul],Modul[],2,FALSE),VLOOKUP(Entity[ID-Modul],Modul[],3,FALSE)),"unbekannt")</f>
        <v>IfcGeometryResource</v>
      </c>
      <c r="F143" s="21" t="b">
        <v>1</v>
      </c>
      <c r="G143" s="21" t="b">
        <v>0</v>
      </c>
      <c r="H143" s="22" t="s">
        <v>711</v>
      </c>
      <c r="I143" s="19">
        <f>LEN(Entity[[#This Row],[IFC-Name]])</f>
        <v>46</v>
      </c>
      <c r="J143" s="1" t="s">
        <v>2872</v>
      </c>
      <c r="K143" s="19">
        <f>LEN(Entity[[#This Row],[Klassen-Name]])</f>
        <v>31</v>
      </c>
      <c r="L143" s="7"/>
      <c r="M143" s="19" t="b">
        <f>IF(NOT(Entity[[#This Row],[Supertype]]),TRUE,AND(Entity[[#This Row],[Supertype]],Entity[[#This Row],[Subtype]]))</f>
        <v>1</v>
      </c>
      <c r="N143" s="28" t="s">
        <v>2977</v>
      </c>
      <c r="O143" s="29" t="s">
        <v>1867</v>
      </c>
    </row>
    <row r="144" spans="2:15" ht="20.100000000000001" customHeight="1" x14ac:dyDescent="0.25">
      <c r="B144" s="7" t="s">
        <v>72</v>
      </c>
      <c r="C144" s="7" t="str">
        <f>IF(Entity[[#This Row],[Link]]="","",HYPERLINK(HTMLDokuPath&amp;Entity[[#This Row],[Link]],"Doku"))</f>
        <v>Doku</v>
      </c>
      <c r="D144" s="6">
        <v>15</v>
      </c>
      <c r="E144" s="20" t="str">
        <f>IFERROR(IF(VLOOKUP(Entity[ID-Modul],Modul[],3,FALSE)=0,VLOOKUP(Entity[ID-Modul],Modul[],2,FALSE),VLOOKUP(Entity[ID-Modul],Modul[],3,FALSE)),"unbekannt")</f>
        <v>IfcGeometryResource</v>
      </c>
      <c r="F144" s="21" t="b">
        <v>1</v>
      </c>
      <c r="G144" s="21" t="b">
        <v>0</v>
      </c>
      <c r="H144" s="22" t="s">
        <v>715</v>
      </c>
      <c r="I144" s="19">
        <f>LEN(Entity[[#This Row],[IFC-Name]])</f>
        <v>9</v>
      </c>
      <c r="J144" s="7" t="s">
        <v>72</v>
      </c>
      <c r="K144" s="19">
        <f>LEN(Entity[[#This Row],[Klassen-Name]])</f>
        <v>9</v>
      </c>
      <c r="L144" s="7"/>
      <c r="M144" s="19" t="b">
        <f>IF(NOT(Entity[[#This Row],[Supertype]]),TRUE,AND(Entity[[#This Row],[Supertype]],Entity[[#This Row],[Subtype]]))</f>
        <v>1</v>
      </c>
      <c r="N144" s="28" t="s">
        <v>2981</v>
      </c>
      <c r="O144" s="29" t="s">
        <v>1871</v>
      </c>
    </row>
    <row r="145" spans="2:15" ht="20.100000000000001" customHeight="1" x14ac:dyDescent="0.25">
      <c r="B145" s="7" t="s">
        <v>83</v>
      </c>
      <c r="C145" s="7" t="str">
        <f>IF(Entity[[#This Row],[Link]]="","",HYPERLINK(HTMLDokuPath&amp;Entity[[#This Row],[Link]],"Doku"))</f>
        <v>Doku</v>
      </c>
      <c r="D145" s="6">
        <v>15</v>
      </c>
      <c r="E145" s="20" t="str">
        <f>IFERROR(IF(VLOOKUP(Entity[ID-Modul],Modul[],3,FALSE)=0,VLOOKUP(Entity[ID-Modul],Modul[],2,FALSE),VLOOKUP(Entity[ID-Modul],Modul[],3,FALSE)),"unbekannt")</f>
        <v>IfcGeometryResource</v>
      </c>
      <c r="F145" s="21" t="b">
        <v>1</v>
      </c>
      <c r="G145" s="21" t="b">
        <v>1</v>
      </c>
      <c r="H145" s="22" t="s">
        <v>1314</v>
      </c>
      <c r="I145" s="19">
        <f>LEN(Entity[[#This Row],[IFC-Name]])</f>
        <v>17</v>
      </c>
      <c r="J145" s="7" t="s">
        <v>83</v>
      </c>
      <c r="K145" s="19">
        <f>LEN(Entity[[#This Row],[Klassen-Name]])</f>
        <v>17</v>
      </c>
      <c r="L145" s="7"/>
      <c r="M145" s="19" t="b">
        <f>IF(NOT(Entity[[#This Row],[Supertype]]),TRUE,AND(Entity[[#This Row],[Supertype]],Entity[[#This Row],[Subtype]]))</f>
        <v>1</v>
      </c>
      <c r="N145" s="28" t="s">
        <v>2997</v>
      </c>
      <c r="O145" s="29" t="s">
        <v>1887</v>
      </c>
    </row>
    <row r="146" spans="2:15" ht="20.100000000000001" customHeight="1" x14ac:dyDescent="0.25">
      <c r="B146" s="7" t="s">
        <v>84</v>
      </c>
      <c r="C146" s="7" t="str">
        <f>IF(Entity[[#This Row],[Link]]="","",HYPERLINK(HTMLDokuPath&amp;Entity[[#This Row],[Link]],"Doku"))</f>
        <v>Doku</v>
      </c>
      <c r="D146" s="6">
        <v>15</v>
      </c>
      <c r="E146" s="20" t="str">
        <f>IFERROR(IF(VLOOKUP(Entity[ID-Modul],Modul[],3,FALSE)=0,VLOOKUP(Entity[ID-Modul],Modul[],2,FALSE),VLOOKUP(Entity[ID-Modul],Modul[],3,FALSE)),"unbekannt")</f>
        <v>IfcGeometryResource</v>
      </c>
      <c r="F146" s="21" t="b">
        <v>1</v>
      </c>
      <c r="G146" s="21" t="b">
        <v>0</v>
      </c>
      <c r="H146" s="22" t="s">
        <v>729</v>
      </c>
      <c r="I146" s="19">
        <f>LEN(Entity[[#This Row],[IFC-Name]])</f>
        <v>24</v>
      </c>
      <c r="J146" s="7" t="s">
        <v>84</v>
      </c>
      <c r="K146" s="19">
        <f>LEN(Entity[[#This Row],[Klassen-Name]])</f>
        <v>24</v>
      </c>
      <c r="L146" s="7"/>
      <c r="M146" s="19" t="b">
        <f>IF(NOT(Entity[[#This Row],[Supertype]]),TRUE,AND(Entity[[#This Row],[Supertype]],Entity[[#This Row],[Subtype]]))</f>
        <v>1</v>
      </c>
      <c r="N146" s="28" t="s">
        <v>2998</v>
      </c>
      <c r="O146" s="29" t="s">
        <v>1888</v>
      </c>
    </row>
    <row r="147" spans="2:15" ht="20.100000000000001" customHeight="1" x14ac:dyDescent="0.25">
      <c r="B147" s="7" t="s">
        <v>90</v>
      </c>
      <c r="C147" s="7" t="str">
        <f>IF(Entity[[#This Row],[Link]]="","",HYPERLINK(HTMLDokuPath&amp;Entity[[#This Row],[Link]],"Doku"))</f>
        <v>Doku</v>
      </c>
      <c r="D147" s="6">
        <v>15</v>
      </c>
      <c r="E147" s="20" t="str">
        <f>IFERROR(IF(VLOOKUP(Entity[ID-Modul],Modul[],3,FALSE)=0,VLOOKUP(Entity[ID-Modul],Modul[],2,FALSE),VLOOKUP(Entity[ID-Modul],Modul[],3,FALSE)),"unbekannt")</f>
        <v>IfcGeometryResource</v>
      </c>
      <c r="F147" s="21" t="b">
        <v>1</v>
      </c>
      <c r="G147" s="21" t="b">
        <v>1</v>
      </c>
      <c r="H147" s="22" t="s">
        <v>1315</v>
      </c>
      <c r="I147" s="19">
        <f>LEN(Entity[[#This Row],[IFC-Name]])</f>
        <v>8</v>
      </c>
      <c r="J147" s="7" t="s">
        <v>90</v>
      </c>
      <c r="K147" s="19">
        <f>LEN(Entity[[#This Row],[Klassen-Name]])</f>
        <v>8</v>
      </c>
      <c r="L147" s="7"/>
      <c r="M147" s="19" t="b">
        <f>IF(NOT(Entity[[#This Row],[Supertype]]),TRUE,AND(Entity[[#This Row],[Supertype]],Entity[[#This Row],[Subtype]]))</f>
        <v>1</v>
      </c>
      <c r="N147" s="28" t="s">
        <v>3004</v>
      </c>
      <c r="O147" s="29" t="s">
        <v>1894</v>
      </c>
    </row>
    <row r="148" spans="2:15" ht="20.100000000000001" customHeight="1" x14ac:dyDescent="0.25">
      <c r="B148" s="7" t="s">
        <v>121</v>
      </c>
      <c r="C148" s="7" t="str">
        <f>IF(Entity[[#This Row],[Link]]="","",HYPERLINK(HTMLDokuPath&amp;Entity[[#This Row],[Link]],"Doku"))</f>
        <v>Doku</v>
      </c>
      <c r="D148" s="6">
        <v>15</v>
      </c>
      <c r="E148" s="20" t="str">
        <f>IFERROR(IF(VLOOKUP(Entity[ID-Modul],Modul[],3,FALSE)=0,VLOOKUP(Entity[ID-Modul],Modul[],2,FALSE),VLOOKUP(Entity[ID-Modul],Modul[],3,FALSE)),"unbekannt")</f>
        <v>IfcGeometryResource</v>
      </c>
      <c r="F148" s="21" t="b">
        <v>1</v>
      </c>
      <c r="G148" s="21" t="b">
        <v>1</v>
      </c>
      <c r="H148" s="22" t="s">
        <v>1323</v>
      </c>
      <c r="I148" s="19">
        <f>LEN(Entity[[#This Row],[IFC-Name]])</f>
        <v>8</v>
      </c>
      <c r="J148" s="7" t="s">
        <v>121</v>
      </c>
      <c r="K148" s="19">
        <f>LEN(Entity[[#This Row],[Klassen-Name]])</f>
        <v>8</v>
      </c>
      <c r="L148" s="7"/>
      <c r="M148" s="19" t="b">
        <f>IF(NOT(Entity[[#This Row],[Supertype]]),TRUE,AND(Entity[[#This Row],[Supertype]],Entity[[#This Row],[Subtype]]))</f>
        <v>1</v>
      </c>
      <c r="N148" s="28" t="s">
        <v>3041</v>
      </c>
      <c r="O148" s="29" t="s">
        <v>1930</v>
      </c>
    </row>
    <row r="149" spans="2:15" ht="20.100000000000001" customHeight="1" x14ac:dyDescent="0.25">
      <c r="B149" s="7" t="s">
        <v>122</v>
      </c>
      <c r="C149" s="7" t="str">
        <f>IF(Entity[[#This Row],[Link]]="","",HYPERLINK(HTMLDokuPath&amp;Entity[[#This Row],[Link]],"Doku"))</f>
        <v>Doku</v>
      </c>
      <c r="D149" s="6">
        <v>15</v>
      </c>
      <c r="E149" s="20" t="str">
        <f>IFERROR(IF(VLOOKUP(Entity[ID-Modul],Modul[],3,FALSE)=0,VLOOKUP(Entity[ID-Modul],Modul[],2,FALSE),VLOOKUP(Entity[ID-Modul],Modul[],3,FALSE)),"unbekannt")</f>
        <v>IfcGeometryResource</v>
      </c>
      <c r="F149" s="21" t="b">
        <v>1</v>
      </c>
      <c r="G149" s="21" t="b">
        <v>0</v>
      </c>
      <c r="H149" s="22" t="s">
        <v>763</v>
      </c>
      <c r="I149" s="19">
        <f>LEN(Entity[[#This Row],[IFC-Name]])</f>
        <v>20</v>
      </c>
      <c r="J149" s="7" t="s">
        <v>122</v>
      </c>
      <c r="K149" s="19">
        <f>LEN(Entity[[#This Row],[Klassen-Name]])</f>
        <v>20</v>
      </c>
      <c r="L149" s="7"/>
      <c r="M149" s="19" t="b">
        <f>IF(NOT(Entity[[#This Row],[Supertype]]),TRUE,AND(Entity[[#This Row],[Supertype]],Entity[[#This Row],[Subtype]]))</f>
        <v>1</v>
      </c>
      <c r="N149" s="28" t="s">
        <v>3042</v>
      </c>
      <c r="O149" s="29" t="s">
        <v>1931</v>
      </c>
    </row>
    <row r="150" spans="2:15" ht="20.100000000000001" customHeight="1" x14ac:dyDescent="0.25">
      <c r="B150" s="7" t="s">
        <v>133</v>
      </c>
      <c r="C150" s="7" t="str">
        <f>IF(Entity[[#This Row],[Link]]="","",HYPERLINK(HTMLDokuPath&amp;Entity[[#This Row],[Link]],"Doku"))</f>
        <v>Doku</v>
      </c>
      <c r="D150" s="6">
        <v>15</v>
      </c>
      <c r="E150" s="20" t="str">
        <f>IFERROR(IF(VLOOKUP(Entity[ID-Modul],Modul[],3,FALSE)=0,VLOOKUP(Entity[ID-Modul],Modul[],2,FALSE),VLOOKUP(Entity[ID-Modul],Modul[],3,FALSE)),"unbekannt")</f>
        <v>IfcGeometryResource</v>
      </c>
      <c r="F150" s="21" t="b">
        <v>1</v>
      </c>
      <c r="G150" s="21" t="b">
        <v>0</v>
      </c>
      <c r="H150" s="22" t="s">
        <v>780</v>
      </c>
      <c r="I150" s="19">
        <f>LEN(Entity[[#This Row],[IFC-Name]])</f>
        <v>12</v>
      </c>
      <c r="J150" s="7" t="s">
        <v>133</v>
      </c>
      <c r="K150" s="19">
        <f>LEN(Entity[[#This Row],[Klassen-Name]])</f>
        <v>12</v>
      </c>
      <c r="L150" s="7"/>
      <c r="M150" s="19" t="b">
        <f>IF(NOT(Entity[[#This Row],[Supertype]]),TRUE,AND(Entity[[#This Row],[Supertype]],Entity[[#This Row],[Subtype]]))</f>
        <v>1</v>
      </c>
      <c r="N150" s="28" t="s">
        <v>3060</v>
      </c>
      <c r="O150" s="29" t="s">
        <v>1949</v>
      </c>
    </row>
    <row r="151" spans="2:15" ht="20.100000000000001" customHeight="1" x14ac:dyDescent="0.25">
      <c r="B151" s="7" t="s">
        <v>178</v>
      </c>
      <c r="C151" s="7" t="str">
        <f>IF(Entity[[#This Row],[Link]]="","",HYPERLINK(HTMLDokuPath&amp;Entity[[#This Row],[Link]],"Doku"))</f>
        <v>Doku</v>
      </c>
      <c r="D151" s="6">
        <v>15</v>
      </c>
      <c r="E151" s="20" t="str">
        <f>IFERROR(IF(VLOOKUP(Entity[ID-Modul],Modul[],3,FALSE)=0,VLOOKUP(Entity[ID-Modul],Modul[],2,FALSE),VLOOKUP(Entity[ID-Modul],Modul[],3,FALSE)),"unbekannt")</f>
        <v>IfcGeometryResource</v>
      </c>
      <c r="F151" s="21" t="b">
        <v>1</v>
      </c>
      <c r="G151" s="21" t="b">
        <v>1</v>
      </c>
      <c r="H151" s="22" t="s">
        <v>1339</v>
      </c>
      <c r="I151" s="19">
        <f>LEN(Entity[[#This Row],[IFC-Name]])</f>
        <v>20</v>
      </c>
      <c r="J151" s="7" t="s">
        <v>178</v>
      </c>
      <c r="K151" s="19">
        <f>LEN(Entity[[#This Row],[Klassen-Name]])</f>
        <v>20</v>
      </c>
      <c r="L151" s="7"/>
      <c r="M151" s="19" t="b">
        <f>IF(NOT(Entity[[#This Row],[Supertype]]),TRUE,AND(Entity[[#This Row],[Supertype]],Entity[[#This Row],[Subtype]]))</f>
        <v>1</v>
      </c>
      <c r="N151" s="28" t="s">
        <v>3103</v>
      </c>
      <c r="O151" s="29" t="s">
        <v>1997</v>
      </c>
    </row>
    <row r="152" spans="2:15" ht="20.100000000000001" customHeight="1" x14ac:dyDescent="0.25">
      <c r="B152" s="7" t="s">
        <v>179</v>
      </c>
      <c r="C152" s="7" t="str">
        <f>IF(Entity[[#This Row],[Link]]="","",HYPERLINK(HTMLDokuPath&amp;Entity[[#This Row],[Link]],"Doku"))</f>
        <v>Doku</v>
      </c>
      <c r="D152" s="6">
        <v>15</v>
      </c>
      <c r="E152" s="20" t="str">
        <f>IFERROR(IF(VLOOKUP(Entity[ID-Modul],Modul[],3,FALSE)=0,VLOOKUP(Entity[ID-Modul],Modul[],2,FALSE),VLOOKUP(Entity[ID-Modul],Modul[],3,FALSE)),"unbekannt")</f>
        <v>IfcGeometryResource</v>
      </c>
      <c r="F152" s="21" t="b">
        <v>1</v>
      </c>
      <c r="G152" s="21" t="b">
        <v>0</v>
      </c>
      <c r="H152" s="22" t="s">
        <v>814</v>
      </c>
      <c r="I152" s="19">
        <f>LEN(Entity[[#This Row],[IFC-Name]])</f>
        <v>10</v>
      </c>
      <c r="J152" s="7" t="s">
        <v>179</v>
      </c>
      <c r="K152" s="19">
        <f>LEN(Entity[[#This Row],[Klassen-Name]])</f>
        <v>10</v>
      </c>
      <c r="L152" s="7"/>
      <c r="M152" s="19" t="b">
        <f>IF(NOT(Entity[[#This Row],[Supertype]]),TRUE,AND(Entity[[#This Row],[Supertype]],Entity[[#This Row],[Subtype]]))</f>
        <v>1</v>
      </c>
      <c r="N152" s="28" t="s">
        <v>3109</v>
      </c>
      <c r="O152" s="29" t="s">
        <v>1998</v>
      </c>
    </row>
    <row r="153" spans="2:15" ht="20.100000000000001" customHeight="1" x14ac:dyDescent="0.25">
      <c r="B153" s="7" t="s">
        <v>244</v>
      </c>
      <c r="C153" s="7" t="str">
        <f>IF(Entity[[#This Row],[Link]]="","",HYPERLINK(HTMLDokuPath&amp;Entity[[#This Row],[Link]],"Doku"))</f>
        <v>Doku</v>
      </c>
      <c r="D153" s="6">
        <v>15</v>
      </c>
      <c r="E153" s="20" t="str">
        <f>IFERROR(IF(VLOOKUP(Entity[ID-Modul],Modul[],3,FALSE)=0,VLOOKUP(Entity[ID-Modul],Modul[],2,FALSE),VLOOKUP(Entity[ID-Modul],Modul[],3,FALSE)),"unbekannt")</f>
        <v>IfcGeometryResource</v>
      </c>
      <c r="F153" s="21" t="b">
        <v>1</v>
      </c>
      <c r="G153" s="21" t="b">
        <v>1</v>
      </c>
      <c r="H153" s="22" t="s">
        <v>1361</v>
      </c>
      <c r="I153" s="19">
        <f>LEN(Entity[[#This Row],[IFC-Name]])</f>
        <v>30</v>
      </c>
      <c r="J153" s="7" t="s">
        <v>244</v>
      </c>
      <c r="K153" s="19">
        <f>LEN(Entity[[#This Row],[Klassen-Name]])</f>
        <v>30</v>
      </c>
      <c r="L153" s="7"/>
      <c r="M153" s="19" t="b">
        <f>IF(NOT(Entity[[#This Row],[Supertype]]),TRUE,AND(Entity[[#This Row],[Supertype]],Entity[[#This Row],[Subtype]]))</f>
        <v>1</v>
      </c>
      <c r="N153" s="28" t="s">
        <v>3174</v>
      </c>
      <c r="O153" s="29" t="s">
        <v>2063</v>
      </c>
    </row>
    <row r="154" spans="2:15" ht="20.100000000000001" customHeight="1" x14ac:dyDescent="0.25">
      <c r="B154" s="7" t="s">
        <v>270</v>
      </c>
      <c r="C154" s="7" t="str">
        <f>IF(Entity[[#This Row],[Link]]="","",HYPERLINK(HTMLDokuPath&amp;Entity[[#This Row],[Link]],"Doku"))</f>
        <v>Doku</v>
      </c>
      <c r="D154" s="6">
        <v>15</v>
      </c>
      <c r="E154" s="20" t="str">
        <f>IFERROR(IF(VLOOKUP(Entity[ID-Modul],Modul[],3,FALSE)=0,VLOOKUP(Entity[ID-Modul],Modul[],2,FALSE),VLOOKUP(Entity[ID-Modul],Modul[],3,FALSE)),"unbekannt")</f>
        <v>IfcGeometryResource</v>
      </c>
      <c r="F154" s="21" t="b">
        <v>1</v>
      </c>
      <c r="G154" s="21" t="b">
        <v>0</v>
      </c>
      <c r="H154" s="22" t="s">
        <v>882</v>
      </c>
      <c r="I154" s="19">
        <f>LEN(Entity[[#This Row],[IFC-Name]])</f>
        <v>7</v>
      </c>
      <c r="J154" s="7" t="s">
        <v>270</v>
      </c>
      <c r="K154" s="19">
        <f>LEN(Entity[[#This Row],[Klassen-Name]])</f>
        <v>7</v>
      </c>
      <c r="L154" s="7"/>
      <c r="M154" s="19" t="b">
        <f>IF(NOT(Entity[[#This Row],[Supertype]]),TRUE,AND(Entity[[#This Row],[Supertype]],Entity[[#This Row],[Subtype]]))</f>
        <v>1</v>
      </c>
      <c r="N154" s="28" t="s">
        <v>3204</v>
      </c>
      <c r="O154" s="29" t="s">
        <v>2094</v>
      </c>
    </row>
    <row r="155" spans="2:15" ht="20.100000000000001" customHeight="1" x14ac:dyDescent="0.25">
      <c r="B155" s="7" t="s">
        <v>275</v>
      </c>
      <c r="C155" s="7" t="str">
        <f>IF(Entity[[#This Row],[Link]]="","",HYPERLINK(HTMLDokuPath&amp;Entity[[#This Row],[Link]],"Doku"))</f>
        <v>Doku</v>
      </c>
      <c r="D155" s="6">
        <v>15</v>
      </c>
      <c r="E155" s="20" t="str">
        <f>IFERROR(IF(VLOOKUP(Entity[ID-Modul],Modul[],3,FALSE)=0,VLOOKUP(Entity[ID-Modul],Modul[],2,FALSE),VLOOKUP(Entity[ID-Modul],Modul[],3,FALSE)),"unbekannt")</f>
        <v>IfcGeometryResource</v>
      </c>
      <c r="F155" s="21" t="b">
        <v>1</v>
      </c>
      <c r="G155" s="21" t="b">
        <v>0</v>
      </c>
      <c r="H155" s="22" t="s">
        <v>886</v>
      </c>
      <c r="I155" s="19">
        <f>LEN(Entity[[#This Row],[IFC-Name]])</f>
        <v>13</v>
      </c>
      <c r="J155" s="7" t="s">
        <v>275</v>
      </c>
      <c r="K155" s="19">
        <f>LEN(Entity[[#This Row],[Klassen-Name]])</f>
        <v>13</v>
      </c>
      <c r="L155" s="7"/>
      <c r="M155" s="19" t="b">
        <f>IF(NOT(Entity[[#This Row],[Supertype]]),TRUE,AND(Entity[[#This Row],[Supertype]],Entity[[#This Row],[Subtype]]))</f>
        <v>1</v>
      </c>
      <c r="N155" s="28" t="s">
        <v>3211</v>
      </c>
      <c r="O155" s="29" t="s">
        <v>2100</v>
      </c>
    </row>
    <row r="156" spans="2:15" ht="20.100000000000001" customHeight="1" x14ac:dyDescent="0.25">
      <c r="B156" s="7" t="s">
        <v>294</v>
      </c>
      <c r="C156" s="7" t="str">
        <f>IF(Entity[[#This Row],[Link]]="","",HYPERLINK(HTMLDokuPath&amp;Entity[[#This Row],[Link]],"Doku"))</f>
        <v>Doku</v>
      </c>
      <c r="D156" s="6">
        <v>15</v>
      </c>
      <c r="E156" s="20" t="str">
        <f>IFERROR(IF(VLOOKUP(Entity[ID-Modul],Modul[],3,FALSE)=0,VLOOKUP(Entity[ID-Modul],Modul[],2,FALSE),VLOOKUP(Entity[ID-Modul],Modul[],3,FALSE)),"unbekannt")</f>
        <v>IfcGeometryResource</v>
      </c>
      <c r="F156" s="21" t="b">
        <v>1</v>
      </c>
      <c r="G156" s="21" t="b">
        <v>0</v>
      </c>
      <c r="H156" s="22" t="s">
        <v>907</v>
      </c>
      <c r="I156" s="19">
        <f>LEN(Entity[[#This Row],[IFC-Name]])</f>
        <v>16</v>
      </c>
      <c r="J156" s="7" t="s">
        <v>294</v>
      </c>
      <c r="K156" s="19">
        <f>LEN(Entity[[#This Row],[Klassen-Name]])</f>
        <v>16</v>
      </c>
      <c r="L156" s="7"/>
      <c r="M156" s="19" t="b">
        <f>IF(NOT(Entity[[#This Row],[Supertype]]),TRUE,AND(Entity[[#This Row],[Supertype]],Entity[[#This Row],[Subtype]]))</f>
        <v>1</v>
      </c>
      <c r="N156" s="28" t="s">
        <v>3238</v>
      </c>
      <c r="O156" s="29" t="s">
        <v>2127</v>
      </c>
    </row>
    <row r="157" spans="2:15" ht="20.100000000000001" customHeight="1" x14ac:dyDescent="0.25">
      <c r="B157" s="7" t="s">
        <v>295</v>
      </c>
      <c r="C157" s="7" t="str">
        <f>IF(Entity[[#This Row],[Link]]="","",HYPERLINK(HTMLDokuPath&amp;Entity[[#This Row],[Link]],"Doku"))</f>
        <v>Doku</v>
      </c>
      <c r="D157" s="6">
        <v>15</v>
      </c>
      <c r="E157" s="20" t="str">
        <f>IFERROR(IF(VLOOKUP(Entity[ID-Modul],Modul[],3,FALSE)=0,VLOOKUP(Entity[ID-Modul],Modul[],2,FALSE),VLOOKUP(Entity[ID-Modul],Modul[],3,FALSE)),"unbekannt")</f>
        <v>IfcGeometryResource</v>
      </c>
      <c r="F157" s="21" t="b">
        <v>1</v>
      </c>
      <c r="G157" s="21" t="b">
        <v>0</v>
      </c>
      <c r="H157" s="22" t="s">
        <v>908</v>
      </c>
      <c r="I157" s="19">
        <f>LEN(Entity[[#This Row],[IFC-Name]])</f>
        <v>16</v>
      </c>
      <c r="J157" s="7" t="s">
        <v>295</v>
      </c>
      <c r="K157" s="19">
        <f>LEN(Entity[[#This Row],[Klassen-Name]])</f>
        <v>16</v>
      </c>
      <c r="L157" s="7"/>
      <c r="M157" s="19" t="b">
        <f>IF(NOT(Entity[[#This Row],[Supertype]]),TRUE,AND(Entity[[#This Row],[Supertype]],Entity[[#This Row],[Subtype]]))</f>
        <v>1</v>
      </c>
      <c r="N157" s="28" t="s">
        <v>3239</v>
      </c>
      <c r="O157" s="29" t="s">
        <v>2128</v>
      </c>
    </row>
    <row r="158" spans="2:15" ht="20.100000000000001" customHeight="1" x14ac:dyDescent="0.25">
      <c r="B158" s="7" t="s">
        <v>315</v>
      </c>
      <c r="C158" s="7" t="str">
        <f>IF(Entity[[#This Row],[Link]]="","",HYPERLINK(HTMLDokuPath&amp;Entity[[#This Row],[Link]],"Doku"))</f>
        <v>Doku</v>
      </c>
      <c r="D158" s="6">
        <v>15</v>
      </c>
      <c r="E158" s="20" t="str">
        <f>IFERROR(IF(VLOOKUP(Entity[ID-Modul],Modul[],3,FALSE)=0,VLOOKUP(Entity[ID-Modul],Modul[],2,FALSE),VLOOKUP(Entity[ID-Modul],Modul[],3,FALSE)),"unbekannt")</f>
        <v>IfcGeometryResource</v>
      </c>
      <c r="F158" s="21" t="b">
        <v>1</v>
      </c>
      <c r="G158" s="21" t="b">
        <v>1</v>
      </c>
      <c r="H158" s="22" t="s">
        <v>1380</v>
      </c>
      <c r="I158" s="19">
        <f>LEN(Entity[[#This Row],[IFC-Name]])</f>
        <v>12</v>
      </c>
      <c r="J158" s="7" t="s">
        <v>315</v>
      </c>
      <c r="K158" s="19">
        <f>LEN(Entity[[#This Row],[Klassen-Name]])</f>
        <v>12</v>
      </c>
      <c r="L158" s="7"/>
      <c r="M158" s="19" t="b">
        <f>IF(NOT(Entity[[#This Row],[Supertype]]),TRUE,AND(Entity[[#This Row],[Supertype]],Entity[[#This Row],[Subtype]]))</f>
        <v>1</v>
      </c>
      <c r="N158" s="28" t="s">
        <v>3264</v>
      </c>
      <c r="O158" s="29" t="s">
        <v>2153</v>
      </c>
    </row>
    <row r="159" spans="2:15" ht="20.100000000000001" customHeight="1" x14ac:dyDescent="0.25">
      <c r="B159" s="7" t="s">
        <v>318</v>
      </c>
      <c r="C159" s="7" t="str">
        <f>IF(Entity[[#This Row],[Link]]="","",HYPERLINK(HTMLDokuPath&amp;Entity[[#This Row],[Link]],"Doku"))</f>
        <v>Doku</v>
      </c>
      <c r="D159" s="6">
        <v>15</v>
      </c>
      <c r="E159" s="20" t="str">
        <f>IFERROR(IF(VLOOKUP(Entity[ID-Modul],Modul[],3,FALSE)=0,VLOOKUP(Entity[ID-Modul],Modul[],2,FALSE),VLOOKUP(Entity[ID-Modul],Modul[],3,FALSE)),"unbekannt")</f>
        <v>IfcGeometryResource</v>
      </c>
      <c r="F159" s="21" t="b">
        <v>1</v>
      </c>
      <c r="G159" s="21" t="b">
        <v>0</v>
      </c>
      <c r="H159" s="22" t="s">
        <v>930</v>
      </c>
      <c r="I159" s="19">
        <f>LEN(Entity[[#This Row],[IFC-Name]])</f>
        <v>8</v>
      </c>
      <c r="J159" s="7" t="s">
        <v>318</v>
      </c>
      <c r="K159" s="19">
        <f>LEN(Entity[[#This Row],[Klassen-Name]])</f>
        <v>8</v>
      </c>
      <c r="L159" s="7"/>
      <c r="M159" s="19" t="b">
        <f>IF(NOT(Entity[[#This Row],[Supertype]]),TRUE,AND(Entity[[#This Row],[Supertype]],Entity[[#This Row],[Subtype]]))</f>
        <v>1</v>
      </c>
      <c r="N159" s="28" t="s">
        <v>3267</v>
      </c>
      <c r="O159" s="29" t="s">
        <v>2156</v>
      </c>
    </row>
    <row r="160" spans="2:15" ht="20.100000000000001" customHeight="1" x14ac:dyDescent="0.25">
      <c r="B160" s="7" t="s">
        <v>321</v>
      </c>
      <c r="C160" s="7" t="str">
        <f>IF(Entity[[#This Row],[Link]]="","",HYPERLINK(HTMLDokuPath&amp;Entity[[#This Row],[Link]],"Doku"))</f>
        <v>Doku</v>
      </c>
      <c r="D160" s="6">
        <v>15</v>
      </c>
      <c r="E160" s="20" t="str">
        <f>IFERROR(IF(VLOOKUP(Entity[ID-Modul],Modul[],3,FALSE)=0,VLOOKUP(Entity[ID-Modul],Modul[],2,FALSE),VLOOKUP(Entity[ID-Modul],Modul[],3,FALSE)),"unbekannt")</f>
        <v>IfcGeometryResource</v>
      </c>
      <c r="F160" s="21" t="b">
        <v>1</v>
      </c>
      <c r="G160" s="21" t="b">
        <v>1</v>
      </c>
      <c r="H160" s="22" t="s">
        <v>1382</v>
      </c>
      <c r="I160" s="19">
        <f>LEN(Entity[[#This Row],[IFC-Name]])</f>
        <v>8</v>
      </c>
      <c r="J160" s="7" t="s">
        <v>321</v>
      </c>
      <c r="K160" s="19">
        <f>LEN(Entity[[#This Row],[Klassen-Name]])</f>
        <v>8</v>
      </c>
      <c r="L160" s="7"/>
      <c r="M160" s="19" t="b">
        <f>IF(NOT(Entity[[#This Row],[Supertype]]),TRUE,AND(Entity[[#This Row],[Supertype]],Entity[[#This Row],[Subtype]]))</f>
        <v>1</v>
      </c>
      <c r="N160" s="28" t="s">
        <v>3270</v>
      </c>
      <c r="O160" s="29" t="s">
        <v>2159</v>
      </c>
    </row>
    <row r="161" spans="2:15" ht="20.100000000000001" customHeight="1" x14ac:dyDescent="0.25">
      <c r="B161" s="7" t="s">
        <v>322</v>
      </c>
      <c r="C161" s="7" t="str">
        <f>IF(Entity[[#This Row],[Link]]="","",HYPERLINK(HTMLDokuPath&amp;Entity[[#This Row],[Link]],"Doku"))</f>
        <v>Doku</v>
      </c>
      <c r="D161" s="6">
        <v>15</v>
      </c>
      <c r="E161" s="20" t="str">
        <f>IFERROR(IF(VLOOKUP(Entity[ID-Modul],Modul[],3,FALSE)=0,VLOOKUP(Entity[ID-Modul],Modul[],2,FALSE),VLOOKUP(Entity[ID-Modul],Modul[],3,FALSE)),"unbekannt")</f>
        <v>IfcGeometryResource</v>
      </c>
      <c r="F161" s="21" t="b">
        <v>1</v>
      </c>
      <c r="G161" s="21" t="b">
        <v>0</v>
      </c>
      <c r="H161" s="22" t="s">
        <v>933</v>
      </c>
      <c r="I161" s="19">
        <f>LEN(Entity[[#This Row],[IFC-Name]])</f>
        <v>15</v>
      </c>
      <c r="J161" s="7" t="s">
        <v>322</v>
      </c>
      <c r="K161" s="19">
        <f>LEN(Entity[[#This Row],[Klassen-Name]])</f>
        <v>15</v>
      </c>
      <c r="L161" s="7"/>
      <c r="M161" s="19" t="b">
        <f>IF(NOT(Entity[[#This Row],[Supertype]]),TRUE,AND(Entity[[#This Row],[Supertype]],Entity[[#This Row],[Subtype]]))</f>
        <v>1</v>
      </c>
      <c r="N161" s="28" t="s">
        <v>3271</v>
      </c>
      <c r="O161" s="29" t="s">
        <v>2160</v>
      </c>
    </row>
    <row r="162" spans="2:15" ht="20.100000000000001" customHeight="1" x14ac:dyDescent="0.25">
      <c r="B162" s="7" t="s">
        <v>323</v>
      </c>
      <c r="C162" s="7" t="str">
        <f>IF(Entity[[#This Row],[Link]]="","",HYPERLINK(HTMLDokuPath&amp;Entity[[#This Row],[Link]],"Doku"))</f>
        <v>Doku</v>
      </c>
      <c r="D162" s="6">
        <v>15</v>
      </c>
      <c r="E162" s="20" t="str">
        <f>IFERROR(IF(VLOOKUP(Entity[ID-Modul],Modul[],3,FALSE)=0,VLOOKUP(Entity[ID-Modul],Modul[],2,FALSE),VLOOKUP(Entity[ID-Modul],Modul[],3,FALSE)),"unbekannt")</f>
        <v>IfcGeometryResource</v>
      </c>
      <c r="F162" s="21" t="b">
        <v>1</v>
      </c>
      <c r="G162" s="21" t="b">
        <v>0</v>
      </c>
      <c r="H162" s="22" t="s">
        <v>934</v>
      </c>
      <c r="I162" s="19">
        <f>LEN(Entity[[#This Row],[IFC-Name]])</f>
        <v>17</v>
      </c>
      <c r="J162" s="7" t="s">
        <v>323</v>
      </c>
      <c r="K162" s="19">
        <f>LEN(Entity[[#This Row],[Klassen-Name]])</f>
        <v>17</v>
      </c>
      <c r="L162" s="7"/>
      <c r="M162" s="19" t="b">
        <f>IF(NOT(Entity[[#This Row],[Supertype]]),TRUE,AND(Entity[[#This Row],[Supertype]],Entity[[#This Row],[Subtype]]))</f>
        <v>1</v>
      </c>
      <c r="N162" s="28" t="s">
        <v>3272</v>
      </c>
      <c r="O162" s="29" t="s">
        <v>2161</v>
      </c>
    </row>
    <row r="163" spans="2:15" ht="20.100000000000001" customHeight="1" x14ac:dyDescent="0.25">
      <c r="B163" s="7" t="s">
        <v>326</v>
      </c>
      <c r="C163" s="7" t="str">
        <f>IF(Entity[[#This Row],[Link]]="","",HYPERLINK(HTMLDokuPath&amp;Entity[[#This Row],[Link]],"Doku"))</f>
        <v>Doku</v>
      </c>
      <c r="D163" s="6">
        <v>15</v>
      </c>
      <c r="E163" s="20" t="str">
        <f>IFERROR(IF(VLOOKUP(Entity[ID-Modul],Modul[],3,FALSE)=0,VLOOKUP(Entity[ID-Modul],Modul[],2,FALSE),VLOOKUP(Entity[ID-Modul],Modul[],3,FALSE)),"unbekannt")</f>
        <v>IfcGeometryResource</v>
      </c>
      <c r="F163" s="21" t="b">
        <v>1</v>
      </c>
      <c r="G163" s="21" t="b">
        <v>0</v>
      </c>
      <c r="H163" s="22" t="s">
        <v>937</v>
      </c>
      <c r="I163" s="19">
        <f>LEN(Entity[[#This Row],[IFC-Name]])</f>
        <v>11</v>
      </c>
      <c r="J163" s="7" t="s">
        <v>326</v>
      </c>
      <c r="K163" s="19">
        <f>LEN(Entity[[#This Row],[Klassen-Name]])</f>
        <v>11</v>
      </c>
      <c r="L163" s="7"/>
      <c r="M163" s="19" t="b">
        <f>IF(NOT(Entity[[#This Row],[Supertype]]),TRUE,AND(Entity[[#This Row],[Supertype]],Entity[[#This Row],[Subtype]]))</f>
        <v>1</v>
      </c>
      <c r="N163" s="28" t="s">
        <v>3274</v>
      </c>
      <c r="O163" s="29" t="s">
        <v>2164</v>
      </c>
    </row>
    <row r="164" spans="2:15" ht="20.100000000000001" customHeight="1" x14ac:dyDescent="0.25">
      <c r="B164" s="7" t="s">
        <v>378</v>
      </c>
      <c r="C164" s="7" t="str">
        <f>IF(Entity[[#This Row],[Link]]="","",HYPERLINK(HTMLDokuPath&amp;Entity[[#This Row],[Link]],"Doku"))</f>
        <v>Doku</v>
      </c>
      <c r="D164" s="6">
        <v>15</v>
      </c>
      <c r="E164" s="20" t="str">
        <f>IFERROR(IF(VLOOKUP(Entity[ID-Modul],Modul[],3,FALSE)=0,VLOOKUP(Entity[ID-Modul],Modul[],2,FALSE),VLOOKUP(Entity[ID-Modul],Modul[],3,FALSE)),"unbekannt")</f>
        <v>IfcGeometryResource</v>
      </c>
      <c r="F164" s="21" t="b">
        <v>1</v>
      </c>
      <c r="G164" s="21" t="b">
        <v>0</v>
      </c>
      <c r="H164" s="22" t="s">
        <v>977</v>
      </c>
      <c r="I164" s="19">
        <f>LEN(Entity[[#This Row],[IFC-Name]])</f>
        <v>22</v>
      </c>
      <c r="J164" s="7" t="s">
        <v>378</v>
      </c>
      <c r="K164" s="19">
        <f>LEN(Entity[[#This Row],[Klassen-Name]])</f>
        <v>22</v>
      </c>
      <c r="L164" s="7"/>
      <c r="M164" s="19" t="b">
        <f>IF(NOT(Entity[[#This Row],[Supertype]]),TRUE,AND(Entity[[#This Row],[Supertype]],Entity[[#This Row],[Subtype]]))</f>
        <v>1</v>
      </c>
      <c r="N164" s="28" t="s">
        <v>3331</v>
      </c>
      <c r="O164" s="29" t="s">
        <v>2220</v>
      </c>
    </row>
    <row r="165" spans="2:15" ht="20.100000000000001" customHeight="1" x14ac:dyDescent="0.25">
      <c r="B165" s="7" t="s">
        <v>382</v>
      </c>
      <c r="C165" s="7" t="str">
        <f>IF(Entity[[#This Row],[Link]]="","",HYPERLINK(HTMLDokuPath&amp;Entity[[#This Row],[Link]],"Doku"))</f>
        <v>Doku</v>
      </c>
      <c r="D165" s="6">
        <v>15</v>
      </c>
      <c r="E165" s="20" t="str">
        <f>IFERROR(IF(VLOOKUP(Entity[ID-Modul],Modul[],3,FALSE)=0,VLOOKUP(Entity[ID-Modul],Modul[],2,FALSE),VLOOKUP(Entity[ID-Modul],Modul[],3,FALSE)),"unbekannt")</f>
        <v>IfcGeometryResource</v>
      </c>
      <c r="F165" s="21" t="b">
        <v>1</v>
      </c>
      <c r="G165" s="21" t="b">
        <v>0</v>
      </c>
      <c r="H165" s="22" t="s">
        <v>980</v>
      </c>
      <c r="I165" s="19">
        <f>LEN(Entity[[#This Row],[IFC-Name]])</f>
        <v>28</v>
      </c>
      <c r="J165" s="7" t="s">
        <v>382</v>
      </c>
      <c r="K165" s="19">
        <f>LEN(Entity[[#This Row],[Klassen-Name]])</f>
        <v>28</v>
      </c>
      <c r="L165" s="7"/>
      <c r="M165" s="19" t="b">
        <f>IF(NOT(Entity[[#This Row],[Supertype]]),TRUE,AND(Entity[[#This Row],[Supertype]],Entity[[#This Row],[Subtype]]))</f>
        <v>1</v>
      </c>
      <c r="N165" s="28" t="s">
        <v>3335</v>
      </c>
      <c r="O165" s="29" t="s">
        <v>2224</v>
      </c>
    </row>
    <row r="166" spans="2:15" ht="20.100000000000001" customHeight="1" x14ac:dyDescent="0.25">
      <c r="B166" s="7" t="s">
        <v>440</v>
      </c>
      <c r="C166" s="7" t="str">
        <f>IF(Entity[[#This Row],[Link]]="","",HYPERLINK(HTMLDokuPath&amp;Entity[[#This Row],[Link]],"Doku"))</f>
        <v>Doku</v>
      </c>
      <c r="D166" s="6">
        <v>15</v>
      </c>
      <c r="E166" s="20" t="str">
        <f>IFERROR(IF(VLOOKUP(Entity[ID-Modul],Modul[],3,FALSE)=0,VLOOKUP(Entity[ID-Modul],Modul[],2,FALSE),VLOOKUP(Entity[ID-Modul],Modul[],3,FALSE)),"unbekannt")</f>
        <v>IfcGeometryResource</v>
      </c>
      <c r="F166" s="21" t="b">
        <v>0</v>
      </c>
      <c r="G166" s="21" t="b">
        <v>1</v>
      </c>
      <c r="H166" s="22" t="s">
        <v>1414</v>
      </c>
      <c r="I166" s="19">
        <f>LEN(Entity[[#This Row],[IFC-Name]])</f>
        <v>21</v>
      </c>
      <c r="J166" s="7" t="s">
        <v>2859</v>
      </c>
      <c r="K166" s="19">
        <f>LEN(Entity[[#This Row],[Klassen-Name]])</f>
        <v>0</v>
      </c>
      <c r="L166" s="7"/>
      <c r="M166" s="19" t="b">
        <f>IF(NOT(Entity[[#This Row],[Supertype]]),TRUE,AND(Entity[[#This Row],[Supertype]],Entity[[#This Row],[Subtype]]))</f>
        <v>0</v>
      </c>
      <c r="N166" s="28" t="s">
        <v>3396</v>
      </c>
      <c r="O166" s="29" t="s">
        <v>2285</v>
      </c>
    </row>
    <row r="167" spans="2:15" ht="20.100000000000001" customHeight="1" x14ac:dyDescent="0.25">
      <c r="B167" s="7" t="s">
        <v>643</v>
      </c>
      <c r="C167" s="7" t="str">
        <f>IF(Entity[[#This Row],[Link]]="","",HYPERLINK(HTMLDokuPath&amp;Entity[[#This Row],[Link]],"Doku"))</f>
        <v>Doku</v>
      </c>
      <c r="D167" s="6">
        <v>15</v>
      </c>
      <c r="E167" s="20" t="str">
        <f>IFERROR(IF(VLOOKUP(Entity[ID-Modul],Modul[],3,FALSE)=0,VLOOKUP(Entity[ID-Modul],Modul[],2,FALSE),VLOOKUP(Entity[ID-Modul],Modul[],3,FALSE)),"unbekannt")</f>
        <v>IfcGeometryResource</v>
      </c>
      <c r="F167" s="21" t="b">
        <v>0</v>
      </c>
      <c r="G167" s="21" t="b">
        <v>0</v>
      </c>
      <c r="H167" s="22" t="s">
        <v>1027</v>
      </c>
      <c r="I167" s="19">
        <f>LEN(Entity[[#This Row],[IFC-Name]])</f>
        <v>20</v>
      </c>
      <c r="J167" s="7" t="s">
        <v>643</v>
      </c>
      <c r="K167" s="19">
        <f>LEN(Entity[[#This Row],[Klassen-Name]])</f>
        <v>20</v>
      </c>
      <c r="L167" s="7"/>
      <c r="M167" s="19" t="b">
        <f>IF(NOT(Entity[[#This Row],[Supertype]]),TRUE,AND(Entity[[#This Row],[Supertype]],Entity[[#This Row],[Subtype]]))</f>
        <v>1</v>
      </c>
      <c r="N167" s="28" t="s">
        <v>3397</v>
      </c>
      <c r="O167" s="29" t="s">
        <v>2286</v>
      </c>
    </row>
    <row r="168" spans="2:15" ht="20.100000000000001" customHeight="1" x14ac:dyDescent="0.25">
      <c r="B168" s="7" t="s">
        <v>520</v>
      </c>
      <c r="C168" s="7" t="str">
        <f>IF(Entity[[#This Row],[Link]]="","",HYPERLINK(HTMLDokuPath&amp;Entity[[#This Row],[Link]],"Doku"))</f>
        <v>Doku</v>
      </c>
      <c r="D168" s="6">
        <v>15</v>
      </c>
      <c r="E168" s="20" t="str">
        <f>IFERROR(IF(VLOOKUP(Entity[ID-Modul],Modul[],3,FALSE)=0,VLOOKUP(Entity[ID-Modul],Modul[],2,FALSE),VLOOKUP(Entity[ID-Modul],Modul[],3,FALSE)),"unbekannt")</f>
        <v>IfcGeometryResource</v>
      </c>
      <c r="F168" s="21" t="b">
        <v>1</v>
      </c>
      <c r="G168" s="21" t="b">
        <v>1</v>
      </c>
      <c r="H168" s="22" t="s">
        <v>1440</v>
      </c>
      <c r="I168" s="19">
        <f>LEN(Entity[[#This Row],[IFC-Name]])</f>
        <v>10</v>
      </c>
      <c r="J168" s="7" t="s">
        <v>520</v>
      </c>
      <c r="K168" s="19">
        <f>LEN(Entity[[#This Row],[Klassen-Name]])</f>
        <v>10</v>
      </c>
      <c r="L168" s="7"/>
      <c r="M168" s="19" t="b">
        <f>IF(NOT(Entity[[#This Row],[Supertype]]),TRUE,AND(Entity[[#This Row],[Supertype]],Entity[[#This Row],[Subtype]]))</f>
        <v>1</v>
      </c>
      <c r="N168" s="28" t="s">
        <v>3480</v>
      </c>
      <c r="O168" s="29" t="s">
        <v>2369</v>
      </c>
    </row>
    <row r="169" spans="2:15" ht="20.100000000000001" customHeight="1" x14ac:dyDescent="0.25">
      <c r="B169" s="7" t="s">
        <v>522</v>
      </c>
      <c r="C169" s="7" t="str">
        <f>IF(Entity[[#This Row],[Link]]="","",HYPERLINK(HTMLDokuPath&amp;Entity[[#This Row],[Link]],"Doku"))</f>
        <v>Doku</v>
      </c>
      <c r="D169" s="6">
        <v>15</v>
      </c>
      <c r="E169" s="20" t="str">
        <f>IFERROR(IF(VLOOKUP(Entity[ID-Modul],Modul[],3,FALSE)=0,VLOOKUP(Entity[ID-Modul],Modul[],2,FALSE),VLOOKUP(Entity[ID-Modul],Modul[],3,FALSE)),"unbekannt")</f>
        <v>IfcGeometryResource</v>
      </c>
      <c r="F169" s="21" t="b">
        <v>1</v>
      </c>
      <c r="G169" s="21" t="b">
        <v>0</v>
      </c>
      <c r="H169" s="22" t="s">
        <v>1086</v>
      </c>
      <c r="I169" s="19">
        <f>LEN(Entity[[#This Row],[IFC-Name]])</f>
        <v>27</v>
      </c>
      <c r="J169" s="7" t="s">
        <v>522</v>
      </c>
      <c r="K169" s="19">
        <f>LEN(Entity[[#This Row],[Klassen-Name]])</f>
        <v>27</v>
      </c>
      <c r="L169" s="7"/>
      <c r="M169" s="19" t="b">
        <f>IF(NOT(Entity[[#This Row],[Supertype]]),TRUE,AND(Entity[[#This Row],[Supertype]],Entity[[#This Row],[Subtype]]))</f>
        <v>1</v>
      </c>
      <c r="N169" s="28" t="s">
        <v>3482</v>
      </c>
      <c r="O169" s="29" t="s">
        <v>2371</v>
      </c>
    </row>
    <row r="170" spans="2:15" ht="20.100000000000001" customHeight="1" x14ac:dyDescent="0.25">
      <c r="B170" s="7" t="s">
        <v>523</v>
      </c>
      <c r="C170" s="7" t="str">
        <f>IF(Entity[[#This Row],[Link]]="","",HYPERLINK(HTMLDokuPath&amp;Entity[[#This Row],[Link]],"Doku"))</f>
        <v>Doku</v>
      </c>
      <c r="D170" s="6">
        <v>15</v>
      </c>
      <c r="E170" s="20" t="str">
        <f>IFERROR(IF(VLOOKUP(Entity[ID-Modul],Modul[],3,FALSE)=0,VLOOKUP(Entity[ID-Modul],Modul[],2,FALSE),VLOOKUP(Entity[ID-Modul],Modul[],3,FALSE)),"unbekannt")</f>
        <v>IfcGeometryResource</v>
      </c>
      <c r="F170" s="21" t="b">
        <v>1</v>
      </c>
      <c r="G170" s="21" t="b">
        <v>0</v>
      </c>
      <c r="H170" s="22" t="s">
        <v>1087</v>
      </c>
      <c r="I170" s="19">
        <f>LEN(Entity[[#This Row],[IFC-Name]])</f>
        <v>22</v>
      </c>
      <c r="J170" s="7" t="s">
        <v>523</v>
      </c>
      <c r="K170" s="19">
        <f>LEN(Entity[[#This Row],[Klassen-Name]])</f>
        <v>22</v>
      </c>
      <c r="L170" s="7"/>
      <c r="M170" s="19" t="b">
        <f>IF(NOT(Entity[[#This Row],[Supertype]]),TRUE,AND(Entity[[#This Row],[Supertype]],Entity[[#This Row],[Subtype]]))</f>
        <v>1</v>
      </c>
      <c r="N170" s="28" t="s">
        <v>3483</v>
      </c>
      <c r="O170" s="29" t="s">
        <v>2372</v>
      </c>
    </row>
    <row r="171" spans="2:15" ht="20.100000000000001" customHeight="1" x14ac:dyDescent="0.25">
      <c r="B171" s="7" t="s">
        <v>530</v>
      </c>
      <c r="C171" s="7" t="str">
        <f>IF(Entity[[#This Row],[Link]]="","",HYPERLINK(HTMLDokuPath&amp;Entity[[#This Row],[Link]],"Doku"))</f>
        <v>Doku</v>
      </c>
      <c r="D171" s="6">
        <v>15</v>
      </c>
      <c r="E171" s="20" t="str">
        <f>IFERROR(IF(VLOOKUP(Entity[ID-Modul],Modul[],3,FALSE)=0,VLOOKUP(Entity[ID-Modul],Modul[],2,FALSE),VLOOKUP(Entity[ID-Modul],Modul[],3,FALSE)),"unbekannt")</f>
        <v>IfcGeometryResource</v>
      </c>
      <c r="F171" s="21" t="b">
        <v>1</v>
      </c>
      <c r="G171" s="21" t="b">
        <v>1</v>
      </c>
      <c r="H171" s="22" t="s">
        <v>1444</v>
      </c>
      <c r="I171" s="19">
        <f>LEN(Entity[[#This Row],[IFC-Name]])</f>
        <v>15</v>
      </c>
      <c r="J171" s="7" t="s">
        <v>530</v>
      </c>
      <c r="K171" s="19">
        <f>LEN(Entity[[#This Row],[Klassen-Name]])</f>
        <v>15</v>
      </c>
      <c r="L171" s="7"/>
      <c r="M171" s="19" t="b">
        <f>IF(NOT(Entity[[#This Row],[Supertype]]),TRUE,AND(Entity[[#This Row],[Supertype]],Entity[[#This Row],[Subtype]]))</f>
        <v>1</v>
      </c>
      <c r="N171" s="28" t="s">
        <v>3493</v>
      </c>
      <c r="O171" s="29" t="s">
        <v>2382</v>
      </c>
    </row>
    <row r="172" spans="2:15" ht="20.100000000000001" customHeight="1" x14ac:dyDescent="0.25">
      <c r="B172" s="7" t="s">
        <v>558</v>
      </c>
      <c r="C172" s="7" t="str">
        <f>IF(Entity[[#This Row],[Link]]="","",HYPERLINK(HTMLDokuPath&amp;Entity[[#This Row],[Link]],"Doku"))</f>
        <v>Doku</v>
      </c>
      <c r="D172" s="6">
        <v>15</v>
      </c>
      <c r="E172" s="20" t="str">
        <f>IFERROR(IF(VLOOKUP(Entity[ID-Modul],Modul[],3,FALSE)=0,VLOOKUP(Entity[ID-Modul],Modul[],2,FALSE),VLOOKUP(Entity[ID-Modul],Modul[],3,FALSE)),"unbekannt")</f>
        <v>IfcGeometryResource</v>
      </c>
      <c r="F172" s="21" t="b">
        <v>1</v>
      </c>
      <c r="G172" s="21" t="b">
        <v>0</v>
      </c>
      <c r="H172" s="22" t="s">
        <v>1122</v>
      </c>
      <c r="I172" s="19">
        <f>LEN(Entity[[#This Row],[IFC-Name]])</f>
        <v>15</v>
      </c>
      <c r="J172" s="7" t="s">
        <v>558</v>
      </c>
      <c r="K172" s="19">
        <f>LEN(Entity[[#This Row],[Klassen-Name]])</f>
        <v>15</v>
      </c>
      <c r="L172" s="7"/>
      <c r="M172" s="19" t="b">
        <f>IF(NOT(Entity[[#This Row],[Supertype]]),TRUE,AND(Entity[[#This Row],[Supertype]],Entity[[#This Row],[Subtype]]))</f>
        <v>1</v>
      </c>
      <c r="N172" s="28" t="s">
        <v>3528</v>
      </c>
      <c r="O172" s="29" t="s">
        <v>2418</v>
      </c>
    </row>
    <row r="173" spans="2:15" ht="20.100000000000001" customHeight="1" x14ac:dyDescent="0.25">
      <c r="B173" s="7" t="s">
        <v>566</v>
      </c>
      <c r="C173" s="7" t="str">
        <f>IF(Entity[[#This Row],[Link]]="","",HYPERLINK(HTMLDokuPath&amp;Entity[[#This Row],[Link]],"Doku"))</f>
        <v>Doku</v>
      </c>
      <c r="D173" s="6">
        <v>15</v>
      </c>
      <c r="E173" s="20" t="str">
        <f>IFERROR(IF(VLOOKUP(Entity[ID-Modul],Modul[],3,FALSE)=0,VLOOKUP(Entity[ID-Modul],Modul[],2,FALSE),VLOOKUP(Entity[ID-Modul],Modul[],3,FALSE)),"unbekannt")</f>
        <v>IfcGeometryResource</v>
      </c>
      <c r="F173" s="21" t="b">
        <v>1</v>
      </c>
      <c r="G173" s="21" t="b">
        <v>0</v>
      </c>
      <c r="H173" s="22" t="s">
        <v>1129</v>
      </c>
      <c r="I173" s="19">
        <f>LEN(Entity[[#This Row],[IFC-Name]])</f>
        <v>9</v>
      </c>
      <c r="J173" s="7" t="s">
        <v>566</v>
      </c>
      <c r="K173" s="19">
        <f>LEN(Entity[[#This Row],[Klassen-Name]])</f>
        <v>9</v>
      </c>
      <c r="L173" s="7"/>
      <c r="M173" s="19" t="b">
        <f>IF(NOT(Entity[[#This Row],[Supertype]]),TRUE,AND(Entity[[#This Row],[Supertype]],Entity[[#This Row],[Subtype]]))</f>
        <v>1</v>
      </c>
      <c r="N173" s="28" t="s">
        <v>3538</v>
      </c>
      <c r="O173" s="29" t="s">
        <v>2427</v>
      </c>
    </row>
    <row r="174" spans="2:15" ht="20.100000000000001" customHeight="1" x14ac:dyDescent="0.25">
      <c r="B174" s="7" t="s">
        <v>10</v>
      </c>
      <c r="C174" s="7" t="str">
        <f>IF(Entity[[#This Row],[Link]]="","",HYPERLINK(HTMLDokuPath&amp;Entity[[#This Row],[Link]],"Doku"))</f>
        <v>Doku</v>
      </c>
      <c r="D174" s="6">
        <v>16</v>
      </c>
      <c r="E174" s="20" t="str">
        <f>IFERROR(IF(VLOOKUP(Entity[ID-Modul],Modul[],3,FALSE)=0,VLOOKUP(Entity[ID-Modul],Modul[],2,FALSE),VLOOKUP(Entity[ID-Modul],Modul[],3,FALSE)),"unbekannt")</f>
        <v>IfcHvacDomain</v>
      </c>
      <c r="F174" s="21" t="b">
        <v>1</v>
      </c>
      <c r="G174" s="21" t="b">
        <v>0</v>
      </c>
      <c r="H174" s="22" t="s">
        <v>665</v>
      </c>
      <c r="I174" s="19">
        <f>LEN(Entity[[#This Row],[IFC-Name]])</f>
        <v>21</v>
      </c>
      <c r="J174" s="7" t="s">
        <v>10</v>
      </c>
      <c r="K174" s="19">
        <f>LEN(Entity[[#This Row],[Klassen-Name]])</f>
        <v>21</v>
      </c>
      <c r="L174" s="7"/>
      <c r="M174" s="19" t="b">
        <f>IF(NOT(Entity[[#This Row],[Supertype]]),TRUE,AND(Entity[[#This Row],[Supertype]],Entity[[#This Row],[Subtype]]))</f>
        <v>1</v>
      </c>
      <c r="N174" s="28" t="s">
        <v>2913</v>
      </c>
      <c r="O174" s="29" t="s">
        <v>1802</v>
      </c>
    </row>
    <row r="175" spans="2:15" ht="20.100000000000001" customHeight="1" x14ac:dyDescent="0.25">
      <c r="B175" s="7" t="s">
        <v>11</v>
      </c>
      <c r="C175" s="7" t="str">
        <f>IF(Entity[[#This Row],[Link]]="","",HYPERLINK(HTMLDokuPath&amp;Entity[[#This Row],[Link]],"Doku"))</f>
        <v>Doku</v>
      </c>
      <c r="D175" s="6">
        <v>16</v>
      </c>
      <c r="E175" s="20" t="str">
        <f>IFERROR(IF(VLOOKUP(Entity[ID-Modul],Modul[],3,FALSE)=0,VLOOKUP(Entity[ID-Modul],Modul[],2,FALSE),VLOOKUP(Entity[ID-Modul],Modul[],3,FALSE)),"unbekannt")</f>
        <v>IfcHvacDomain</v>
      </c>
      <c r="F175" s="21" t="b">
        <v>1</v>
      </c>
      <c r="G175" s="21" t="b">
        <v>0</v>
      </c>
      <c r="H175" s="22" t="s">
        <v>666</v>
      </c>
      <c r="I175" s="19">
        <f>LEN(Entity[[#This Row],[IFC-Name]])</f>
        <v>18</v>
      </c>
      <c r="J175" s="7" t="s">
        <v>11</v>
      </c>
      <c r="K175" s="19">
        <f>LEN(Entity[[#This Row],[Klassen-Name]])</f>
        <v>18</v>
      </c>
      <c r="L175" s="7"/>
      <c r="M175" s="19" t="b">
        <f>IF(NOT(Entity[[#This Row],[Supertype]]),TRUE,AND(Entity[[#This Row],[Supertype]],Entity[[#This Row],[Subtype]]))</f>
        <v>1</v>
      </c>
      <c r="N175" s="28" t="s">
        <v>2914</v>
      </c>
      <c r="O175" s="29" t="s">
        <v>1803</v>
      </c>
    </row>
    <row r="176" spans="2:15" ht="20.100000000000001" customHeight="1" x14ac:dyDescent="0.25">
      <c r="B176" s="7" t="s">
        <v>12</v>
      </c>
      <c r="C176" s="7" t="str">
        <f>IF(Entity[[#This Row],[Link]]="","",HYPERLINK(HTMLDokuPath&amp;Entity[[#This Row],[Link]],"Doku"))</f>
        <v>Doku</v>
      </c>
      <c r="D176" s="6">
        <v>16</v>
      </c>
      <c r="E176" s="20" t="str">
        <f>IFERROR(IF(VLOOKUP(Entity[ID-Modul],Modul[],3,FALSE)=0,VLOOKUP(Entity[ID-Modul],Modul[],2,FALSE),VLOOKUP(Entity[ID-Modul],Modul[],3,FALSE)),"unbekannt")</f>
        <v>IfcHvacDomain</v>
      </c>
      <c r="F176" s="21" t="b">
        <v>1</v>
      </c>
      <c r="G176" s="21" t="b">
        <v>0</v>
      </c>
      <c r="H176" s="22" t="s">
        <v>667</v>
      </c>
      <c r="I176" s="19">
        <f>LEN(Entity[[#This Row],[IFC-Name]])</f>
        <v>27</v>
      </c>
      <c r="J176" s="7" t="s">
        <v>12</v>
      </c>
      <c r="K176" s="19">
        <f>LEN(Entity[[#This Row],[Klassen-Name]])</f>
        <v>27</v>
      </c>
      <c r="L176" s="7"/>
      <c r="M176" s="19" t="b">
        <f>IF(NOT(Entity[[#This Row],[Supertype]]),TRUE,AND(Entity[[#This Row],[Supertype]],Entity[[#This Row],[Subtype]]))</f>
        <v>1</v>
      </c>
      <c r="N176" s="28" t="s">
        <v>2915</v>
      </c>
      <c r="O176" s="29" t="s">
        <v>1804</v>
      </c>
    </row>
    <row r="177" spans="2:15" ht="20.100000000000001" customHeight="1" x14ac:dyDescent="0.25">
      <c r="B177" s="7" t="s">
        <v>39</v>
      </c>
      <c r="C177" s="7" t="str">
        <f>IF(Entity[[#This Row],[Link]]="","",HYPERLINK(HTMLDokuPath&amp;Entity[[#This Row],[Link]],"Doku"))</f>
        <v>Doku</v>
      </c>
      <c r="D177" s="6">
        <v>16</v>
      </c>
      <c r="E177" s="20" t="str">
        <f>IFERROR(IF(VLOOKUP(Entity[ID-Modul],Modul[],3,FALSE)=0,VLOOKUP(Entity[ID-Modul],Modul[],2,FALSE),VLOOKUP(Entity[ID-Modul],Modul[],3,FALSE)),"unbekannt")</f>
        <v>IfcHvacDomain</v>
      </c>
      <c r="F177" s="21" t="b">
        <v>1</v>
      </c>
      <c r="G177" s="21" t="b">
        <v>0</v>
      </c>
      <c r="H177" s="22" t="s">
        <v>692</v>
      </c>
      <c r="I177" s="19">
        <f>LEN(Entity[[#This Row],[IFC-Name]])</f>
        <v>13</v>
      </c>
      <c r="J177" s="7" t="s">
        <v>39</v>
      </c>
      <c r="K177" s="19">
        <f>LEN(Entity[[#This Row],[Klassen-Name]])</f>
        <v>13</v>
      </c>
      <c r="L177" s="7"/>
      <c r="M177" s="19" t="b">
        <f>IF(NOT(Entity[[#This Row],[Supertype]]),TRUE,AND(Entity[[#This Row],[Supertype]],Entity[[#This Row],[Subtype]]))</f>
        <v>1</v>
      </c>
      <c r="N177" s="28" t="s">
        <v>2947</v>
      </c>
      <c r="O177" s="29" t="s">
        <v>1837</v>
      </c>
    </row>
    <row r="178" spans="2:15" ht="20.100000000000001" customHeight="1" x14ac:dyDescent="0.25">
      <c r="B178" s="7" t="s">
        <v>71</v>
      </c>
      <c r="C178" s="7" t="str">
        <f>IF(Entity[[#This Row],[Link]]="","",HYPERLINK(HTMLDokuPath&amp;Entity[[#This Row],[Link]],"Doku"))</f>
        <v>Doku</v>
      </c>
      <c r="D178" s="6">
        <v>16</v>
      </c>
      <c r="E178" s="20" t="str">
        <f>IFERROR(IF(VLOOKUP(Entity[ID-Modul],Modul[],3,FALSE)=0,VLOOKUP(Entity[ID-Modul],Modul[],2,FALSE),VLOOKUP(Entity[ID-Modul],Modul[],3,FALSE)),"unbekannt")</f>
        <v>IfcHvacDomain</v>
      </c>
      <c r="F178" s="21" t="b">
        <v>1</v>
      </c>
      <c r="G178" s="21" t="b">
        <v>0</v>
      </c>
      <c r="H178" s="22" t="s">
        <v>714</v>
      </c>
      <c r="I178" s="19">
        <f>LEN(Entity[[#This Row],[IFC-Name]])</f>
        <v>14</v>
      </c>
      <c r="J178" s="7" t="s">
        <v>71</v>
      </c>
      <c r="K178" s="19">
        <f>LEN(Entity[[#This Row],[Klassen-Name]])</f>
        <v>14</v>
      </c>
      <c r="L178" s="7"/>
      <c r="M178" s="19" t="b">
        <f>IF(NOT(Entity[[#This Row],[Supertype]]),TRUE,AND(Entity[[#This Row],[Supertype]],Entity[[#This Row],[Subtype]]))</f>
        <v>1</v>
      </c>
      <c r="N178" s="28" t="s">
        <v>2980</v>
      </c>
      <c r="O178" s="29" t="s">
        <v>1870</v>
      </c>
    </row>
    <row r="179" spans="2:15" ht="20.100000000000001" customHeight="1" x14ac:dyDescent="0.25">
      <c r="B179" s="7" t="s">
        <v>77</v>
      </c>
      <c r="C179" s="7" t="str">
        <f>IF(Entity[[#This Row],[Link]]="","",HYPERLINK(HTMLDokuPath&amp;Entity[[#This Row],[Link]],"Doku"))</f>
        <v>Doku</v>
      </c>
      <c r="D179" s="6">
        <v>16</v>
      </c>
      <c r="E179" s="20" t="str">
        <f>IFERROR(IF(VLOOKUP(Entity[ID-Modul],Modul[],3,FALSE)=0,VLOOKUP(Entity[ID-Modul],Modul[],2,FALSE),VLOOKUP(Entity[ID-Modul],Modul[],3,FALSE)),"unbekannt")</f>
        <v>IfcHvacDomain</v>
      </c>
      <c r="F179" s="21" t="b">
        <v>1</v>
      </c>
      <c r="G179" s="21" t="b">
        <v>0</v>
      </c>
      <c r="H179" s="22" t="s">
        <v>724</v>
      </c>
      <c r="I179" s="19">
        <f>LEN(Entity[[#This Row],[IFC-Name]])</f>
        <v>11</v>
      </c>
      <c r="J179" s="7" t="s">
        <v>77</v>
      </c>
      <c r="K179" s="19">
        <f>LEN(Entity[[#This Row],[Klassen-Name]])</f>
        <v>11</v>
      </c>
      <c r="L179" s="7"/>
      <c r="M179" s="19" t="b">
        <f>IF(NOT(Entity[[#This Row],[Supertype]]),TRUE,AND(Entity[[#This Row],[Supertype]],Entity[[#This Row],[Subtype]]))</f>
        <v>1</v>
      </c>
      <c r="N179" s="28" t="s">
        <v>2991</v>
      </c>
      <c r="O179" s="29" t="s">
        <v>1881</v>
      </c>
    </row>
    <row r="180" spans="2:15" ht="20.100000000000001" customHeight="1" x14ac:dyDescent="0.25">
      <c r="B180" s="7" t="s">
        <v>86</v>
      </c>
      <c r="C180" s="7" t="str">
        <f>IF(Entity[[#This Row],[Link]]="","",HYPERLINK(HTMLDokuPath&amp;Entity[[#This Row],[Link]],"Doku"))</f>
        <v>Doku</v>
      </c>
      <c r="D180" s="6">
        <v>16</v>
      </c>
      <c r="E180" s="20" t="str">
        <f>IFERROR(IF(VLOOKUP(Entity[ID-Modul],Modul[],3,FALSE)=0,VLOOKUP(Entity[ID-Modul],Modul[],2,FALSE),VLOOKUP(Entity[ID-Modul],Modul[],3,FALSE)),"unbekannt")</f>
        <v>IfcHvacDomain</v>
      </c>
      <c r="F180" s="21" t="b">
        <v>1</v>
      </c>
      <c r="G180" s="21" t="b">
        <v>0</v>
      </c>
      <c r="H180" s="22" t="s">
        <v>731</v>
      </c>
      <c r="I180" s="19">
        <f>LEN(Entity[[#This Row],[IFC-Name]])</f>
        <v>17</v>
      </c>
      <c r="J180" s="7" t="s">
        <v>86</v>
      </c>
      <c r="K180" s="19">
        <f>LEN(Entity[[#This Row],[Klassen-Name]])</f>
        <v>17</v>
      </c>
      <c r="L180" s="7"/>
      <c r="M180" s="19" t="b">
        <f>IF(NOT(Entity[[#This Row],[Supertype]]),TRUE,AND(Entity[[#This Row],[Supertype]],Entity[[#This Row],[Subtype]]))</f>
        <v>1</v>
      </c>
      <c r="N180" s="28" t="s">
        <v>3000</v>
      </c>
      <c r="O180" s="29" t="s">
        <v>1890</v>
      </c>
    </row>
    <row r="181" spans="2:15" ht="20.100000000000001" customHeight="1" x14ac:dyDescent="0.25">
      <c r="B181" s="7" t="s">
        <v>87</v>
      </c>
      <c r="C181" s="7" t="str">
        <f>IF(Entity[[#This Row],[Link]]="","",HYPERLINK(HTMLDokuPath&amp;Entity[[#This Row],[Link]],"Doku"))</f>
        <v>Doku</v>
      </c>
      <c r="D181" s="6">
        <v>16</v>
      </c>
      <c r="E181" s="20" t="str">
        <f>IFERROR(IF(VLOOKUP(Entity[ID-Modul],Modul[],3,FALSE)=0,VLOOKUP(Entity[ID-Modul],Modul[],2,FALSE),VLOOKUP(Entity[ID-Modul],Modul[],3,FALSE)),"unbekannt")</f>
        <v>IfcHvacDomain</v>
      </c>
      <c r="F181" s="21" t="b">
        <v>1</v>
      </c>
      <c r="G181" s="21" t="b">
        <v>0</v>
      </c>
      <c r="H181" s="22" t="s">
        <v>732</v>
      </c>
      <c r="I181" s="19">
        <f>LEN(Entity[[#This Row],[IFC-Name]])</f>
        <v>16</v>
      </c>
      <c r="J181" s="7" t="s">
        <v>87</v>
      </c>
      <c r="K181" s="19">
        <f>LEN(Entity[[#This Row],[Klassen-Name]])</f>
        <v>16</v>
      </c>
      <c r="L181" s="7"/>
      <c r="M181" s="19" t="b">
        <f>IF(NOT(Entity[[#This Row],[Supertype]]),TRUE,AND(Entity[[#This Row],[Supertype]],Entity[[#This Row],[Subtype]]))</f>
        <v>1</v>
      </c>
      <c r="N181" s="28" t="s">
        <v>3001</v>
      </c>
      <c r="O181" s="29" t="s">
        <v>1891</v>
      </c>
    </row>
    <row r="182" spans="2:15" ht="20.100000000000001" customHeight="1" x14ac:dyDescent="0.25">
      <c r="B182" s="7" t="s">
        <v>107</v>
      </c>
      <c r="C182" s="7" t="str">
        <f>IF(Entity[[#This Row],[Link]]="","",HYPERLINK(HTMLDokuPath&amp;Entity[[#This Row],[Link]],"Doku"))</f>
        <v>Doku</v>
      </c>
      <c r="D182" s="6">
        <v>16</v>
      </c>
      <c r="E182" s="20" t="str">
        <f>IFERROR(IF(VLOOKUP(Entity[ID-Modul],Modul[],3,FALSE)=0,VLOOKUP(Entity[ID-Modul],Modul[],2,FALSE),VLOOKUP(Entity[ID-Modul],Modul[],3,FALSE)),"unbekannt")</f>
        <v>IfcHvacDomain</v>
      </c>
      <c r="F182" s="21" t="b">
        <v>1</v>
      </c>
      <c r="G182" s="21" t="b">
        <v>0</v>
      </c>
      <c r="H182" s="22" t="s">
        <v>748</v>
      </c>
      <c r="I182" s="19">
        <f>LEN(Entity[[#This Row],[IFC-Name]])</f>
        <v>17</v>
      </c>
      <c r="J182" s="7" t="s">
        <v>107</v>
      </c>
      <c r="K182" s="19">
        <f>LEN(Entity[[#This Row],[Klassen-Name]])</f>
        <v>17</v>
      </c>
      <c r="L182" s="7"/>
      <c r="M182" s="19" t="b">
        <f>IF(NOT(Entity[[#This Row],[Supertype]]),TRUE,AND(Entity[[#This Row],[Supertype]],Entity[[#This Row],[Subtype]]))</f>
        <v>1</v>
      </c>
      <c r="N182" s="28" t="s">
        <v>3024</v>
      </c>
      <c r="O182" s="29" t="s">
        <v>1914</v>
      </c>
    </row>
    <row r="183" spans="2:15" ht="20.100000000000001" customHeight="1" x14ac:dyDescent="0.25">
      <c r="B183" s="7" t="s">
        <v>108</v>
      </c>
      <c r="C183" s="7" t="str">
        <f>IF(Entity[[#This Row],[Link]]="","",HYPERLINK(HTMLDokuPath&amp;Entity[[#This Row],[Link]],"Doku"))</f>
        <v>Doku</v>
      </c>
      <c r="D183" s="6">
        <v>16</v>
      </c>
      <c r="E183" s="20" t="str">
        <f>IFERROR(IF(VLOOKUP(Entity[ID-Modul],Modul[],3,FALSE)=0,VLOOKUP(Entity[ID-Modul],Modul[],2,FALSE),VLOOKUP(Entity[ID-Modul],Modul[],3,FALSE)),"unbekannt")</f>
        <v>IfcHvacDomain</v>
      </c>
      <c r="F183" s="21" t="b">
        <v>1</v>
      </c>
      <c r="G183" s="21" t="b">
        <v>0</v>
      </c>
      <c r="H183" s="22" t="s">
        <v>749</v>
      </c>
      <c r="I183" s="19">
        <f>LEN(Entity[[#This Row],[IFC-Name]])</f>
        <v>19</v>
      </c>
      <c r="J183" s="7" t="s">
        <v>108</v>
      </c>
      <c r="K183" s="19">
        <f>LEN(Entity[[#This Row],[Klassen-Name]])</f>
        <v>19</v>
      </c>
      <c r="L183" s="7"/>
      <c r="M183" s="19" t="b">
        <f>IF(NOT(Entity[[#This Row],[Supertype]]),TRUE,AND(Entity[[#This Row],[Supertype]],Entity[[#This Row],[Subtype]]))</f>
        <v>1</v>
      </c>
      <c r="N183" s="28" t="s">
        <v>3025</v>
      </c>
      <c r="O183" s="29" t="s">
        <v>1915</v>
      </c>
    </row>
    <row r="184" spans="2:15" ht="20.100000000000001" customHeight="1" x14ac:dyDescent="0.25">
      <c r="B184" s="7" t="s">
        <v>124</v>
      </c>
      <c r="C184" s="7" t="str">
        <f>IF(Entity[[#This Row],[Link]]="","",HYPERLINK(HTMLDokuPath&amp;Entity[[#This Row],[Link]],"Doku"))</f>
        <v>Doku</v>
      </c>
      <c r="D184" s="6">
        <v>16</v>
      </c>
      <c r="E184" s="20" t="str">
        <f>IFERROR(IF(VLOOKUP(Entity[ID-Modul],Modul[],3,FALSE)=0,VLOOKUP(Entity[ID-Modul],Modul[],2,FALSE),VLOOKUP(Entity[ID-Modul],Modul[],3,FALSE)),"unbekannt")</f>
        <v>IfcHvacDomain</v>
      </c>
      <c r="F184" s="21" t="b">
        <v>1</v>
      </c>
      <c r="G184" s="21" t="b">
        <v>0</v>
      </c>
      <c r="H184" s="22" t="s">
        <v>768</v>
      </c>
      <c r="I184" s="19">
        <f>LEN(Entity[[#This Row],[IFC-Name]])</f>
        <v>13</v>
      </c>
      <c r="J184" s="7" t="s">
        <v>124</v>
      </c>
      <c r="K184" s="19">
        <f>LEN(Entity[[#This Row],[Klassen-Name]])</f>
        <v>13</v>
      </c>
      <c r="L184" s="7"/>
      <c r="M184" s="19" t="b">
        <f>IF(NOT(Entity[[#This Row],[Supertype]]),TRUE,AND(Entity[[#This Row],[Supertype]],Entity[[#This Row],[Subtype]]))</f>
        <v>1</v>
      </c>
      <c r="N184" s="28" t="s">
        <v>3047</v>
      </c>
      <c r="O184" s="29" t="s">
        <v>1936</v>
      </c>
    </row>
    <row r="185" spans="2:15" ht="20.100000000000001" customHeight="1" x14ac:dyDescent="0.25">
      <c r="B185" s="7" t="s">
        <v>155</v>
      </c>
      <c r="C185" s="7" t="str">
        <f>IF(Entity[[#This Row],[Link]]="","",HYPERLINK(HTMLDokuPath&amp;Entity[[#This Row],[Link]],"Doku"))</f>
        <v>Doku</v>
      </c>
      <c r="D185" s="6">
        <v>16</v>
      </c>
      <c r="E185" s="20" t="str">
        <f>IFERROR(IF(VLOOKUP(Entity[ID-Modul],Modul[],3,FALSE)=0,VLOOKUP(Entity[ID-Modul],Modul[],2,FALSE),VLOOKUP(Entity[ID-Modul],Modul[],3,FALSE)),"unbekannt")</f>
        <v>IfcHvacDomain</v>
      </c>
      <c r="F185" s="21" t="b">
        <v>1</v>
      </c>
      <c r="G185" s="21" t="b">
        <v>0</v>
      </c>
      <c r="H185" s="22" t="s">
        <v>797</v>
      </c>
      <c r="I185" s="19">
        <f>LEN(Entity[[#This Row],[IFC-Name]])</f>
        <v>18</v>
      </c>
      <c r="J185" s="7" t="s">
        <v>155</v>
      </c>
      <c r="K185" s="19">
        <f>LEN(Entity[[#This Row],[Klassen-Name]])</f>
        <v>18</v>
      </c>
      <c r="L185" s="7"/>
      <c r="M185" s="19" t="b">
        <f>IF(NOT(Entity[[#This Row],[Supertype]]),TRUE,AND(Entity[[#This Row],[Supertype]],Entity[[#This Row],[Subtype]]))</f>
        <v>1</v>
      </c>
      <c r="N185" s="28" t="s">
        <v>3085</v>
      </c>
      <c r="O185" s="29" t="s">
        <v>1974</v>
      </c>
    </row>
    <row r="186" spans="2:15" ht="20.100000000000001" customHeight="1" x14ac:dyDescent="0.25">
      <c r="B186" s="7" t="s">
        <v>156</v>
      </c>
      <c r="C186" s="7" t="str">
        <f>IF(Entity[[#This Row],[Link]]="","",HYPERLINK(HTMLDokuPath&amp;Entity[[#This Row],[Link]],"Doku"))</f>
        <v>Doku</v>
      </c>
      <c r="D186" s="6">
        <v>16</v>
      </c>
      <c r="E186" s="20" t="str">
        <f>IFERROR(IF(VLOOKUP(Entity[ID-Modul],Modul[],3,FALSE)=0,VLOOKUP(Entity[ID-Modul],Modul[],2,FALSE),VLOOKUP(Entity[ID-Modul],Modul[],3,FALSE)),"unbekannt")</f>
        <v>IfcHvacDomain</v>
      </c>
      <c r="F186" s="21" t="b">
        <v>1</v>
      </c>
      <c r="G186" s="21" t="b">
        <v>0</v>
      </c>
      <c r="H186" s="22" t="s">
        <v>798</v>
      </c>
      <c r="I186" s="19">
        <f>LEN(Entity[[#This Row],[IFC-Name]])</f>
        <v>18</v>
      </c>
      <c r="J186" s="7" t="s">
        <v>156</v>
      </c>
      <c r="K186" s="19">
        <f>LEN(Entity[[#This Row],[Klassen-Name]])</f>
        <v>18</v>
      </c>
      <c r="L186" s="7"/>
      <c r="M186" s="19" t="b">
        <f>IF(NOT(Entity[[#This Row],[Supertype]]),TRUE,AND(Entity[[#This Row],[Supertype]],Entity[[#This Row],[Subtype]]))</f>
        <v>1</v>
      </c>
      <c r="N186" s="28" t="s">
        <v>3086</v>
      </c>
      <c r="O186" s="29" t="s">
        <v>1975</v>
      </c>
    </row>
    <row r="187" spans="2:15" ht="20.100000000000001" customHeight="1" x14ac:dyDescent="0.25">
      <c r="B187" s="7" t="s">
        <v>157</v>
      </c>
      <c r="C187" s="7" t="str">
        <f>IF(Entity[[#This Row],[Link]]="","",HYPERLINK(HTMLDokuPath&amp;Entity[[#This Row],[Link]],"Doku"))</f>
        <v>Doku</v>
      </c>
      <c r="D187" s="6">
        <v>16</v>
      </c>
      <c r="E187" s="20" t="str">
        <f>IFERROR(IF(VLOOKUP(Entity[ID-Modul],Modul[],3,FALSE)=0,VLOOKUP(Entity[ID-Modul],Modul[],2,FALSE),VLOOKUP(Entity[ID-Modul],Modul[],3,FALSE)),"unbekannt")</f>
        <v>IfcHvacDomain</v>
      </c>
      <c r="F187" s="21" t="b">
        <v>1</v>
      </c>
      <c r="G187" s="21" t="b">
        <v>0</v>
      </c>
      <c r="H187" s="22" t="s">
        <v>799</v>
      </c>
      <c r="I187" s="19">
        <f>LEN(Entity[[#This Row],[IFC-Name]])</f>
        <v>19</v>
      </c>
      <c r="J187" s="7" t="s">
        <v>157</v>
      </c>
      <c r="K187" s="19">
        <f>LEN(Entity[[#This Row],[Klassen-Name]])</f>
        <v>19</v>
      </c>
      <c r="L187" s="7"/>
      <c r="M187" s="19" t="b">
        <f>IF(NOT(Entity[[#This Row],[Supertype]]),TRUE,AND(Entity[[#This Row],[Supertype]],Entity[[#This Row],[Subtype]]))</f>
        <v>1</v>
      </c>
      <c r="N187" s="28" t="s">
        <v>3087</v>
      </c>
      <c r="O187" s="29" t="s">
        <v>1976</v>
      </c>
    </row>
    <row r="188" spans="2:15" ht="20.100000000000001" customHeight="1" x14ac:dyDescent="0.25">
      <c r="B188" s="7" t="s">
        <v>187</v>
      </c>
      <c r="C188" s="7" t="str">
        <f>IF(Entity[[#This Row],[Link]]="","",HYPERLINK(HTMLDokuPath&amp;Entity[[#This Row],[Link]],"Doku"))</f>
        <v>Doku</v>
      </c>
      <c r="D188" s="6">
        <v>16</v>
      </c>
      <c r="E188" s="20" t="str">
        <f>IFERROR(IF(VLOOKUP(Entity[ID-Modul],Modul[],3,FALSE)=0,VLOOKUP(Entity[ID-Modul],Modul[],2,FALSE),VLOOKUP(Entity[ID-Modul],Modul[],3,FALSE)),"unbekannt")</f>
        <v>IfcHvacDomain</v>
      </c>
      <c r="F188" s="21" t="b">
        <v>1</v>
      </c>
      <c r="G188" s="21" t="b">
        <v>0</v>
      </c>
      <c r="H188" s="22" t="s">
        <v>820</v>
      </c>
      <c r="I188" s="19">
        <f>LEN(Entity[[#This Row],[IFC-Name]])</f>
        <v>24</v>
      </c>
      <c r="J188" s="7" t="s">
        <v>187</v>
      </c>
      <c r="K188" s="19">
        <f>LEN(Entity[[#This Row],[Klassen-Name]])</f>
        <v>24</v>
      </c>
      <c r="L188" s="7"/>
      <c r="M188" s="19" t="b">
        <f>IF(NOT(Entity[[#This Row],[Supertype]]),TRUE,AND(Entity[[#This Row],[Supertype]],Entity[[#This Row],[Subtype]]))</f>
        <v>1</v>
      </c>
      <c r="N188" s="28" t="s">
        <v>3117</v>
      </c>
      <c r="O188" s="29" t="s">
        <v>2006</v>
      </c>
    </row>
    <row r="189" spans="2:15" ht="20.100000000000001" customHeight="1" x14ac:dyDescent="0.25">
      <c r="B189" s="7" t="s">
        <v>188</v>
      </c>
      <c r="C189" s="7" t="str">
        <f>IF(Entity[[#This Row],[Link]]="","",HYPERLINK(HTMLDokuPath&amp;Entity[[#This Row],[Link]],"Doku"))</f>
        <v>Doku</v>
      </c>
      <c r="D189" s="6">
        <v>16</v>
      </c>
      <c r="E189" s="20" t="str">
        <f>IFERROR(IF(VLOOKUP(Entity[ID-Modul],Modul[],3,FALSE)=0,VLOOKUP(Entity[ID-Modul],Modul[],2,FALSE),VLOOKUP(Entity[ID-Modul],Modul[],3,FALSE)),"unbekannt")</f>
        <v>IfcHvacDomain</v>
      </c>
      <c r="F189" s="21" t="b">
        <v>1</v>
      </c>
      <c r="G189" s="21" t="b">
        <v>0</v>
      </c>
      <c r="H189" s="22" t="s">
        <v>821</v>
      </c>
      <c r="I189" s="19">
        <f>LEN(Entity[[#This Row],[IFC-Name]])</f>
        <v>17</v>
      </c>
      <c r="J189" s="7" t="s">
        <v>188</v>
      </c>
      <c r="K189" s="19">
        <f>LEN(Entity[[#This Row],[Klassen-Name]])</f>
        <v>17</v>
      </c>
      <c r="L189" s="7"/>
      <c r="M189" s="19" t="b">
        <f>IF(NOT(Entity[[#This Row],[Supertype]]),TRUE,AND(Entity[[#This Row],[Supertype]],Entity[[#This Row],[Subtype]]))</f>
        <v>1</v>
      </c>
      <c r="N189" s="28" t="s">
        <v>3118</v>
      </c>
      <c r="O189" s="29" t="s">
        <v>2007</v>
      </c>
    </row>
    <row r="190" spans="2:15" ht="20.100000000000001" customHeight="1" x14ac:dyDescent="0.25">
      <c r="B190" s="7" t="s">
        <v>204</v>
      </c>
      <c r="C190" s="7" t="str">
        <f>IF(Entity[[#This Row],[Link]]="","",HYPERLINK(HTMLDokuPath&amp;Entity[[#This Row],[Link]],"Doku"))</f>
        <v>Doku</v>
      </c>
      <c r="D190" s="6">
        <v>16</v>
      </c>
      <c r="E190" s="20" t="str">
        <f>IFERROR(IF(VLOOKUP(Entity[ID-Modul],Modul[],3,FALSE)=0,VLOOKUP(Entity[ID-Modul],Modul[],2,FALSE),VLOOKUP(Entity[ID-Modul],Modul[],3,FALSE)),"unbekannt")</f>
        <v>IfcHvacDomain</v>
      </c>
      <c r="F190" s="21" t="b">
        <v>1</v>
      </c>
      <c r="G190" s="21" t="b">
        <v>0</v>
      </c>
      <c r="H190" s="22" t="s">
        <v>834</v>
      </c>
      <c r="I190" s="19">
        <f>LEN(Entity[[#This Row],[IFC-Name]])</f>
        <v>10</v>
      </c>
      <c r="J190" s="7" t="s">
        <v>204</v>
      </c>
      <c r="K190" s="19">
        <f>LEN(Entity[[#This Row],[Klassen-Name]])</f>
        <v>10</v>
      </c>
      <c r="L190" s="7"/>
      <c r="M190" s="19" t="b">
        <f>IF(NOT(Entity[[#This Row],[Supertype]]),TRUE,AND(Entity[[#This Row],[Supertype]],Entity[[#This Row],[Subtype]]))</f>
        <v>1</v>
      </c>
      <c r="N190" s="28" t="s">
        <v>3134</v>
      </c>
      <c r="O190" s="29" t="s">
        <v>2023</v>
      </c>
    </row>
    <row r="191" spans="2:15" ht="20.100000000000001" customHeight="1" x14ac:dyDescent="0.25">
      <c r="B191" s="7" t="s">
        <v>214</v>
      </c>
      <c r="C191" s="7" t="str">
        <f>IF(Entity[[#This Row],[Link]]="","",HYPERLINK(HTMLDokuPath&amp;Entity[[#This Row],[Link]],"Doku"))</f>
        <v>Doku</v>
      </c>
      <c r="D191" s="6">
        <v>16</v>
      </c>
      <c r="E191" s="20" t="str">
        <f>IFERROR(IF(VLOOKUP(Entity[ID-Modul],Modul[],3,FALSE)=0,VLOOKUP(Entity[ID-Modul],Modul[],2,FALSE),VLOOKUP(Entity[ID-Modul],Modul[],3,FALSE)),"unbekannt")</f>
        <v>IfcHvacDomain</v>
      </c>
      <c r="F191" s="21" t="b">
        <v>1</v>
      </c>
      <c r="G191" s="21" t="b">
        <v>0</v>
      </c>
      <c r="H191" s="22" t="s">
        <v>839</v>
      </c>
      <c r="I191" s="19">
        <f>LEN(Entity[[#This Row],[IFC-Name]])</f>
        <v>13</v>
      </c>
      <c r="J191" s="7" t="s">
        <v>214</v>
      </c>
      <c r="K191" s="19">
        <f>LEN(Entity[[#This Row],[Klassen-Name]])</f>
        <v>13</v>
      </c>
      <c r="L191" s="7"/>
      <c r="M191" s="19" t="b">
        <f>IF(NOT(Entity[[#This Row],[Supertype]]),TRUE,AND(Entity[[#This Row],[Supertype]],Entity[[#This Row],[Subtype]]))</f>
        <v>1</v>
      </c>
      <c r="N191" s="28" t="s">
        <v>3144</v>
      </c>
      <c r="O191" s="29" t="s">
        <v>2033</v>
      </c>
    </row>
    <row r="192" spans="2:15" ht="20.100000000000001" customHeight="1" x14ac:dyDescent="0.25">
      <c r="B192" s="7" t="s">
        <v>221</v>
      </c>
      <c r="C192" s="7" t="str">
        <f>IF(Entity[[#This Row],[Link]]="","",HYPERLINK(HTMLDokuPath&amp;Entity[[#This Row],[Link]],"Doku"))</f>
        <v>Doku</v>
      </c>
      <c r="D192" s="6">
        <v>16</v>
      </c>
      <c r="E192" s="20" t="str">
        <f>IFERROR(IF(VLOOKUP(Entity[ID-Modul],Modul[],3,FALSE)=0,VLOOKUP(Entity[ID-Modul],Modul[],2,FALSE),VLOOKUP(Entity[ID-Modul],Modul[],3,FALSE)),"unbekannt")</f>
        <v>IfcHvacDomain</v>
      </c>
      <c r="F192" s="21" t="b">
        <v>1</v>
      </c>
      <c r="G192" s="21" t="b">
        <v>0</v>
      </c>
      <c r="H192" s="22" t="s">
        <v>843</v>
      </c>
      <c r="I192" s="19">
        <f>LEN(Entity[[#This Row],[IFC-Name]])</f>
        <v>16</v>
      </c>
      <c r="J192" s="7" t="s">
        <v>221</v>
      </c>
      <c r="K192" s="19">
        <f>LEN(Entity[[#This Row],[Klassen-Name]])</f>
        <v>16</v>
      </c>
      <c r="L192" s="7"/>
      <c r="M192" s="19" t="b">
        <f>IF(NOT(Entity[[#This Row],[Supertype]]),TRUE,AND(Entity[[#This Row],[Supertype]],Entity[[#This Row],[Subtype]]))</f>
        <v>1</v>
      </c>
      <c r="N192" s="28" t="s">
        <v>3151</v>
      </c>
      <c r="O192" s="29" t="s">
        <v>2040</v>
      </c>
    </row>
    <row r="193" spans="2:15" ht="20.100000000000001" customHeight="1" x14ac:dyDescent="0.25">
      <c r="B193" s="7" t="s">
        <v>239</v>
      </c>
      <c r="C193" s="7" t="str">
        <f>IF(Entity[[#This Row],[Link]]="","",HYPERLINK(HTMLDokuPath&amp;Entity[[#This Row],[Link]],"Doku"))</f>
        <v>Doku</v>
      </c>
      <c r="D193" s="6">
        <v>16</v>
      </c>
      <c r="E193" s="20" t="str">
        <f>IFERROR(IF(VLOOKUP(Entity[ID-Modul],Modul[],3,FALSE)=0,VLOOKUP(Entity[ID-Modul],Modul[],2,FALSE),VLOOKUP(Entity[ID-Modul],Modul[],3,FALSE)),"unbekannt")</f>
        <v>IfcHvacDomain</v>
      </c>
      <c r="F193" s="21" t="b">
        <v>1</v>
      </c>
      <c r="G193" s="21" t="b">
        <v>0</v>
      </c>
      <c r="H193" s="22" t="s">
        <v>855</v>
      </c>
      <c r="I193" s="19">
        <f>LEN(Entity[[#This Row],[IFC-Name]])</f>
        <v>18</v>
      </c>
      <c r="J193" s="7" t="s">
        <v>239</v>
      </c>
      <c r="K193" s="19">
        <f>LEN(Entity[[#This Row],[Klassen-Name]])</f>
        <v>18</v>
      </c>
      <c r="L193" s="7"/>
      <c r="M193" s="19" t="b">
        <f>IF(NOT(Entity[[#This Row],[Supertype]]),TRUE,AND(Entity[[#This Row],[Supertype]],Entity[[#This Row],[Subtype]]))</f>
        <v>1</v>
      </c>
      <c r="N193" s="28" t="s">
        <v>3169</v>
      </c>
      <c r="O193" s="29" t="s">
        <v>2058</v>
      </c>
    </row>
    <row r="194" spans="2:15" ht="20.100000000000001" customHeight="1" x14ac:dyDescent="0.25">
      <c r="B194" s="7" t="s">
        <v>251</v>
      </c>
      <c r="C194" s="7" t="str">
        <f>IF(Entity[[#This Row],[Link]]="","",HYPERLINK(HTMLDokuPath&amp;Entity[[#This Row],[Link]],"Doku"))</f>
        <v>Doku</v>
      </c>
      <c r="D194" s="6">
        <v>16</v>
      </c>
      <c r="E194" s="20" t="str">
        <f>IFERROR(IF(VLOOKUP(Entity[ID-Modul],Modul[],3,FALSE)=0,VLOOKUP(Entity[ID-Modul],Modul[],2,FALSE),VLOOKUP(Entity[ID-Modul],Modul[],3,FALSE)),"unbekannt")</f>
        <v>IfcHvacDomain</v>
      </c>
      <c r="F194" s="21" t="b">
        <v>1</v>
      </c>
      <c r="G194" s="21" t="b">
        <v>0</v>
      </c>
      <c r="H194" s="22" t="s">
        <v>862</v>
      </c>
      <c r="I194" s="19">
        <f>LEN(Entity[[#This Row],[IFC-Name]])</f>
        <v>20</v>
      </c>
      <c r="J194" s="7" t="s">
        <v>251</v>
      </c>
      <c r="K194" s="19">
        <f>LEN(Entity[[#This Row],[Klassen-Name]])</f>
        <v>20</v>
      </c>
      <c r="L194" s="7"/>
      <c r="M194" s="19" t="b">
        <f>IF(NOT(Entity[[#This Row],[Supertype]]),TRUE,AND(Entity[[#This Row],[Supertype]],Entity[[#This Row],[Subtype]]))</f>
        <v>1</v>
      </c>
      <c r="N194" s="28" t="s">
        <v>3182</v>
      </c>
      <c r="O194" s="29" t="s">
        <v>2071</v>
      </c>
    </row>
    <row r="195" spans="2:15" ht="20.100000000000001" customHeight="1" x14ac:dyDescent="0.25">
      <c r="B195" s="7" t="s">
        <v>252</v>
      </c>
      <c r="C195" s="7" t="str">
        <f>IF(Entity[[#This Row],[Link]]="","",HYPERLINK(HTMLDokuPath&amp;Entity[[#This Row],[Link]],"Doku"))</f>
        <v>Doku</v>
      </c>
      <c r="D195" s="6">
        <v>16</v>
      </c>
      <c r="E195" s="20" t="str">
        <f>IFERROR(IF(VLOOKUP(Entity[ID-Modul],Modul[],3,FALSE)=0,VLOOKUP(Entity[ID-Modul],Modul[],2,FALSE),VLOOKUP(Entity[ID-Modul],Modul[],3,FALSE)),"unbekannt")</f>
        <v>IfcHvacDomain</v>
      </c>
      <c r="F195" s="21" t="b">
        <v>1</v>
      </c>
      <c r="G195" s="21" t="b">
        <v>0</v>
      </c>
      <c r="H195" s="22" t="s">
        <v>863</v>
      </c>
      <c r="I195" s="19">
        <f>LEN(Entity[[#This Row],[IFC-Name]])</f>
        <v>17</v>
      </c>
      <c r="J195" s="7" t="s">
        <v>252</v>
      </c>
      <c r="K195" s="19">
        <f>LEN(Entity[[#This Row],[Klassen-Name]])</f>
        <v>17</v>
      </c>
      <c r="L195" s="7"/>
      <c r="M195" s="19" t="b">
        <f>IF(NOT(Entity[[#This Row],[Supertype]]),TRUE,AND(Entity[[#This Row],[Supertype]],Entity[[#This Row],[Subtype]]))</f>
        <v>1</v>
      </c>
      <c r="N195" s="28" t="s">
        <v>3183</v>
      </c>
      <c r="O195" s="29" t="s">
        <v>2072</v>
      </c>
    </row>
    <row r="196" spans="2:15" ht="20.100000000000001" customHeight="1" x14ac:dyDescent="0.25">
      <c r="B196" s="7" t="s">
        <v>312</v>
      </c>
      <c r="C196" s="7" t="str">
        <f>IF(Entity[[#This Row],[Link]]="","",HYPERLINK(HTMLDokuPath&amp;Entity[[#This Row],[Link]],"Doku"))</f>
        <v>Doku</v>
      </c>
      <c r="D196" s="6">
        <v>16</v>
      </c>
      <c r="E196" s="20" t="str">
        <f>IFERROR(IF(VLOOKUP(Entity[ID-Modul],Modul[],3,FALSE)=0,VLOOKUP(Entity[ID-Modul],Modul[],2,FALSE),VLOOKUP(Entity[ID-Modul],Modul[],3,FALSE)),"unbekannt")</f>
        <v>IfcHvacDomain</v>
      </c>
      <c r="F196" s="21" t="b">
        <v>1</v>
      </c>
      <c r="G196" s="21" t="b">
        <v>0</v>
      </c>
      <c r="H196" s="22" t="s">
        <v>926</v>
      </c>
      <c r="I196" s="19">
        <f>LEN(Entity[[#This Row],[IFC-Name]])</f>
        <v>18</v>
      </c>
      <c r="J196" s="7" t="s">
        <v>312</v>
      </c>
      <c r="K196" s="19">
        <f>LEN(Entity[[#This Row],[Klassen-Name]])</f>
        <v>18</v>
      </c>
      <c r="L196" s="7"/>
      <c r="M196" s="19" t="b">
        <f>IF(NOT(Entity[[#This Row],[Supertype]]),TRUE,AND(Entity[[#This Row],[Supertype]],Entity[[#This Row],[Subtype]]))</f>
        <v>1</v>
      </c>
      <c r="N196" s="28" t="s">
        <v>3261</v>
      </c>
      <c r="O196" s="29" t="s">
        <v>2150</v>
      </c>
    </row>
    <row r="197" spans="2:15" ht="20.100000000000001" customHeight="1" x14ac:dyDescent="0.25">
      <c r="B197" s="7" t="s">
        <v>313</v>
      </c>
      <c r="C197" s="7" t="str">
        <f>IF(Entity[[#This Row],[Link]]="","",HYPERLINK(HTMLDokuPath&amp;Entity[[#This Row],[Link]],"Doku"))</f>
        <v>Doku</v>
      </c>
      <c r="D197" s="6">
        <v>16</v>
      </c>
      <c r="E197" s="20" t="str">
        <f>IFERROR(IF(VLOOKUP(Entity[ID-Modul],Modul[],3,FALSE)=0,VLOOKUP(Entity[ID-Modul],Modul[],2,FALSE),VLOOKUP(Entity[ID-Modul],Modul[],3,FALSE)),"unbekannt")</f>
        <v>IfcHvacDomain</v>
      </c>
      <c r="F197" s="21" t="b">
        <v>1</v>
      </c>
      <c r="G197" s="21" t="b">
        <v>0</v>
      </c>
      <c r="H197" s="22" t="s">
        <v>927</v>
      </c>
      <c r="I197" s="19">
        <f>LEN(Entity[[#This Row],[IFC-Name]])</f>
        <v>18</v>
      </c>
      <c r="J197" s="7" t="s">
        <v>313</v>
      </c>
      <c r="K197" s="19">
        <f>LEN(Entity[[#This Row],[Klassen-Name]])</f>
        <v>18</v>
      </c>
      <c r="L197" s="7"/>
      <c r="M197" s="19" t="b">
        <f>IF(NOT(Entity[[#This Row],[Supertype]]),TRUE,AND(Entity[[#This Row],[Supertype]],Entity[[#This Row],[Subtype]]))</f>
        <v>1</v>
      </c>
      <c r="N197" s="28" t="s">
        <v>3262</v>
      </c>
      <c r="O197" s="29" t="s">
        <v>2151</v>
      </c>
    </row>
    <row r="198" spans="2:15" ht="20.100000000000001" customHeight="1" x14ac:dyDescent="0.25">
      <c r="B198" s="7" t="s">
        <v>365</v>
      </c>
      <c r="C198" s="7" t="str">
        <f>IF(Entity[[#This Row],[Link]]="","",HYPERLINK(HTMLDokuPath&amp;Entity[[#This Row],[Link]],"Doku"))</f>
        <v>Doku</v>
      </c>
      <c r="D198" s="6">
        <v>16</v>
      </c>
      <c r="E198" s="20" t="str">
        <f>IFERROR(IF(VLOOKUP(Entity[ID-Modul],Modul[],3,FALSE)=0,VLOOKUP(Entity[ID-Modul],Modul[],2,FALSE),VLOOKUP(Entity[ID-Modul],Modul[],3,FALSE)),"unbekannt")</f>
        <v>IfcHvacDomain</v>
      </c>
      <c r="F198" s="21" t="b">
        <v>1</v>
      </c>
      <c r="G198" s="21" t="b">
        <v>0</v>
      </c>
      <c r="H198" s="22" t="s">
        <v>964</v>
      </c>
      <c r="I198" s="19">
        <f>LEN(Entity[[#This Row],[IFC-Name]])</f>
        <v>11</v>
      </c>
      <c r="J198" s="7" t="s">
        <v>365</v>
      </c>
      <c r="K198" s="19">
        <f>LEN(Entity[[#This Row],[Klassen-Name]])</f>
        <v>11</v>
      </c>
      <c r="L198" s="7"/>
      <c r="M198" s="19" t="b">
        <f>IF(NOT(Entity[[#This Row],[Supertype]]),TRUE,AND(Entity[[#This Row],[Supertype]],Entity[[#This Row],[Subtype]]))</f>
        <v>1</v>
      </c>
      <c r="N198" s="28" t="s">
        <v>3318</v>
      </c>
      <c r="O198" s="29" t="s">
        <v>2207</v>
      </c>
    </row>
    <row r="199" spans="2:15" ht="20.100000000000001" customHeight="1" x14ac:dyDescent="0.25">
      <c r="B199" s="7" t="s">
        <v>469</v>
      </c>
      <c r="C199" s="7" t="str">
        <f>IF(Entity[[#This Row],[Link]]="","",HYPERLINK(HTMLDokuPath&amp;Entity[[#This Row],[Link]],"Doku"))</f>
        <v>Doku</v>
      </c>
      <c r="D199" s="6">
        <v>16</v>
      </c>
      <c r="E199" s="20" t="str">
        <f>IFERROR(IF(VLOOKUP(Entity[ID-Modul],Modul[],3,FALSE)=0,VLOOKUP(Entity[ID-Modul],Modul[],2,FALSE),VLOOKUP(Entity[ID-Modul],Modul[],3,FALSE)),"unbekannt")</f>
        <v>IfcHvacDomain</v>
      </c>
      <c r="F199" s="21" t="b">
        <v>1</v>
      </c>
      <c r="G199" s="21" t="b">
        <v>0</v>
      </c>
      <c r="H199" s="22" t="s">
        <v>1054</v>
      </c>
      <c r="I199" s="19">
        <f>LEN(Entity[[#This Row],[IFC-Name]])</f>
        <v>18</v>
      </c>
      <c r="J199" s="7" t="s">
        <v>469</v>
      </c>
      <c r="K199" s="19">
        <f>LEN(Entity[[#This Row],[Klassen-Name]])</f>
        <v>18</v>
      </c>
      <c r="L199" s="7"/>
      <c r="M199" s="19" t="b">
        <f>IF(NOT(Entity[[#This Row],[Supertype]]),TRUE,AND(Entity[[#This Row],[Supertype]],Entity[[#This Row],[Subtype]]))</f>
        <v>1</v>
      </c>
      <c r="N199" s="28" t="s">
        <v>3429</v>
      </c>
      <c r="O199" s="29" t="s">
        <v>2318</v>
      </c>
    </row>
    <row r="200" spans="2:15" ht="20.100000000000001" customHeight="1" x14ac:dyDescent="0.25">
      <c r="B200" s="7" t="s">
        <v>536</v>
      </c>
      <c r="C200" s="7" t="str">
        <f>IF(Entity[[#This Row],[Link]]="","",HYPERLINK(HTMLDokuPath&amp;Entity[[#This Row],[Link]],"Doku"))</f>
        <v>Doku</v>
      </c>
      <c r="D200" s="6">
        <v>16</v>
      </c>
      <c r="E200" s="20" t="str">
        <f>IFERROR(IF(VLOOKUP(Entity[ID-Modul],Modul[],3,FALSE)=0,VLOOKUP(Entity[ID-Modul],Modul[],2,FALSE),VLOOKUP(Entity[ID-Modul],Modul[],3,FALSE)),"unbekannt")</f>
        <v>IfcHvacDomain</v>
      </c>
      <c r="F200" s="21" t="b">
        <v>1</v>
      </c>
      <c r="G200" s="21" t="b">
        <v>0</v>
      </c>
      <c r="H200" s="22" t="s">
        <v>1100</v>
      </c>
      <c r="I200" s="19">
        <f>LEN(Entity[[#This Row],[IFC-Name]])</f>
        <v>11</v>
      </c>
      <c r="J200" s="7" t="s">
        <v>536</v>
      </c>
      <c r="K200" s="19">
        <f>LEN(Entity[[#This Row],[Klassen-Name]])</f>
        <v>11</v>
      </c>
      <c r="L200" s="7"/>
      <c r="M200" s="19" t="b">
        <f>IF(NOT(Entity[[#This Row],[Supertype]]),TRUE,AND(Entity[[#This Row],[Supertype]],Entity[[#This Row],[Subtype]]))</f>
        <v>1</v>
      </c>
      <c r="N200" s="28" t="s">
        <v>3500</v>
      </c>
      <c r="O200" s="29" t="s">
        <v>2390</v>
      </c>
    </row>
    <row r="201" spans="2:15" ht="20.100000000000001" customHeight="1" x14ac:dyDescent="0.25">
      <c r="B201" s="7" t="s">
        <v>559</v>
      </c>
      <c r="C201" s="7" t="str">
        <f>IF(Entity[[#This Row],[Link]]="","",HYPERLINK(HTMLDokuPath&amp;Entity[[#This Row],[Link]],"Doku"))</f>
        <v>Doku</v>
      </c>
      <c r="D201" s="6">
        <v>16</v>
      </c>
      <c r="E201" s="20" t="str">
        <f>IFERROR(IF(VLOOKUP(Entity[ID-Modul],Modul[],3,FALSE)=0,VLOOKUP(Entity[ID-Modul],Modul[],2,FALSE),VLOOKUP(Entity[ID-Modul],Modul[],3,FALSE)),"unbekannt")</f>
        <v>IfcHvacDomain</v>
      </c>
      <c r="F201" s="21" t="b">
        <v>1</v>
      </c>
      <c r="G201" s="21" t="b">
        <v>0</v>
      </c>
      <c r="H201" s="22" t="s">
        <v>1123</v>
      </c>
      <c r="I201" s="19">
        <f>LEN(Entity[[#This Row],[IFC-Name]])</f>
        <v>17</v>
      </c>
      <c r="J201" s="7" t="s">
        <v>559</v>
      </c>
      <c r="K201" s="19">
        <f>LEN(Entity[[#This Row],[Klassen-Name]])</f>
        <v>17</v>
      </c>
      <c r="L201" s="7"/>
      <c r="M201" s="19" t="b">
        <f>IF(NOT(Entity[[#This Row],[Supertype]]),TRUE,AND(Entity[[#This Row],[Supertype]],Entity[[#This Row],[Subtype]]))</f>
        <v>1</v>
      </c>
      <c r="N201" s="28" t="s">
        <v>3530</v>
      </c>
      <c r="O201" s="29" t="s">
        <v>2419</v>
      </c>
    </row>
    <row r="202" spans="2:15" ht="20.100000000000001" customHeight="1" x14ac:dyDescent="0.25">
      <c r="B202" s="7" t="s">
        <v>564</v>
      </c>
      <c r="C202" s="7" t="str">
        <f>IF(Entity[[#This Row],[Link]]="","",HYPERLINK(HTMLDokuPath&amp;Entity[[#This Row],[Link]],"Doku"))</f>
        <v>Doku</v>
      </c>
      <c r="D202" s="6">
        <v>16</v>
      </c>
      <c r="E202" s="20" t="str">
        <f>IFERROR(IF(VLOOKUP(Entity[ID-Modul],Modul[],3,FALSE)=0,VLOOKUP(Entity[ID-Modul],Modul[],2,FALSE),VLOOKUP(Entity[ID-Modul],Modul[],3,FALSE)),"unbekannt")</f>
        <v>IfcHvacDomain</v>
      </c>
      <c r="F202" s="21" t="b">
        <v>1</v>
      </c>
      <c r="G202" s="21" t="b">
        <v>0</v>
      </c>
      <c r="H202" s="22" t="s">
        <v>1127</v>
      </c>
      <c r="I202" s="19">
        <f>LEN(Entity[[#This Row],[IFC-Name]])</f>
        <v>23</v>
      </c>
      <c r="J202" s="7" t="s">
        <v>564</v>
      </c>
      <c r="K202" s="19">
        <f>LEN(Entity[[#This Row],[Klassen-Name]])</f>
        <v>23</v>
      </c>
      <c r="L202" s="7"/>
      <c r="M202" s="19" t="b">
        <f>IF(NOT(Entity[[#This Row],[Supertype]]),TRUE,AND(Entity[[#This Row],[Supertype]],Entity[[#This Row],[Subtype]]))</f>
        <v>1</v>
      </c>
      <c r="N202" s="28" t="s">
        <v>3534</v>
      </c>
      <c r="O202" s="29" t="s">
        <v>2425</v>
      </c>
    </row>
    <row r="203" spans="2:15" ht="20.100000000000001" customHeight="1" x14ac:dyDescent="0.25">
      <c r="B203" s="7" t="s">
        <v>565</v>
      </c>
      <c r="C203" s="7" t="str">
        <f>IF(Entity[[#This Row],[Link]]="","",HYPERLINK(HTMLDokuPath&amp;Entity[[#This Row],[Link]],"Doku"))</f>
        <v>Doku</v>
      </c>
      <c r="D203" s="6">
        <v>16</v>
      </c>
      <c r="E203" s="20" t="str">
        <f>IFERROR(IF(VLOOKUP(Entity[ID-Modul],Modul[],3,FALSE)=0,VLOOKUP(Entity[ID-Modul],Modul[],2,FALSE),VLOOKUP(Entity[ID-Modul],Modul[],3,FALSE)),"unbekannt")</f>
        <v>IfcHvacDomain</v>
      </c>
      <c r="F203" s="21" t="b">
        <v>1</v>
      </c>
      <c r="G203" s="21" t="b">
        <v>0</v>
      </c>
      <c r="H203" s="22" t="s">
        <v>1128</v>
      </c>
      <c r="I203" s="19">
        <f>LEN(Entity[[#This Row],[IFC-Name]])</f>
        <v>12</v>
      </c>
      <c r="J203" s="7" t="s">
        <v>565</v>
      </c>
      <c r="K203" s="19">
        <f>LEN(Entity[[#This Row],[Klassen-Name]])</f>
        <v>12</v>
      </c>
      <c r="L203" s="7"/>
      <c r="M203" s="19" t="b">
        <f>IF(NOT(Entity[[#This Row],[Supertype]]),TRUE,AND(Entity[[#This Row],[Supertype]],Entity[[#This Row],[Subtype]]))</f>
        <v>1</v>
      </c>
      <c r="N203" s="28" t="s">
        <v>3537</v>
      </c>
      <c r="O203" s="29" t="s">
        <v>2426</v>
      </c>
    </row>
    <row r="204" spans="2:15" ht="20.100000000000001" customHeight="1" x14ac:dyDescent="0.25">
      <c r="B204" s="7" t="s">
        <v>570</v>
      </c>
      <c r="C204" s="7" t="str">
        <f>IF(Entity[[#This Row],[Link]]="","",HYPERLINK(HTMLDokuPath&amp;Entity[[#This Row],[Link]],"Doku"))</f>
        <v>Doku</v>
      </c>
      <c r="D204" s="6">
        <v>16</v>
      </c>
      <c r="E204" s="20" t="str">
        <f>IFERROR(IF(VLOOKUP(Entity[ID-Modul],Modul[],3,FALSE)=0,VLOOKUP(Entity[ID-Modul],Modul[],2,FALSE),VLOOKUP(Entity[ID-Modul],Modul[],3,FALSE)),"unbekannt")</f>
        <v>IfcHvacDomain</v>
      </c>
      <c r="F204" s="21" t="b">
        <v>1</v>
      </c>
      <c r="G204" s="21" t="b">
        <v>0</v>
      </c>
      <c r="H204" s="22" t="s">
        <v>1133</v>
      </c>
      <c r="I204" s="19">
        <f>LEN(Entity[[#This Row],[IFC-Name]])</f>
        <v>24</v>
      </c>
      <c r="J204" s="7" t="s">
        <v>570</v>
      </c>
      <c r="K204" s="19">
        <f>LEN(Entity[[#This Row],[Klassen-Name]])</f>
        <v>24</v>
      </c>
      <c r="L204" s="7"/>
      <c r="M204" s="19" t="b">
        <f>IF(NOT(Entity[[#This Row],[Supertype]]),TRUE,AND(Entity[[#This Row],[Supertype]],Entity[[#This Row],[Subtype]]))</f>
        <v>1</v>
      </c>
      <c r="N204" s="28" t="s">
        <v>3543</v>
      </c>
      <c r="O204" s="29" t="s">
        <v>2432</v>
      </c>
    </row>
    <row r="205" spans="2:15" ht="20.100000000000001" customHeight="1" x14ac:dyDescent="0.25">
      <c r="B205" s="7" t="s">
        <v>7</v>
      </c>
      <c r="C205" s="7" t="str">
        <f>IF(Entity[[#This Row],[Link]]="","",HYPERLINK(HTMLDokuPath&amp;Entity[[#This Row],[Link]],"Doku"))</f>
        <v>Doku</v>
      </c>
      <c r="D205" s="6">
        <v>17</v>
      </c>
      <c r="E205" s="20" t="str">
        <f>IFERROR(IF(VLOOKUP(Entity[ID-Modul],Modul[],3,FALSE)=0,VLOOKUP(Entity[ID-Modul],Modul[],2,FALSE),VLOOKUP(Entity[ID-Modul],Modul[],3,FALSE)),"unbekannt")</f>
        <v>IfcKernel</v>
      </c>
      <c r="F205" s="21" t="b">
        <v>1</v>
      </c>
      <c r="G205" s="21" t="b">
        <v>1</v>
      </c>
      <c r="H205" s="22" t="s">
        <v>1291</v>
      </c>
      <c r="I205" s="19">
        <f>LEN(Entity[[#This Row],[IFC-Name]])</f>
        <v>8</v>
      </c>
      <c r="J205" s="7" t="s">
        <v>7</v>
      </c>
      <c r="K205" s="19">
        <f>LEN(Entity[[#This Row],[Klassen-Name]])</f>
        <v>8</v>
      </c>
      <c r="L205" s="7"/>
      <c r="M205" s="19" t="b">
        <f>IF(NOT(Entity[[#This Row],[Supertype]]),TRUE,AND(Entity[[#This Row],[Supertype]],Entity[[#This Row],[Subtype]]))</f>
        <v>1</v>
      </c>
      <c r="N205" s="28" t="s">
        <v>2909</v>
      </c>
      <c r="O205" s="29" t="s">
        <v>1798</v>
      </c>
    </row>
    <row r="206" spans="2:15" ht="20.100000000000001" customHeight="1" x14ac:dyDescent="0.25">
      <c r="B206" s="7" t="s">
        <v>104</v>
      </c>
      <c r="C206" s="7" t="str">
        <f>IF(Entity[[#This Row],[Link]]="","",HYPERLINK(HTMLDokuPath&amp;Entity[[#This Row],[Link]],"Doku"))</f>
        <v>Doku</v>
      </c>
      <c r="D206" s="6">
        <v>17</v>
      </c>
      <c r="E206" s="20" t="str">
        <f>IFERROR(IF(VLOOKUP(Entity[ID-Modul],Modul[],3,FALSE)=0,VLOOKUP(Entity[ID-Modul],Modul[],2,FALSE),VLOOKUP(Entity[ID-Modul],Modul[],3,FALSE)),"unbekannt")</f>
        <v>IfcKernel</v>
      </c>
      <c r="F206" s="21" t="b">
        <v>1</v>
      </c>
      <c r="G206" s="21" t="b">
        <v>1</v>
      </c>
      <c r="H206" s="22" t="s">
        <v>1321</v>
      </c>
      <c r="I206" s="19">
        <f>LEN(Entity[[#This Row],[IFC-Name]])</f>
        <v>10</v>
      </c>
      <c r="J206" s="7" t="s">
        <v>104</v>
      </c>
      <c r="K206" s="19">
        <f>LEN(Entity[[#This Row],[Klassen-Name]])</f>
        <v>10</v>
      </c>
      <c r="L206" s="7"/>
      <c r="M206" s="19" t="b">
        <f>IF(NOT(Entity[[#This Row],[Supertype]]),TRUE,AND(Entity[[#This Row],[Supertype]],Entity[[#This Row],[Subtype]]))</f>
        <v>1</v>
      </c>
      <c r="N206" s="28" t="s">
        <v>3021</v>
      </c>
      <c r="O206" s="29" t="s">
        <v>1911</v>
      </c>
    </row>
    <row r="207" spans="2:15" ht="20.100000000000001" customHeight="1" x14ac:dyDescent="0.25">
      <c r="B207" s="7" t="s">
        <v>249</v>
      </c>
      <c r="C207" s="7" t="str">
        <f>IF(Entity[[#This Row],[Link]]="","",HYPERLINK(HTMLDokuPath&amp;Entity[[#This Row],[Link]],"Doku"))</f>
        <v>Doku</v>
      </c>
      <c r="D207" s="6">
        <v>17</v>
      </c>
      <c r="E207" s="20" t="str">
        <f>IFERROR(IF(VLOOKUP(Entity[ID-Modul],Modul[],3,FALSE)=0,VLOOKUP(Entity[ID-Modul],Modul[],2,FALSE),VLOOKUP(Entity[ID-Modul],Modul[],3,FALSE)),"unbekannt")</f>
        <v>IfcKernel</v>
      </c>
      <c r="F207" s="21" t="b">
        <v>1</v>
      </c>
      <c r="G207" s="21" t="b">
        <v>1</v>
      </c>
      <c r="H207" s="22" t="s">
        <v>1363</v>
      </c>
      <c r="I207" s="19">
        <f>LEN(Entity[[#This Row],[IFC-Name]])</f>
        <v>8</v>
      </c>
      <c r="J207" s="7" t="s">
        <v>249</v>
      </c>
      <c r="K207" s="19">
        <f>LEN(Entity[[#This Row],[Klassen-Name]])</f>
        <v>8</v>
      </c>
      <c r="L207" s="7"/>
      <c r="M207" s="19" t="b">
        <f>IF(NOT(Entity[[#This Row],[Supertype]]),TRUE,AND(Entity[[#This Row],[Supertype]],Entity[[#This Row],[Subtype]]))</f>
        <v>1</v>
      </c>
      <c r="N207" s="28" t="s">
        <v>3180</v>
      </c>
      <c r="O207" s="29" t="s">
        <v>2069</v>
      </c>
    </row>
    <row r="208" spans="2:15" ht="20.100000000000001" customHeight="1" x14ac:dyDescent="0.25">
      <c r="B208" s="7" t="s">
        <v>289</v>
      </c>
      <c r="C208" s="7" t="str">
        <f>IF(Entity[[#This Row],[Link]]="","",HYPERLINK(HTMLDokuPath&amp;Entity[[#This Row],[Link]],"Doku"))</f>
        <v>Doku</v>
      </c>
      <c r="D208" s="6">
        <v>17</v>
      </c>
      <c r="E208" s="20" t="str">
        <f>IFERROR(IF(VLOOKUP(Entity[ID-Modul],Modul[],3,FALSE)=0,VLOOKUP(Entity[ID-Modul],Modul[],2,FALSE),VLOOKUP(Entity[ID-Modul],Modul[],3,FALSE)),"unbekannt")</f>
        <v>IfcKernel</v>
      </c>
      <c r="F208" s="21" t="b">
        <v>1</v>
      </c>
      <c r="G208" s="21" t="b">
        <v>1</v>
      </c>
      <c r="H208" s="22" t="s">
        <v>1373</v>
      </c>
      <c r="I208" s="19">
        <f>LEN(Entity[[#This Row],[IFC-Name]])</f>
        <v>9</v>
      </c>
      <c r="J208" s="7" t="s">
        <v>289</v>
      </c>
      <c r="K208" s="19">
        <f>LEN(Entity[[#This Row],[Klassen-Name]])</f>
        <v>9</v>
      </c>
      <c r="L208" s="7"/>
      <c r="M208" s="19" t="b">
        <f>IF(NOT(Entity[[#This Row],[Supertype]]),TRUE,AND(Entity[[#This Row],[Supertype]],Entity[[#This Row],[Subtype]]))</f>
        <v>1</v>
      </c>
      <c r="N208" s="28" t="s">
        <v>3233</v>
      </c>
      <c r="O208" s="29" t="s">
        <v>2122</v>
      </c>
    </row>
    <row r="209" spans="2:15" ht="20.100000000000001" customHeight="1" x14ac:dyDescent="0.25">
      <c r="B209" s="7" t="s">
        <v>290</v>
      </c>
      <c r="C209" s="7" t="str">
        <f>IF(Entity[[#This Row],[Link]]="","",HYPERLINK(HTMLDokuPath&amp;Entity[[#This Row],[Link]],"Doku"))</f>
        <v>Doku</v>
      </c>
      <c r="D209" s="6">
        <v>17</v>
      </c>
      <c r="E209" s="20" t="str">
        <f>IFERROR(IF(VLOOKUP(Entity[ID-Modul],Modul[],3,FALSE)=0,VLOOKUP(Entity[ID-Modul],Modul[],2,FALSE),VLOOKUP(Entity[ID-Modul],Modul[],3,FALSE)),"unbekannt")</f>
        <v>IfcKernel</v>
      </c>
      <c r="F209" s="21" t="b">
        <v>1</v>
      </c>
      <c r="G209" s="21" t="b">
        <v>1</v>
      </c>
      <c r="H209" s="22" t="s">
        <v>1374</v>
      </c>
      <c r="I209" s="19">
        <f>LEN(Entity[[#This Row],[IFC-Name]])</f>
        <v>19</v>
      </c>
      <c r="J209" s="7" t="s">
        <v>290</v>
      </c>
      <c r="K209" s="19">
        <f>LEN(Entity[[#This Row],[Klassen-Name]])</f>
        <v>19</v>
      </c>
      <c r="L209" s="7"/>
      <c r="M209" s="19" t="b">
        <f>IF(NOT(Entity[[#This Row],[Supertype]]),TRUE,AND(Entity[[#This Row],[Supertype]],Entity[[#This Row],[Subtype]]))</f>
        <v>1</v>
      </c>
      <c r="N209" s="28" t="s">
        <v>3234</v>
      </c>
      <c r="O209" s="29" t="s">
        <v>2123</v>
      </c>
    </row>
    <row r="210" spans="2:15" ht="20.100000000000001" customHeight="1" x14ac:dyDescent="0.25">
      <c r="B210" s="7" t="s">
        <v>341</v>
      </c>
      <c r="C210" s="7" t="str">
        <f>IF(Entity[[#This Row],[Link]]="","",HYPERLINK(HTMLDokuPath&amp;Entity[[#This Row],[Link]],"Doku"))</f>
        <v>Doku</v>
      </c>
      <c r="D210" s="6">
        <v>17</v>
      </c>
      <c r="E210" s="20" t="str">
        <f>IFERROR(IF(VLOOKUP(Entity[ID-Modul],Modul[],3,FALSE)=0,VLOOKUP(Entity[ID-Modul],Modul[],2,FALSE),VLOOKUP(Entity[ID-Modul],Modul[],3,FALSE)),"unbekannt")</f>
        <v>IfcKernel</v>
      </c>
      <c r="F210" s="21" t="b">
        <v>1</v>
      </c>
      <c r="G210" s="21" t="b">
        <v>1</v>
      </c>
      <c r="H210" s="22" t="s">
        <v>1391</v>
      </c>
      <c r="I210" s="19">
        <f>LEN(Entity[[#This Row],[IFC-Name]])</f>
        <v>10</v>
      </c>
      <c r="J210" s="7" t="s">
        <v>341</v>
      </c>
      <c r="K210" s="19">
        <f>LEN(Entity[[#This Row],[Klassen-Name]])</f>
        <v>10</v>
      </c>
      <c r="L210" s="7"/>
      <c r="M210" s="19" t="b">
        <f>IF(NOT(Entity[[#This Row],[Supertype]]),TRUE,AND(Entity[[#This Row],[Supertype]],Entity[[#This Row],[Subtype]]))</f>
        <v>1</v>
      </c>
      <c r="N210" s="28" t="s">
        <v>3291</v>
      </c>
      <c r="O210" s="29" t="s">
        <v>2180</v>
      </c>
    </row>
    <row r="211" spans="2:15" ht="20.100000000000001" customHeight="1" x14ac:dyDescent="0.25">
      <c r="B211" s="7" t="s">
        <v>342</v>
      </c>
      <c r="C211" s="7" t="str">
        <f>IF(Entity[[#This Row],[Link]]="","",HYPERLINK(HTMLDokuPath&amp;Entity[[#This Row],[Link]],"Doku"))</f>
        <v>Doku</v>
      </c>
      <c r="D211" s="6">
        <v>17</v>
      </c>
      <c r="E211" s="20" t="str">
        <f>IFERROR(IF(VLOOKUP(Entity[ID-Modul],Modul[],3,FALSE)=0,VLOOKUP(Entity[ID-Modul],Modul[],2,FALSE),VLOOKUP(Entity[ID-Modul],Modul[],3,FALSE)),"unbekannt")</f>
        <v>IfcKernel</v>
      </c>
      <c r="F211" s="21" t="b">
        <v>1</v>
      </c>
      <c r="G211" s="21" t="b">
        <v>1</v>
      </c>
      <c r="H211" s="22" t="s">
        <v>1392</v>
      </c>
      <c r="I211" s="19">
        <f>LEN(Entity[[#This Row],[IFC-Name]])</f>
        <v>10</v>
      </c>
      <c r="J211" s="7" t="s">
        <v>342</v>
      </c>
      <c r="K211" s="19">
        <f>LEN(Entity[[#This Row],[Klassen-Name]])</f>
        <v>10</v>
      </c>
      <c r="L211" s="7"/>
      <c r="M211" s="19" t="b">
        <f>IF(NOT(Entity[[#This Row],[Supertype]]),TRUE,AND(Entity[[#This Row],[Supertype]],Entity[[#This Row],[Subtype]]))</f>
        <v>1</v>
      </c>
      <c r="N211" s="28" t="s">
        <v>3292</v>
      </c>
      <c r="O211" s="29" t="s">
        <v>2181</v>
      </c>
    </row>
    <row r="212" spans="2:15" ht="20.100000000000001" customHeight="1" x14ac:dyDescent="0.25">
      <c r="B212" s="7" t="s">
        <v>348</v>
      </c>
      <c r="C212" s="7" t="str">
        <f>IF(Entity[[#This Row],[Link]]="","",HYPERLINK(HTMLDokuPath&amp;Entity[[#This Row],[Link]],"Doku"))</f>
        <v>Doku</v>
      </c>
      <c r="D212" s="6">
        <v>17</v>
      </c>
      <c r="E212" s="20" t="str">
        <f>IFERROR(IF(VLOOKUP(Entity[ID-Modul],Modul[],3,FALSE)=0,VLOOKUP(Entity[ID-Modul],Modul[],2,FALSE),VLOOKUP(Entity[ID-Modul],Modul[],3,FALSE)),"unbekannt")</f>
        <v>IfcKernel</v>
      </c>
      <c r="F212" s="21" t="b">
        <v>1</v>
      </c>
      <c r="G212" s="21" t="b">
        <v>0</v>
      </c>
      <c r="H212" s="22" t="s">
        <v>947</v>
      </c>
      <c r="I212" s="19">
        <f>LEN(Entity[[#This Row],[IFC-Name]])</f>
        <v>10</v>
      </c>
      <c r="J212" s="7" t="s">
        <v>348</v>
      </c>
      <c r="K212" s="19">
        <f>LEN(Entity[[#This Row],[Klassen-Name]])</f>
        <v>10</v>
      </c>
      <c r="L212" s="7"/>
      <c r="M212" s="19" t="b">
        <f>IF(NOT(Entity[[#This Row],[Supertype]]),TRUE,AND(Entity[[#This Row],[Supertype]],Entity[[#This Row],[Subtype]]))</f>
        <v>1</v>
      </c>
      <c r="N212" s="28" t="s">
        <v>3298</v>
      </c>
      <c r="O212" s="29" t="s">
        <v>2187</v>
      </c>
    </row>
    <row r="213" spans="2:15" ht="20.100000000000001" customHeight="1" x14ac:dyDescent="0.25">
      <c r="B213" s="7" t="s">
        <v>355</v>
      </c>
      <c r="C213" s="7" t="str">
        <f>IF(Entity[[#This Row],[Link]]="","",HYPERLINK(HTMLDokuPath&amp;Entity[[#This Row],[Link]],"Doku"))</f>
        <v>Doku</v>
      </c>
      <c r="D213" s="6">
        <v>17</v>
      </c>
      <c r="E213" s="20" t="str">
        <f>IFERROR(IF(VLOOKUP(Entity[ID-Modul],Modul[],3,FALSE)=0,VLOOKUP(Entity[ID-Modul],Modul[],2,FALSE),VLOOKUP(Entity[ID-Modul],Modul[],3,FALSE)),"unbekannt")</f>
        <v>IfcKernel</v>
      </c>
      <c r="F213" s="21" t="b">
        <v>1</v>
      </c>
      <c r="G213" s="21" t="b">
        <v>1</v>
      </c>
      <c r="H213" s="22" t="s">
        <v>1397</v>
      </c>
      <c r="I213" s="19">
        <f>LEN(Entity[[#This Row],[IFC-Name]])</f>
        <v>21</v>
      </c>
      <c r="J213" s="7" t="s">
        <v>355</v>
      </c>
      <c r="K213" s="19">
        <f>LEN(Entity[[#This Row],[Klassen-Name]])</f>
        <v>21</v>
      </c>
      <c r="L213" s="7"/>
      <c r="M213" s="19" t="b">
        <f>IF(NOT(Entity[[#This Row],[Supertype]]),TRUE,AND(Entity[[#This Row],[Supertype]],Entity[[#This Row],[Subtype]]))</f>
        <v>1</v>
      </c>
      <c r="N213" s="28" t="s">
        <v>3306</v>
      </c>
      <c r="O213" s="29" t="s">
        <v>2195</v>
      </c>
    </row>
    <row r="214" spans="2:15" ht="20.100000000000001" customHeight="1" x14ac:dyDescent="0.25">
      <c r="B214" s="7" t="s">
        <v>359</v>
      </c>
      <c r="C214" s="7" t="str">
        <f>IF(Entity[[#This Row],[Link]]="","",HYPERLINK(HTMLDokuPath&amp;Entity[[#This Row],[Link]],"Doku"))</f>
        <v>Doku</v>
      </c>
      <c r="D214" s="6">
        <v>17</v>
      </c>
      <c r="E214" s="20" t="str">
        <f>IFERROR(IF(VLOOKUP(Entity[ID-Modul],Modul[],3,FALSE)=0,VLOOKUP(Entity[ID-Modul],Modul[],2,FALSE),VLOOKUP(Entity[ID-Modul],Modul[],3,FALSE)),"unbekannt")</f>
        <v>IfcKernel</v>
      </c>
      <c r="F214" s="21" t="b">
        <v>1</v>
      </c>
      <c r="G214" s="21" t="b">
        <v>0</v>
      </c>
      <c r="H214" s="22" t="s">
        <v>959</v>
      </c>
      <c r="I214" s="19">
        <f>LEN(Entity[[#This Row],[IFC-Name]])</f>
        <v>14</v>
      </c>
      <c r="J214" s="7" t="s">
        <v>359</v>
      </c>
      <c r="K214" s="19">
        <f>LEN(Entity[[#This Row],[Klassen-Name]])</f>
        <v>14</v>
      </c>
      <c r="L214" s="7"/>
      <c r="M214" s="19" t="b">
        <f>IF(NOT(Entity[[#This Row],[Supertype]]),TRUE,AND(Entity[[#This Row],[Supertype]],Entity[[#This Row],[Subtype]]))</f>
        <v>1</v>
      </c>
      <c r="N214" s="28" t="s">
        <v>3312</v>
      </c>
      <c r="O214" s="29" t="s">
        <v>2201</v>
      </c>
    </row>
    <row r="215" spans="2:15" ht="20.100000000000001" customHeight="1" x14ac:dyDescent="0.25">
      <c r="B215" s="7" t="s">
        <v>360</v>
      </c>
      <c r="C215" s="7" t="str">
        <f>IF(Entity[[#This Row],[Link]]="","",HYPERLINK(HTMLDokuPath&amp;Entity[[#This Row],[Link]],"Doku"))</f>
        <v>Doku</v>
      </c>
      <c r="D215" s="6">
        <v>17</v>
      </c>
      <c r="E215" s="20" t="str">
        <f>IFERROR(IF(VLOOKUP(Entity[ID-Modul],Modul[],3,FALSE)=0,VLOOKUP(Entity[ID-Modul],Modul[],2,FALSE),VLOOKUP(Entity[ID-Modul],Modul[],3,FALSE)),"unbekannt")</f>
        <v>IfcKernel</v>
      </c>
      <c r="F215" s="21" t="b">
        <v>1</v>
      </c>
      <c r="G215" s="21" t="b">
        <v>1</v>
      </c>
      <c r="H215" s="22" t="s">
        <v>1398</v>
      </c>
      <c r="I215" s="19">
        <f>LEN(Entity[[#This Row],[IFC-Name]])</f>
        <v>24</v>
      </c>
      <c r="J215" s="7" t="s">
        <v>360</v>
      </c>
      <c r="K215" s="19">
        <f>LEN(Entity[[#This Row],[Klassen-Name]])</f>
        <v>24</v>
      </c>
      <c r="L215" s="7"/>
      <c r="M215" s="19" t="b">
        <f>IF(NOT(Entity[[#This Row],[Supertype]]),TRUE,AND(Entity[[#This Row],[Supertype]],Entity[[#This Row],[Subtype]]))</f>
        <v>1</v>
      </c>
      <c r="N215" s="28" t="s">
        <v>3313</v>
      </c>
      <c r="O215" s="29" t="s">
        <v>2202</v>
      </c>
    </row>
    <row r="216" spans="2:15" ht="20.100000000000001" customHeight="1" x14ac:dyDescent="0.25">
      <c r="B216" s="7" t="s">
        <v>364</v>
      </c>
      <c r="C216" s="7" t="str">
        <f>IF(Entity[[#This Row],[Link]]="","",HYPERLINK(HTMLDokuPath&amp;Entity[[#This Row],[Link]],"Doku"))</f>
        <v>Doku</v>
      </c>
      <c r="D216" s="6">
        <v>17</v>
      </c>
      <c r="E216" s="20" t="str">
        <f>IFERROR(IF(VLOOKUP(Entity[ID-Modul],Modul[],3,FALSE)=0,VLOOKUP(Entity[ID-Modul],Modul[],2,FALSE),VLOOKUP(Entity[ID-Modul],Modul[],3,FALSE)),"unbekannt")</f>
        <v>IfcKernel</v>
      </c>
      <c r="F216" s="21" t="b">
        <v>1</v>
      </c>
      <c r="G216" s="21" t="b">
        <v>0</v>
      </c>
      <c r="H216" s="22" t="s">
        <v>963</v>
      </c>
      <c r="I216" s="19">
        <f>LEN(Entity[[#This Row],[IFC-Name]])</f>
        <v>8</v>
      </c>
      <c r="J216" s="7" t="s">
        <v>364</v>
      </c>
      <c r="K216" s="19">
        <f>LEN(Entity[[#This Row],[Klassen-Name]])</f>
        <v>8</v>
      </c>
      <c r="L216" s="7"/>
      <c r="M216" s="19" t="b">
        <f>IF(NOT(Entity[[#This Row],[Supertype]]),TRUE,AND(Entity[[#This Row],[Supertype]],Entity[[#This Row],[Subtype]]))</f>
        <v>1</v>
      </c>
      <c r="N216" s="28" t="s">
        <v>3317</v>
      </c>
      <c r="O216" s="29" t="s">
        <v>2206</v>
      </c>
    </row>
    <row r="217" spans="2:15" ht="20.100000000000001" customHeight="1" x14ac:dyDescent="0.25">
      <c r="B217" s="7" t="s">
        <v>388</v>
      </c>
      <c r="C217" s="7" t="str">
        <f>IF(Entity[[#This Row],[Link]]="","",HYPERLINK(HTMLDokuPath&amp;Entity[[#This Row],[Link]],"Doku"))</f>
        <v>Doku</v>
      </c>
      <c r="D217" s="6">
        <v>17</v>
      </c>
      <c r="E217" s="20" t="str">
        <f>IFERROR(IF(VLOOKUP(Entity[ID-Modul],Modul[],3,FALSE)=0,VLOOKUP(Entity[ID-Modul],Modul[],2,FALSE),VLOOKUP(Entity[ID-Modul],Modul[],3,FALSE)),"unbekannt")</f>
        <v>IfcKernel</v>
      </c>
      <c r="F217" s="21" t="b">
        <v>1</v>
      </c>
      <c r="G217" s="21" t="b">
        <v>0</v>
      </c>
      <c r="H217" s="22" t="s">
        <v>987</v>
      </c>
      <c r="I217" s="19">
        <f>LEN(Entity[[#This Row],[IFC-Name]])</f>
        <v>16</v>
      </c>
      <c r="J217" s="7" t="s">
        <v>388</v>
      </c>
      <c r="K217" s="19">
        <f>LEN(Entity[[#This Row],[Klassen-Name]])</f>
        <v>16</v>
      </c>
      <c r="L217" s="7"/>
      <c r="M217" s="19" t="b">
        <f>IF(NOT(Entity[[#This Row],[Supertype]]),TRUE,AND(Entity[[#This Row],[Supertype]],Entity[[#This Row],[Subtype]]))</f>
        <v>1</v>
      </c>
      <c r="N217" s="28" t="s">
        <v>3343</v>
      </c>
      <c r="O217" s="29" t="s">
        <v>2232</v>
      </c>
    </row>
    <row r="218" spans="2:15" ht="20.100000000000001" customHeight="1" x14ac:dyDescent="0.25">
      <c r="B218" s="7" t="s">
        <v>389</v>
      </c>
      <c r="C218" s="7" t="str">
        <f>IF(Entity[[#This Row],[Link]]="","",HYPERLINK(HTMLDokuPath&amp;Entity[[#This Row],[Link]],"Doku"))</f>
        <v>Doku</v>
      </c>
      <c r="D218" s="6">
        <v>17</v>
      </c>
      <c r="E218" s="20" t="str">
        <f>IFERROR(IF(VLOOKUP(Entity[ID-Modul],Modul[],3,FALSE)=0,VLOOKUP(Entity[ID-Modul],Modul[],2,FALSE),VLOOKUP(Entity[ID-Modul],Modul[],3,FALSE)),"unbekannt")</f>
        <v>IfcKernel</v>
      </c>
      <c r="F218" s="21" t="b">
        <v>1</v>
      </c>
      <c r="G218" s="21" t="b">
        <v>1</v>
      </c>
      <c r="H218" s="22" t="s">
        <v>1401</v>
      </c>
      <c r="I218" s="19">
        <f>LEN(Entity[[#This Row],[IFC-Name]])</f>
        <v>13</v>
      </c>
      <c r="J218" s="7" t="s">
        <v>389</v>
      </c>
      <c r="K218" s="19">
        <f>LEN(Entity[[#This Row],[Klassen-Name]])</f>
        <v>13</v>
      </c>
      <c r="L218" s="7"/>
      <c r="M218" s="19" t="b">
        <f>IF(NOT(Entity[[#This Row],[Supertype]]),TRUE,AND(Entity[[#This Row],[Supertype]],Entity[[#This Row],[Subtype]]))</f>
        <v>1</v>
      </c>
      <c r="N218" s="28" t="s">
        <v>3344</v>
      </c>
      <c r="O218" s="29" t="s">
        <v>2233</v>
      </c>
    </row>
    <row r="219" spans="2:15" ht="20.100000000000001" customHeight="1" x14ac:dyDescent="0.25">
      <c r="B219" s="7" t="s">
        <v>391</v>
      </c>
      <c r="C219" s="7" t="str">
        <f>IF(Entity[[#This Row],[Link]]="","",HYPERLINK(HTMLDokuPath&amp;Entity[[#This Row],[Link]],"Doku"))</f>
        <v>Doku</v>
      </c>
      <c r="D219" s="6">
        <v>17</v>
      </c>
      <c r="E219" s="20" t="str">
        <f>IFERROR(IF(VLOOKUP(Entity[ID-Modul],Modul[],3,FALSE)=0,VLOOKUP(Entity[ID-Modul],Modul[],2,FALSE),VLOOKUP(Entity[ID-Modul],Modul[],3,FALSE)),"unbekannt")</f>
        <v>IfcKernel</v>
      </c>
      <c r="F219" s="21" t="b">
        <v>1</v>
      </c>
      <c r="G219" s="21" t="b">
        <v>1</v>
      </c>
      <c r="H219" s="22" t="s">
        <v>1402</v>
      </c>
      <c r="I219" s="19">
        <f>LEN(Entity[[#This Row],[IFC-Name]])</f>
        <v>20</v>
      </c>
      <c r="J219" s="7" t="s">
        <v>391</v>
      </c>
      <c r="K219" s="19">
        <f>LEN(Entity[[#This Row],[Klassen-Name]])</f>
        <v>20</v>
      </c>
      <c r="L219" s="7"/>
      <c r="M219" s="19" t="b">
        <f>IF(NOT(Entity[[#This Row],[Supertype]]),TRUE,AND(Entity[[#This Row],[Supertype]],Entity[[#This Row],[Subtype]]))</f>
        <v>1</v>
      </c>
      <c r="N219" s="28" t="s">
        <v>3346</v>
      </c>
      <c r="O219" s="29" t="s">
        <v>2235</v>
      </c>
    </row>
    <row r="220" spans="2:15" ht="20.100000000000001" customHeight="1" x14ac:dyDescent="0.25">
      <c r="B220" s="7" t="s">
        <v>392</v>
      </c>
      <c r="C220" s="7" t="str">
        <f>IF(Entity[[#This Row],[Link]]="","",HYPERLINK(HTMLDokuPath&amp;Entity[[#This Row],[Link]],"Doku"))</f>
        <v>Doku</v>
      </c>
      <c r="D220" s="6">
        <v>17</v>
      </c>
      <c r="E220" s="20" t="str">
        <f>IFERROR(IF(VLOOKUP(Entity[ID-Modul],Modul[],3,FALSE)=0,VLOOKUP(Entity[ID-Modul],Modul[],2,FALSE),VLOOKUP(Entity[ID-Modul],Modul[],3,FALSE)),"unbekannt")</f>
        <v>IfcKernel</v>
      </c>
      <c r="F220" s="21" t="b">
        <v>1</v>
      </c>
      <c r="G220" s="21" t="b">
        <v>1</v>
      </c>
      <c r="H220" s="22" t="s">
        <v>1403</v>
      </c>
      <c r="I220" s="19">
        <f>LEN(Entity[[#This Row],[IFC-Name]])</f>
        <v>22</v>
      </c>
      <c r="J220" s="7" t="s">
        <v>392</v>
      </c>
      <c r="K220" s="19">
        <f>LEN(Entity[[#This Row],[Klassen-Name]])</f>
        <v>22</v>
      </c>
      <c r="L220" s="7"/>
      <c r="M220" s="19" t="b">
        <f>IF(NOT(Entity[[#This Row],[Supertype]]),TRUE,AND(Entity[[#This Row],[Supertype]],Entity[[#This Row],[Subtype]]))</f>
        <v>1</v>
      </c>
      <c r="N220" s="28" t="s">
        <v>3347</v>
      </c>
      <c r="O220" s="29" t="s">
        <v>2236</v>
      </c>
    </row>
    <row r="221" spans="2:15" ht="20.100000000000001" customHeight="1" x14ac:dyDescent="0.25">
      <c r="B221" s="7" t="s">
        <v>393</v>
      </c>
      <c r="C221" s="7" t="str">
        <f>IF(Entity[[#This Row],[Link]]="","",HYPERLINK(HTMLDokuPath&amp;Entity[[#This Row],[Link]],"Doku"))</f>
        <v>Doku</v>
      </c>
      <c r="D221" s="6">
        <v>17</v>
      </c>
      <c r="E221" s="20" t="str">
        <f>IFERROR(IF(VLOOKUP(Entity[ID-Modul],Modul[],3,FALSE)=0,VLOOKUP(Entity[ID-Modul],Modul[],2,FALSE),VLOOKUP(Entity[ID-Modul],Modul[],3,FALSE)),"unbekannt")</f>
        <v>IfcKernel</v>
      </c>
      <c r="F221" s="21" t="b">
        <v>1</v>
      </c>
      <c r="G221" s="21" t="b">
        <v>0</v>
      </c>
      <c r="H221" s="22" t="s">
        <v>989</v>
      </c>
      <c r="I221" s="19">
        <f>LEN(Entity[[#This Row],[IFC-Name]])</f>
        <v>20</v>
      </c>
      <c r="J221" s="7" t="s">
        <v>393</v>
      </c>
      <c r="K221" s="19">
        <f>LEN(Entity[[#This Row],[Klassen-Name]])</f>
        <v>20</v>
      </c>
      <c r="L221" s="7"/>
      <c r="M221" s="19" t="b">
        <f>IF(NOT(Entity[[#This Row],[Supertype]]),TRUE,AND(Entity[[#This Row],[Supertype]],Entity[[#This Row],[Subtype]]))</f>
        <v>1</v>
      </c>
      <c r="N221" s="28" t="s">
        <v>3348</v>
      </c>
      <c r="O221" s="29" t="s">
        <v>2237</v>
      </c>
    </row>
    <row r="222" spans="2:15" ht="20.100000000000001" customHeight="1" x14ac:dyDescent="0.25">
      <c r="B222" s="7" t="s">
        <v>394</v>
      </c>
      <c r="C222" s="7" t="str">
        <f>IF(Entity[[#This Row],[Link]]="","",HYPERLINK(HTMLDokuPath&amp;Entity[[#This Row],[Link]],"Doku"))</f>
        <v>Doku</v>
      </c>
      <c r="D222" s="6">
        <v>17</v>
      </c>
      <c r="E222" s="20" t="str">
        <f>IFERROR(IF(VLOOKUP(Entity[ID-Modul],Modul[],3,FALSE)=0,VLOOKUP(Entity[ID-Modul],Modul[],2,FALSE),VLOOKUP(Entity[ID-Modul],Modul[],3,FALSE)),"unbekannt")</f>
        <v>IfcKernel</v>
      </c>
      <c r="F222" s="21" t="b">
        <v>1</v>
      </c>
      <c r="G222" s="21" t="b">
        <v>0</v>
      </c>
      <c r="H222" s="22" t="s">
        <v>990</v>
      </c>
      <c r="I222" s="19">
        <f>LEN(Entity[[#This Row],[IFC-Name]])</f>
        <v>22</v>
      </c>
      <c r="J222" s="7" t="s">
        <v>394</v>
      </c>
      <c r="K222" s="19">
        <f>LEN(Entity[[#This Row],[Klassen-Name]])</f>
        <v>22</v>
      </c>
      <c r="L222" s="7"/>
      <c r="M222" s="19" t="b">
        <f>IF(NOT(Entity[[#This Row],[Supertype]]),TRUE,AND(Entity[[#This Row],[Supertype]],Entity[[#This Row],[Subtype]]))</f>
        <v>1</v>
      </c>
      <c r="N222" s="28" t="s">
        <v>3349</v>
      </c>
      <c r="O222" s="29" t="s">
        <v>2238</v>
      </c>
    </row>
    <row r="223" spans="2:15" ht="20.100000000000001" customHeight="1" x14ac:dyDescent="0.25">
      <c r="B223" s="7" t="s">
        <v>395</v>
      </c>
      <c r="C223" s="7" t="str">
        <f>IF(Entity[[#This Row],[Link]]="","",HYPERLINK(HTMLDokuPath&amp;Entity[[#This Row],[Link]],"Doku"))</f>
        <v>Doku</v>
      </c>
      <c r="D223" s="6">
        <v>17</v>
      </c>
      <c r="E223" s="20" t="str">
        <f>IFERROR(IF(VLOOKUP(Entity[ID-Modul],Modul[],3,FALSE)=0,VLOOKUP(Entity[ID-Modul],Modul[],2,FALSE),VLOOKUP(Entity[ID-Modul],Modul[],3,FALSE)),"unbekannt")</f>
        <v>IfcKernel</v>
      </c>
      <c r="F223" s="21" t="b">
        <v>1</v>
      </c>
      <c r="G223" s="21" t="b">
        <v>0</v>
      </c>
      <c r="H223" s="22" t="s">
        <v>991</v>
      </c>
      <c r="I223" s="19">
        <f>LEN(Entity[[#This Row],[IFC-Name]])</f>
        <v>22</v>
      </c>
      <c r="J223" s="7" t="s">
        <v>395</v>
      </c>
      <c r="K223" s="19">
        <f>LEN(Entity[[#This Row],[Klassen-Name]])</f>
        <v>22</v>
      </c>
      <c r="L223" s="7"/>
      <c r="M223" s="19" t="b">
        <f>IF(NOT(Entity[[#This Row],[Supertype]]),TRUE,AND(Entity[[#This Row],[Supertype]],Entity[[#This Row],[Subtype]]))</f>
        <v>1</v>
      </c>
      <c r="N223" s="28" t="s">
        <v>3350</v>
      </c>
      <c r="O223" s="29" t="s">
        <v>2239</v>
      </c>
    </row>
    <row r="224" spans="2:15" ht="20.100000000000001" customHeight="1" x14ac:dyDescent="0.25">
      <c r="B224" s="7" t="s">
        <v>397</v>
      </c>
      <c r="C224" s="7" t="str">
        <f>IF(Entity[[#This Row],[Link]]="","",HYPERLINK(HTMLDokuPath&amp;Entity[[#This Row],[Link]],"Doku"))</f>
        <v>Doku</v>
      </c>
      <c r="D224" s="6">
        <v>17</v>
      </c>
      <c r="E224" s="20" t="str">
        <f>IFERROR(IF(VLOOKUP(Entity[ID-Modul],Modul[],3,FALSE)=0,VLOOKUP(Entity[ID-Modul],Modul[],2,FALSE),VLOOKUP(Entity[ID-Modul],Modul[],3,FALSE)),"unbekannt")</f>
        <v>IfcKernel</v>
      </c>
      <c r="F224" s="21" t="b">
        <v>1</v>
      </c>
      <c r="G224" s="21" t="b">
        <v>0</v>
      </c>
      <c r="H224" s="22" t="s">
        <v>993</v>
      </c>
      <c r="I224" s="19">
        <f>LEN(Entity[[#This Row],[IFC-Name]])</f>
        <v>23</v>
      </c>
      <c r="J224" s="7" t="s">
        <v>397</v>
      </c>
      <c r="K224" s="19">
        <f>LEN(Entity[[#This Row],[Klassen-Name]])</f>
        <v>23</v>
      </c>
      <c r="L224" s="7"/>
      <c r="M224" s="19" t="b">
        <f>IF(NOT(Entity[[#This Row],[Supertype]]),TRUE,AND(Entity[[#This Row],[Supertype]],Entity[[#This Row],[Subtype]]))</f>
        <v>1</v>
      </c>
      <c r="N224" s="28" t="s">
        <v>3352</v>
      </c>
      <c r="O224" s="29" t="s">
        <v>2241</v>
      </c>
    </row>
    <row r="225" spans="2:15" ht="20.100000000000001" customHeight="1" x14ac:dyDescent="0.25">
      <c r="B225" s="7" t="s">
        <v>398</v>
      </c>
      <c r="C225" s="7" t="str">
        <f>IF(Entity[[#This Row],[Link]]="","",HYPERLINK(HTMLDokuPath&amp;Entity[[#This Row],[Link]],"Doku"))</f>
        <v>Doku</v>
      </c>
      <c r="D225" s="6">
        <v>17</v>
      </c>
      <c r="E225" s="20" t="str">
        <f>IFERROR(IF(VLOOKUP(Entity[ID-Modul],Modul[],3,FALSE)=0,VLOOKUP(Entity[ID-Modul],Modul[],2,FALSE),VLOOKUP(Entity[ID-Modul],Modul[],3,FALSE)),"unbekannt")</f>
        <v>IfcKernel</v>
      </c>
      <c r="F225" s="21" t="b">
        <v>1</v>
      </c>
      <c r="G225" s="21" t="b">
        <v>1</v>
      </c>
      <c r="H225" s="22" t="s">
        <v>1404</v>
      </c>
      <c r="I225" s="19">
        <f>LEN(Entity[[#This Row],[IFC-Name]])</f>
        <v>16</v>
      </c>
      <c r="J225" s="7" t="s">
        <v>398</v>
      </c>
      <c r="K225" s="19">
        <f>LEN(Entity[[#This Row],[Klassen-Name]])</f>
        <v>16</v>
      </c>
      <c r="L225" s="7"/>
      <c r="M225" s="19" t="b">
        <f>IF(NOT(Entity[[#This Row],[Supertype]]),TRUE,AND(Entity[[#This Row],[Supertype]],Entity[[#This Row],[Subtype]]))</f>
        <v>1</v>
      </c>
      <c r="N225" s="28" t="s">
        <v>3353</v>
      </c>
      <c r="O225" s="29" t="s">
        <v>2242</v>
      </c>
    </row>
    <row r="226" spans="2:15" ht="20.100000000000001" customHeight="1" x14ac:dyDescent="0.25">
      <c r="B226" s="7" t="s">
        <v>401</v>
      </c>
      <c r="C226" s="7" t="str">
        <f>IF(Entity[[#This Row],[Link]]="","",HYPERLINK(HTMLDokuPath&amp;Entity[[#This Row],[Link]],"Doku"))</f>
        <v>Doku</v>
      </c>
      <c r="D226" s="6">
        <v>17</v>
      </c>
      <c r="E226" s="20" t="str">
        <f>IFERROR(IF(VLOOKUP(Entity[ID-Modul],Modul[],3,FALSE)=0,VLOOKUP(Entity[ID-Modul],Modul[],2,FALSE),VLOOKUP(Entity[ID-Modul],Modul[],3,FALSE)),"unbekannt")</f>
        <v>IfcKernel</v>
      </c>
      <c r="F226" s="21" t="b">
        <v>1</v>
      </c>
      <c r="G226" s="21" t="b">
        <v>0</v>
      </c>
      <c r="H226" s="22" t="s">
        <v>996</v>
      </c>
      <c r="I226" s="19">
        <f>LEN(Entity[[#This Row],[IFC-Name]])</f>
        <v>30</v>
      </c>
      <c r="J226" s="7" t="s">
        <v>401</v>
      </c>
      <c r="K226" s="19">
        <f>LEN(Entity[[#This Row],[Klassen-Name]])</f>
        <v>30</v>
      </c>
      <c r="L226" s="7"/>
      <c r="M226" s="19" t="b">
        <f>IF(NOT(Entity[[#This Row],[Supertype]]),TRUE,AND(Entity[[#This Row],[Supertype]],Entity[[#This Row],[Subtype]]))</f>
        <v>1</v>
      </c>
      <c r="N226" s="28" t="s">
        <v>3356</v>
      </c>
      <c r="O226" s="29" t="s">
        <v>2245</v>
      </c>
    </row>
    <row r="227" spans="2:15" ht="20.100000000000001" customHeight="1" x14ac:dyDescent="0.25">
      <c r="B227" s="7" t="s">
        <v>403</v>
      </c>
      <c r="C227" s="7" t="str">
        <f>IF(Entity[[#This Row],[Link]]="","",HYPERLINK(HTMLDokuPath&amp;Entity[[#This Row],[Link]],"Doku"))</f>
        <v>Doku</v>
      </c>
      <c r="D227" s="6">
        <v>17</v>
      </c>
      <c r="E227" s="20" t="str">
        <f>IFERROR(IF(VLOOKUP(Entity[ID-Modul],Modul[],3,FALSE)=0,VLOOKUP(Entity[ID-Modul],Modul[],2,FALSE),VLOOKUP(Entity[ID-Modul],Modul[],3,FALSE)),"unbekannt")</f>
        <v>IfcKernel</v>
      </c>
      <c r="F227" s="21" t="b">
        <v>1</v>
      </c>
      <c r="G227" s="21" t="b">
        <v>0</v>
      </c>
      <c r="H227" s="22" t="s">
        <v>998</v>
      </c>
      <c r="I227" s="19">
        <f>LEN(Entity[[#This Row],[IFC-Name]])</f>
        <v>24</v>
      </c>
      <c r="J227" s="7" t="s">
        <v>403</v>
      </c>
      <c r="K227" s="19">
        <f>LEN(Entity[[#This Row],[Klassen-Name]])</f>
        <v>24</v>
      </c>
      <c r="L227" s="7"/>
      <c r="M227" s="19" t="b">
        <f>IF(NOT(Entity[[#This Row],[Supertype]]),TRUE,AND(Entity[[#This Row],[Supertype]],Entity[[#This Row],[Subtype]]))</f>
        <v>1</v>
      </c>
      <c r="N227" s="28" t="s">
        <v>3358</v>
      </c>
      <c r="O227" s="29" t="s">
        <v>2247</v>
      </c>
    </row>
    <row r="228" spans="2:15" ht="20.100000000000001" customHeight="1" x14ac:dyDescent="0.25">
      <c r="B228" s="7" t="s">
        <v>404</v>
      </c>
      <c r="C228" s="7" t="str">
        <f>IF(Entity[[#This Row],[Link]]="","",HYPERLINK(HTMLDokuPath&amp;Entity[[#This Row],[Link]],"Doku"))</f>
        <v>Doku</v>
      </c>
      <c r="D228" s="6">
        <v>17</v>
      </c>
      <c r="E228" s="20" t="str">
        <f>IFERROR(IF(VLOOKUP(Entity[ID-Modul],Modul[],3,FALSE)=0,VLOOKUP(Entity[ID-Modul],Modul[],2,FALSE),VLOOKUP(Entity[ID-Modul],Modul[],3,FALSE)),"unbekannt")</f>
        <v>IfcKernel</v>
      </c>
      <c r="F228" s="21" t="b">
        <v>1</v>
      </c>
      <c r="G228" s="21" t="b">
        <v>0</v>
      </c>
      <c r="H228" s="22" t="s">
        <v>999</v>
      </c>
      <c r="I228" s="19">
        <f>LEN(Entity[[#This Row],[IFC-Name]])</f>
        <v>23</v>
      </c>
      <c r="J228" s="7" t="s">
        <v>404</v>
      </c>
      <c r="K228" s="19">
        <f>LEN(Entity[[#This Row],[Klassen-Name]])</f>
        <v>23</v>
      </c>
      <c r="L228" s="7"/>
      <c r="M228" s="19" t="b">
        <f>IF(NOT(Entity[[#This Row],[Supertype]]),TRUE,AND(Entity[[#This Row],[Supertype]],Entity[[#This Row],[Subtype]]))</f>
        <v>1</v>
      </c>
      <c r="N228" s="28" t="s">
        <v>3359</v>
      </c>
      <c r="O228" s="29" t="s">
        <v>2248</v>
      </c>
    </row>
    <row r="229" spans="2:15" ht="20.100000000000001" customHeight="1" x14ac:dyDescent="0.25">
      <c r="B229" s="7" t="s">
        <v>437</v>
      </c>
      <c r="C229" s="7" t="str">
        <f>IF(Entity[[#This Row],[Link]]="","",HYPERLINK(HTMLDokuPath&amp;Entity[[#This Row],[Link]],"Doku"))</f>
        <v>Doku</v>
      </c>
      <c r="D229" s="6">
        <v>17</v>
      </c>
      <c r="E229" s="20" t="str">
        <f>IFERROR(IF(VLOOKUP(Entity[ID-Modul],Modul[],3,FALSE)=0,VLOOKUP(Entity[ID-Modul],Modul[],2,FALSE),VLOOKUP(Entity[ID-Modul],Modul[],3,FALSE)),"unbekannt")</f>
        <v>IfcKernel</v>
      </c>
      <c r="F229" s="21" t="b">
        <v>1</v>
      </c>
      <c r="G229" s="21" t="b">
        <v>1</v>
      </c>
      <c r="H229" s="22" t="s">
        <v>1411</v>
      </c>
      <c r="I229" s="19">
        <f>LEN(Entity[[#This Row],[IFC-Name]])</f>
        <v>15</v>
      </c>
      <c r="J229" s="7" t="s">
        <v>437</v>
      </c>
      <c r="K229" s="19">
        <f>LEN(Entity[[#This Row],[Klassen-Name]])</f>
        <v>15</v>
      </c>
      <c r="L229" s="7"/>
      <c r="M229" s="19" t="b">
        <f>IF(NOT(Entity[[#This Row],[Supertype]]),TRUE,AND(Entity[[#This Row],[Supertype]],Entity[[#This Row],[Subtype]]))</f>
        <v>1</v>
      </c>
      <c r="N229" s="28" t="s">
        <v>3362</v>
      </c>
      <c r="O229" s="29" t="s">
        <v>2281</v>
      </c>
    </row>
    <row r="230" spans="2:15" ht="20.100000000000001" customHeight="1" x14ac:dyDescent="0.25">
      <c r="B230" s="7" t="s">
        <v>407</v>
      </c>
      <c r="C230" s="7" t="str">
        <f>IF(Entity[[#This Row],[Link]]="","",HYPERLINK(HTMLDokuPath&amp;Entity[[#This Row],[Link]],"Doku"))</f>
        <v>Doku</v>
      </c>
      <c r="D230" s="6">
        <v>17</v>
      </c>
      <c r="E230" s="20" t="str">
        <f>IFERROR(IF(VLOOKUP(Entity[ID-Modul],Modul[],3,FALSE)=0,VLOOKUP(Entity[ID-Modul],Modul[],2,FALSE),VLOOKUP(Entity[ID-Modul],Modul[],3,FALSE)),"unbekannt")</f>
        <v>IfcKernel</v>
      </c>
      <c r="F230" s="21" t="b">
        <v>1</v>
      </c>
      <c r="G230" s="21" t="b">
        <v>1</v>
      </c>
      <c r="H230" s="22" t="s">
        <v>1405</v>
      </c>
      <c r="I230" s="19">
        <f>LEN(Entity[[#This Row],[IFC-Name]])</f>
        <v>14</v>
      </c>
      <c r="J230" s="7" t="s">
        <v>407</v>
      </c>
      <c r="K230" s="19">
        <f>LEN(Entity[[#This Row],[Klassen-Name]])</f>
        <v>14</v>
      </c>
      <c r="L230" s="7"/>
      <c r="M230" s="19" t="b">
        <f>IF(NOT(Entity[[#This Row],[Supertype]]),TRUE,AND(Entity[[#This Row],[Supertype]],Entity[[#This Row],[Subtype]]))</f>
        <v>1</v>
      </c>
      <c r="N230" s="28" t="s">
        <v>3364</v>
      </c>
      <c r="O230" s="29" t="s">
        <v>2251</v>
      </c>
    </row>
    <row r="231" spans="2:15" ht="20.100000000000001" customHeight="1" x14ac:dyDescent="0.25">
      <c r="B231" s="7" t="s">
        <v>420</v>
      </c>
      <c r="C231" s="7" t="str">
        <f>IF(Entity[[#This Row],[Link]]="","",HYPERLINK(HTMLDokuPath&amp;Entity[[#This Row],[Link]],"Doku"))</f>
        <v>Doku</v>
      </c>
      <c r="D231" s="6">
        <v>17</v>
      </c>
      <c r="E231" s="20" t="str">
        <f>IFERROR(IF(VLOOKUP(Entity[ID-Modul],Modul[],3,FALSE)=0,VLOOKUP(Entity[ID-Modul],Modul[],2,FALSE),VLOOKUP(Entity[ID-Modul],Modul[],3,FALSE)),"unbekannt")</f>
        <v>IfcKernel</v>
      </c>
      <c r="F231" s="21" t="b">
        <v>1</v>
      </c>
      <c r="G231" s="21" t="b">
        <v>1</v>
      </c>
      <c r="H231" s="22" t="s">
        <v>1408</v>
      </c>
      <c r="I231" s="19">
        <f>LEN(Entity[[#This Row],[IFC-Name]])</f>
        <v>16</v>
      </c>
      <c r="J231" s="7" t="s">
        <v>420</v>
      </c>
      <c r="K231" s="19">
        <f>LEN(Entity[[#This Row],[Klassen-Name]])</f>
        <v>16</v>
      </c>
      <c r="L231" s="7"/>
      <c r="M231" s="19" t="b">
        <f>IF(NOT(Entity[[#This Row],[Supertype]]),TRUE,AND(Entity[[#This Row],[Supertype]],Entity[[#This Row],[Subtype]]))</f>
        <v>1</v>
      </c>
      <c r="N231" s="28" t="s">
        <v>3377</v>
      </c>
      <c r="O231" s="29" t="s">
        <v>2264</v>
      </c>
    </row>
    <row r="232" spans="2:15" ht="20.100000000000001" customHeight="1" x14ac:dyDescent="0.25">
      <c r="B232" s="7" t="s">
        <v>421</v>
      </c>
      <c r="C232" s="7" t="str">
        <f>IF(Entity[[#This Row],[Link]]="","",HYPERLINK(HTMLDokuPath&amp;Entity[[#This Row],[Link]],"Doku"))</f>
        <v>Doku</v>
      </c>
      <c r="D232" s="6">
        <v>17</v>
      </c>
      <c r="E232" s="20" t="str">
        <f>IFERROR(IF(VLOOKUP(Entity[ID-Modul],Modul[],3,FALSE)=0,VLOOKUP(Entity[ID-Modul],Modul[],2,FALSE),VLOOKUP(Entity[ID-Modul],Modul[],3,FALSE)),"unbekannt")</f>
        <v>IfcKernel</v>
      </c>
      <c r="F232" s="21" t="b">
        <v>1</v>
      </c>
      <c r="G232" s="21" t="b">
        <v>1</v>
      </c>
      <c r="H232" s="22" t="s">
        <v>1409</v>
      </c>
      <c r="I232" s="19">
        <f>LEN(Entity[[#This Row],[IFC-Name]])</f>
        <v>13</v>
      </c>
      <c r="J232" s="7" t="s">
        <v>421</v>
      </c>
      <c r="K232" s="19">
        <f>LEN(Entity[[#This Row],[Klassen-Name]])</f>
        <v>13</v>
      </c>
      <c r="L232" s="7"/>
      <c r="M232" s="19" t="b">
        <f>IF(NOT(Entity[[#This Row],[Supertype]]),TRUE,AND(Entity[[#This Row],[Supertype]],Entity[[#This Row],[Subtype]]))</f>
        <v>1</v>
      </c>
      <c r="N232" s="28" t="s">
        <v>3378</v>
      </c>
      <c r="O232" s="29" t="s">
        <v>2265</v>
      </c>
    </row>
    <row r="233" spans="2:15" ht="20.100000000000001" customHeight="1" x14ac:dyDescent="0.25">
      <c r="B233" s="7" t="s">
        <v>422</v>
      </c>
      <c r="C233" s="7" t="str">
        <f>IF(Entity[[#This Row],[Link]]="","",HYPERLINK(HTMLDokuPath&amp;Entity[[#This Row],[Link]],"Doku"))</f>
        <v>Doku</v>
      </c>
      <c r="D233" s="6">
        <v>17</v>
      </c>
      <c r="E233" s="20" t="str">
        <f>IFERROR(IF(VLOOKUP(Entity[ID-Modul],Modul[],3,FALSE)=0,VLOOKUP(Entity[ID-Modul],Modul[],2,FALSE),VLOOKUP(Entity[ID-Modul],Modul[],3,FALSE)),"unbekannt")</f>
        <v>IfcKernel</v>
      </c>
      <c r="F233" s="21" t="b">
        <v>1</v>
      </c>
      <c r="G233" s="21" t="b">
        <v>1</v>
      </c>
      <c r="H233" s="22" t="s">
        <v>1410</v>
      </c>
      <c r="I233" s="19">
        <f>LEN(Entity[[#This Row],[IFC-Name]])</f>
        <v>25</v>
      </c>
      <c r="J233" s="7" t="s">
        <v>422</v>
      </c>
      <c r="K233" s="19">
        <f>LEN(Entity[[#This Row],[Klassen-Name]])</f>
        <v>25</v>
      </c>
      <c r="L233" s="7"/>
      <c r="M233" s="19" t="b">
        <f>IF(NOT(Entity[[#This Row],[Supertype]]),TRUE,AND(Entity[[#This Row],[Supertype]],Entity[[#This Row],[Subtype]]))</f>
        <v>1</v>
      </c>
      <c r="N233" s="28" t="s">
        <v>3379</v>
      </c>
      <c r="O233" s="29" t="s">
        <v>2266</v>
      </c>
    </row>
    <row r="234" spans="2:15" ht="20.100000000000001" customHeight="1" x14ac:dyDescent="0.25">
      <c r="B234" s="7" t="s">
        <v>423</v>
      </c>
      <c r="C234" s="7" t="str">
        <f>IF(Entity[[#This Row],[Link]]="","",HYPERLINK(HTMLDokuPath&amp;Entity[[#This Row],[Link]],"Doku"))</f>
        <v>Doku</v>
      </c>
      <c r="D234" s="6">
        <v>17</v>
      </c>
      <c r="E234" s="20" t="str">
        <f>IFERROR(IF(VLOOKUP(Entity[ID-Modul],Modul[],3,FALSE)=0,VLOOKUP(Entity[ID-Modul],Modul[],2,FALSE),VLOOKUP(Entity[ID-Modul],Modul[],3,FALSE)),"unbekannt")</f>
        <v>IfcKernel</v>
      </c>
      <c r="F234" s="21" t="b">
        <v>1</v>
      </c>
      <c r="G234" s="21" t="b">
        <v>0</v>
      </c>
      <c r="H234" s="22" t="s">
        <v>1012</v>
      </c>
      <c r="I234" s="19">
        <f>LEN(Entity[[#This Row],[IFC-Name]])</f>
        <v>19</v>
      </c>
      <c r="J234" s="7" t="s">
        <v>423</v>
      </c>
      <c r="K234" s="19">
        <f>LEN(Entity[[#This Row],[Klassen-Name]])</f>
        <v>19</v>
      </c>
      <c r="L234" s="7"/>
      <c r="M234" s="19" t="b">
        <f>IF(NOT(Entity[[#This Row],[Supertype]]),TRUE,AND(Entity[[#This Row],[Supertype]],Entity[[#This Row],[Subtype]]))</f>
        <v>1</v>
      </c>
      <c r="N234" s="28" t="s">
        <v>3380</v>
      </c>
      <c r="O234" s="29" t="s">
        <v>2267</v>
      </c>
    </row>
    <row r="235" spans="2:15" ht="20.100000000000001" customHeight="1" x14ac:dyDescent="0.25">
      <c r="B235" s="7" t="s">
        <v>427</v>
      </c>
      <c r="C235" s="7" t="str">
        <f>IF(Entity[[#This Row],[Link]]="","",HYPERLINK(HTMLDokuPath&amp;Entity[[#This Row],[Link]],"Doku"))</f>
        <v>Doku</v>
      </c>
      <c r="D235" s="6">
        <v>17</v>
      </c>
      <c r="E235" s="20" t="str">
        <f>IFERROR(IF(VLOOKUP(Entity[ID-Modul],Modul[],3,FALSE)=0,VLOOKUP(Entity[ID-Modul],Modul[],2,FALSE),VLOOKUP(Entity[ID-Modul],Modul[],3,FALSE)),"unbekannt")</f>
        <v>IfcKernel</v>
      </c>
      <c r="F235" s="21" t="b">
        <v>1</v>
      </c>
      <c r="G235" s="21" t="b">
        <v>0</v>
      </c>
      <c r="H235" s="22" t="s">
        <v>1016</v>
      </c>
      <c r="I235" s="19">
        <f>LEN(Entity[[#This Row],[IFC-Name]])</f>
        <v>11</v>
      </c>
      <c r="J235" s="7" t="s">
        <v>427</v>
      </c>
      <c r="K235" s="19">
        <f>LEN(Entity[[#This Row],[Klassen-Name]])</f>
        <v>11</v>
      </c>
      <c r="L235" s="7"/>
      <c r="M235" s="19" t="b">
        <f>IF(NOT(Entity[[#This Row],[Supertype]]),TRUE,AND(Entity[[#This Row],[Supertype]],Entity[[#This Row],[Subtype]]))</f>
        <v>1</v>
      </c>
      <c r="N235" s="28" t="s">
        <v>3384</v>
      </c>
      <c r="O235" s="29" t="s">
        <v>2271</v>
      </c>
    </row>
    <row r="236" spans="2:15" ht="20.100000000000001" customHeight="1" x14ac:dyDescent="0.25">
      <c r="B236" s="7" t="s">
        <v>429</v>
      </c>
      <c r="C236" s="7" t="str">
        <f>IF(Entity[[#This Row],[Link]]="","",HYPERLINK(HTMLDokuPath&amp;Entity[[#This Row],[Link]],"Doku"))</f>
        <v>Doku</v>
      </c>
      <c r="D236" s="6">
        <v>17</v>
      </c>
      <c r="E236" s="20" t="str">
        <f>IFERROR(IF(VLOOKUP(Entity[ID-Modul],Modul[],3,FALSE)=0,VLOOKUP(Entity[ID-Modul],Modul[],2,FALSE),VLOOKUP(Entity[ID-Modul],Modul[],3,FALSE)),"unbekannt")</f>
        <v>IfcKernel</v>
      </c>
      <c r="F236" s="21" t="b">
        <v>1</v>
      </c>
      <c r="G236" s="21" t="b">
        <v>0</v>
      </c>
      <c r="H236" s="22" t="s">
        <v>1018</v>
      </c>
      <c r="I236" s="19">
        <f>LEN(Entity[[#This Row],[IFC-Name]])</f>
        <v>25</v>
      </c>
      <c r="J236" s="7" t="s">
        <v>429</v>
      </c>
      <c r="K236" s="19">
        <f>LEN(Entity[[#This Row],[Klassen-Name]])</f>
        <v>25</v>
      </c>
      <c r="L236" s="7"/>
      <c r="M236" s="19" t="b">
        <f>IF(NOT(Entity[[#This Row],[Supertype]]),TRUE,AND(Entity[[#This Row],[Supertype]],Entity[[#This Row],[Subtype]]))</f>
        <v>1</v>
      </c>
      <c r="N236" s="28" t="s">
        <v>3386</v>
      </c>
      <c r="O236" s="29" t="s">
        <v>2273</v>
      </c>
    </row>
    <row r="237" spans="2:15" ht="20.100000000000001" customHeight="1" x14ac:dyDescent="0.25">
      <c r="B237" s="7" t="s">
        <v>433</v>
      </c>
      <c r="C237" s="7" t="str">
        <f>IF(Entity[[#This Row],[Link]]="","",HYPERLINK(HTMLDokuPath&amp;Entity[[#This Row],[Link]],"Doku"))</f>
        <v>Doku</v>
      </c>
      <c r="D237" s="6">
        <v>17</v>
      </c>
      <c r="E237" s="20" t="str">
        <f>IFERROR(IF(VLOOKUP(Entity[ID-Modul],Modul[],3,FALSE)=0,VLOOKUP(Entity[ID-Modul],Modul[],2,FALSE),VLOOKUP(Entity[ID-Modul],Modul[],3,FALSE)),"unbekannt")</f>
        <v>IfcKernel</v>
      </c>
      <c r="F237" s="21" t="b">
        <v>1</v>
      </c>
      <c r="G237" s="21" t="b">
        <v>0</v>
      </c>
      <c r="H237" s="22" t="s">
        <v>1022</v>
      </c>
      <c r="I237" s="19">
        <f>LEN(Entity[[#This Row],[IFC-Name]])</f>
        <v>14</v>
      </c>
      <c r="J237" s="7" t="s">
        <v>433</v>
      </c>
      <c r="K237" s="19">
        <f>LEN(Entity[[#This Row],[Klassen-Name]])</f>
        <v>14</v>
      </c>
      <c r="L237" s="7"/>
      <c r="M237" s="19" t="b">
        <f>IF(NOT(Entity[[#This Row],[Supertype]]),TRUE,AND(Entity[[#This Row],[Supertype]],Entity[[#This Row],[Subtype]]))</f>
        <v>1</v>
      </c>
      <c r="N237" s="28" t="s">
        <v>3390</v>
      </c>
      <c r="O237" s="29" t="s">
        <v>2277</v>
      </c>
    </row>
    <row r="238" spans="2:15" ht="20.100000000000001" customHeight="1" x14ac:dyDescent="0.25">
      <c r="B238" s="7" t="s">
        <v>441</v>
      </c>
      <c r="C238" s="7" t="str">
        <f>IF(Entity[[#This Row],[Link]]="","",HYPERLINK(HTMLDokuPath&amp;Entity[[#This Row],[Link]],"Doku"))</f>
        <v>Doku</v>
      </c>
      <c r="D238" s="6">
        <v>17</v>
      </c>
      <c r="E238" s="20" t="str">
        <f>IFERROR(IF(VLOOKUP(Entity[ID-Modul],Modul[],3,FALSE)=0,VLOOKUP(Entity[ID-Modul],Modul[],2,FALSE),VLOOKUP(Entity[ID-Modul],Modul[],3,FALSE)),"unbekannt")</f>
        <v>IfcKernel</v>
      </c>
      <c r="F238" s="21" t="b">
        <v>1</v>
      </c>
      <c r="G238" s="21" t="b">
        <v>1</v>
      </c>
      <c r="H238" s="22" t="s">
        <v>1415</v>
      </c>
      <c r="I238" s="19">
        <f>LEN(Entity[[#This Row],[IFC-Name]])</f>
        <v>11</v>
      </c>
      <c r="J238" s="7" t="s">
        <v>441</v>
      </c>
      <c r="K238" s="19">
        <f>LEN(Entity[[#This Row],[Klassen-Name]])</f>
        <v>11</v>
      </c>
      <c r="L238" s="7"/>
      <c r="M238" s="19" t="b">
        <f>IF(NOT(Entity[[#This Row],[Supertype]]),TRUE,AND(Entity[[#This Row],[Supertype]],Entity[[#This Row],[Subtype]]))</f>
        <v>1</v>
      </c>
      <c r="N238" s="28" t="s">
        <v>3398</v>
      </c>
      <c r="O238" s="29" t="s">
        <v>2287</v>
      </c>
    </row>
    <row r="239" spans="2:15" ht="20.100000000000001" customHeight="1" x14ac:dyDescent="0.25">
      <c r="B239" s="7" t="s">
        <v>447</v>
      </c>
      <c r="C239" s="7" t="str">
        <f>IF(Entity[[#This Row],[Link]]="","",HYPERLINK(HTMLDokuPath&amp;Entity[[#This Row],[Link]],"Doku"))</f>
        <v>Doku</v>
      </c>
      <c r="D239" s="6">
        <v>17</v>
      </c>
      <c r="E239" s="20" t="str">
        <f>IFERROR(IF(VLOOKUP(Entity[ID-Modul],Modul[],3,FALSE)=0,VLOOKUP(Entity[ID-Modul],Modul[],2,FALSE),VLOOKUP(Entity[ID-Modul],Modul[],3,FALSE)),"unbekannt")</f>
        <v>IfcKernel</v>
      </c>
      <c r="F239" s="21" t="b">
        <v>0</v>
      </c>
      <c r="G239" s="21" t="b">
        <v>1</v>
      </c>
      <c r="H239" s="22" t="s">
        <v>1416</v>
      </c>
      <c r="I239" s="19">
        <f>LEN(Entity[[#This Row],[IFC-Name]])</f>
        <v>7</v>
      </c>
      <c r="J239" s="7" t="s">
        <v>2859</v>
      </c>
      <c r="K239" s="19">
        <f>LEN(Entity[[#This Row],[Klassen-Name]])</f>
        <v>0</v>
      </c>
      <c r="L239" s="7"/>
      <c r="M239" s="19" t="b">
        <f>IF(NOT(Entity[[#This Row],[Supertype]]),TRUE,AND(Entity[[#This Row],[Supertype]],Entity[[#This Row],[Subtype]]))</f>
        <v>0</v>
      </c>
      <c r="N239" s="28" t="s">
        <v>3404</v>
      </c>
      <c r="O239" s="29" t="s">
        <v>2293</v>
      </c>
    </row>
    <row r="240" spans="2:15" ht="20.100000000000001" customHeight="1" x14ac:dyDescent="0.25">
      <c r="B240" s="7" t="s">
        <v>561</v>
      </c>
      <c r="C240" s="7" t="str">
        <f>IF(Entity[[#This Row],[Link]]="","",HYPERLINK(HTMLDokuPath&amp;Entity[[#This Row],[Link]],"Doku"))</f>
        <v>Doku</v>
      </c>
      <c r="D240" s="6">
        <v>17</v>
      </c>
      <c r="E240" s="20" t="str">
        <f>IFERROR(IF(VLOOKUP(Entity[ID-Modul],Modul[],3,FALSE)=0,VLOOKUP(Entity[ID-Modul],Modul[],2,FALSE),VLOOKUP(Entity[ID-Modul],Modul[],3,FALSE)),"unbekannt")</f>
        <v>IfcKernel</v>
      </c>
      <c r="F240" s="21" t="b">
        <v>1</v>
      </c>
      <c r="G240" s="21" t="b">
        <v>1</v>
      </c>
      <c r="H240" s="22" t="s">
        <v>1452</v>
      </c>
      <c r="I240" s="19">
        <f>LEN(Entity[[#This Row],[IFC-Name]])</f>
        <v>13</v>
      </c>
      <c r="J240" s="7" t="s">
        <v>561</v>
      </c>
      <c r="K240" s="19">
        <f>LEN(Entity[[#This Row],[Klassen-Name]])</f>
        <v>13</v>
      </c>
      <c r="L240" s="7"/>
      <c r="M240" s="19" t="b">
        <f>IF(NOT(Entity[[#This Row],[Supertype]]),TRUE,AND(Entity[[#This Row],[Supertype]],Entity[[#This Row],[Subtype]]))</f>
        <v>1</v>
      </c>
      <c r="N240" s="28" t="s">
        <v>3532</v>
      </c>
      <c r="O240" s="29" t="s">
        <v>2421</v>
      </c>
    </row>
    <row r="241" spans="2:15" ht="20.100000000000001" customHeight="1" x14ac:dyDescent="0.25">
      <c r="B241" s="7" t="s">
        <v>562</v>
      </c>
      <c r="C241" s="7" t="str">
        <f>IF(Entity[[#This Row],[Link]]="","",HYPERLINK(HTMLDokuPath&amp;Entity[[#This Row],[Link]],"Doku"))</f>
        <v>Doku</v>
      </c>
      <c r="D241" s="6">
        <v>17</v>
      </c>
      <c r="E241" s="20" t="str">
        <f>IFERROR(IF(VLOOKUP(Entity[ID-Modul],Modul[],3,FALSE)=0,VLOOKUP(Entity[ID-Modul],Modul[],2,FALSE),VLOOKUP(Entity[ID-Modul],Modul[],3,FALSE)),"unbekannt")</f>
        <v>IfcKernel</v>
      </c>
      <c r="F241" s="21" t="b">
        <v>1</v>
      </c>
      <c r="G241" s="21" t="b">
        <v>1</v>
      </c>
      <c r="H241" s="22" t="s">
        <v>1453</v>
      </c>
      <c r="I241" s="19">
        <f>LEN(Entity[[#This Row],[IFC-Name]])</f>
        <v>14</v>
      </c>
      <c r="J241" s="7" t="s">
        <v>562</v>
      </c>
      <c r="K241" s="19">
        <f>LEN(Entity[[#This Row],[Klassen-Name]])</f>
        <v>14</v>
      </c>
      <c r="L241" s="7"/>
      <c r="M241" s="19" t="b">
        <f>IF(NOT(Entity[[#This Row],[Supertype]]),TRUE,AND(Entity[[#This Row],[Supertype]],Entity[[#This Row],[Subtype]]))</f>
        <v>1</v>
      </c>
      <c r="N241" s="28" t="s">
        <v>3533</v>
      </c>
      <c r="O241" s="29" t="s">
        <v>2422</v>
      </c>
    </row>
    <row r="242" spans="2:15" ht="20.100000000000001" customHeight="1" x14ac:dyDescent="0.25">
      <c r="B242" s="7" t="s">
        <v>189</v>
      </c>
      <c r="C242" s="7" t="str">
        <f>IF(Entity[[#This Row],[Link]]="","",HYPERLINK(HTMLDokuPath&amp;Entity[[#This Row],[Link]],"Doku"))</f>
        <v>Doku</v>
      </c>
      <c r="D242" s="6">
        <v>18</v>
      </c>
      <c r="E242" s="20" t="str">
        <f>IFERROR(IF(VLOOKUP(Entity[ID-Modul],Modul[],3,FALSE)=0,VLOOKUP(Entity[ID-Modul],Modul[],2,FALSE),VLOOKUP(Entity[ID-Modul],Modul[],3,FALSE)),"unbekannt")</f>
        <v>IfcMaterialPropertyResource</v>
      </c>
      <c r="F242" s="21" t="b">
        <v>1</v>
      </c>
      <c r="G242" s="21" t="b">
        <v>0</v>
      </c>
      <c r="H242" s="22" t="s">
        <v>822</v>
      </c>
      <c r="I242" s="19">
        <f>LEN(Entity[[#This Row],[IFC-Name]])</f>
        <v>29</v>
      </c>
      <c r="J242" s="7" t="s">
        <v>189</v>
      </c>
      <c r="K242" s="19">
        <f>LEN(Entity[[#This Row],[Klassen-Name]])</f>
        <v>29</v>
      </c>
      <c r="L242" s="7"/>
      <c r="M242" s="19" t="b">
        <f>IF(NOT(Entity[[#This Row],[Supertype]]),TRUE,AND(Entity[[#This Row],[Supertype]],Entity[[#This Row],[Subtype]]))</f>
        <v>1</v>
      </c>
      <c r="N242" s="28" t="s">
        <v>3119</v>
      </c>
      <c r="O242" s="29" t="s">
        <v>2008</v>
      </c>
    </row>
    <row r="243" spans="2:15" ht="20.100000000000001" customHeight="1" x14ac:dyDescent="0.25">
      <c r="B243" s="7" t="s">
        <v>234</v>
      </c>
      <c r="C243" s="7" t="str">
        <f>IF(Entity[[#This Row],[Link]]="","",HYPERLINK(HTMLDokuPath&amp;Entity[[#This Row],[Link]],"Doku"))</f>
        <v>Doku</v>
      </c>
      <c r="D243" s="6">
        <v>18</v>
      </c>
      <c r="E243" s="20" t="str">
        <f>IFERROR(IF(VLOOKUP(Entity[ID-Modul],Modul[],3,FALSE)=0,VLOOKUP(Entity[ID-Modul],Modul[],2,FALSE),VLOOKUP(Entity[ID-Modul],Modul[],3,FALSE)),"unbekannt")</f>
        <v>IfcMaterialPropertyResource</v>
      </c>
      <c r="F243" s="21" t="b">
        <v>1</v>
      </c>
      <c r="G243" s="21" t="b">
        <v>0</v>
      </c>
      <c r="H243" s="22" t="s">
        <v>851</v>
      </c>
      <c r="I243" s="19">
        <f>LEN(Entity[[#This Row],[IFC-Name]])</f>
        <v>17</v>
      </c>
      <c r="J243" s="7" t="s">
        <v>234</v>
      </c>
      <c r="K243" s="19">
        <f>LEN(Entity[[#This Row],[Klassen-Name]])</f>
        <v>17</v>
      </c>
      <c r="L243" s="7"/>
      <c r="M243" s="19" t="b">
        <f>IF(NOT(Entity[[#This Row],[Supertype]]),TRUE,AND(Entity[[#This Row],[Supertype]],Entity[[#This Row],[Subtype]]))</f>
        <v>1</v>
      </c>
      <c r="N243" s="28" t="s">
        <v>3164</v>
      </c>
      <c r="O243" s="29" t="s">
        <v>2053</v>
      </c>
    </row>
    <row r="244" spans="2:15" ht="20.100000000000001" customHeight="1" x14ac:dyDescent="0.25">
      <c r="B244" s="7" t="s">
        <v>240</v>
      </c>
      <c r="C244" s="7" t="str">
        <f>IF(Entity[[#This Row],[Link]]="","",HYPERLINK(HTMLDokuPath&amp;Entity[[#This Row],[Link]],"Doku"))</f>
        <v>Doku</v>
      </c>
      <c r="D244" s="6">
        <v>18</v>
      </c>
      <c r="E244" s="20" t="str">
        <f>IFERROR(IF(VLOOKUP(Entity[ID-Modul],Modul[],3,FALSE)=0,VLOOKUP(Entity[ID-Modul],Modul[],2,FALSE),VLOOKUP(Entity[ID-Modul],Modul[],3,FALSE)),"unbekannt")</f>
        <v>IfcMaterialPropertyResource</v>
      </c>
      <c r="F244" s="21" t="b">
        <v>1</v>
      </c>
      <c r="G244" s="21" t="b">
        <v>0</v>
      </c>
      <c r="H244" s="22" t="s">
        <v>856</v>
      </c>
      <c r="I244" s="19">
        <f>LEN(Entity[[#This Row],[IFC-Name]])</f>
        <v>28</v>
      </c>
      <c r="J244" s="7" t="s">
        <v>240</v>
      </c>
      <c r="K244" s="19">
        <f>LEN(Entity[[#This Row],[Klassen-Name]])</f>
        <v>28</v>
      </c>
      <c r="L244" s="7"/>
      <c r="M244" s="19" t="b">
        <f>IF(NOT(Entity[[#This Row],[Supertype]]),TRUE,AND(Entity[[#This Row],[Supertype]],Entity[[#This Row],[Subtype]]))</f>
        <v>1</v>
      </c>
      <c r="N244" s="28" t="s">
        <v>3170</v>
      </c>
      <c r="O244" s="29" t="s">
        <v>2059</v>
      </c>
    </row>
    <row r="245" spans="2:15" ht="20.100000000000001" customHeight="1" x14ac:dyDescent="0.25">
      <c r="B245" s="7" t="s">
        <v>253</v>
      </c>
      <c r="C245" s="7" t="str">
        <f>IF(Entity[[#This Row],[Link]]="","",HYPERLINK(HTMLDokuPath&amp;Entity[[#This Row],[Link]],"Doku"))</f>
        <v>Doku</v>
      </c>
      <c r="D245" s="6">
        <v>18</v>
      </c>
      <c r="E245" s="20" t="str">
        <f>IFERROR(IF(VLOOKUP(Entity[ID-Modul],Modul[],3,FALSE)=0,VLOOKUP(Entity[ID-Modul],Modul[],2,FALSE),VLOOKUP(Entity[ID-Modul],Modul[],3,FALSE)),"unbekannt")</f>
        <v>IfcMaterialPropertyResource</v>
      </c>
      <c r="F245" s="21" t="b">
        <v>1</v>
      </c>
      <c r="G245" s="21" t="b">
        <v>0</v>
      </c>
      <c r="H245" s="22" t="s">
        <v>864</v>
      </c>
      <c r="I245" s="19">
        <f>LEN(Entity[[#This Row],[IFC-Name]])</f>
        <v>32</v>
      </c>
      <c r="J245" s="1" t="s">
        <v>2874</v>
      </c>
      <c r="K245" s="19">
        <f>LEN(Entity[[#This Row],[Klassen-Name]])</f>
        <v>21</v>
      </c>
      <c r="L245" s="7"/>
      <c r="M245" s="19" t="b">
        <f>IF(NOT(Entity[[#This Row],[Supertype]]),TRUE,AND(Entity[[#This Row],[Supertype]],Entity[[#This Row],[Subtype]]))</f>
        <v>1</v>
      </c>
      <c r="N245" s="28" t="s">
        <v>3184</v>
      </c>
      <c r="O245" s="29" t="s">
        <v>2073</v>
      </c>
    </row>
    <row r="246" spans="2:15" ht="20.100000000000001" customHeight="1" x14ac:dyDescent="0.25">
      <c r="B246" s="7" t="s">
        <v>277</v>
      </c>
      <c r="C246" s="7" t="str">
        <f>IF(Entity[[#This Row],[Link]]="","",HYPERLINK(HTMLDokuPath&amp;Entity[[#This Row],[Link]],"Doku"))</f>
        <v>Doku</v>
      </c>
      <c r="D246" s="6">
        <v>18</v>
      </c>
      <c r="E246" s="20" t="str">
        <f>IFERROR(IF(VLOOKUP(Entity[ID-Modul],Modul[],3,FALSE)=0,VLOOKUP(Entity[ID-Modul],Modul[],2,FALSE),VLOOKUP(Entity[ID-Modul],Modul[],3,FALSE)),"unbekannt")</f>
        <v>IfcMaterialPropertyResource</v>
      </c>
      <c r="F246" s="21" t="b">
        <v>0</v>
      </c>
      <c r="G246" s="21" t="b">
        <v>1</v>
      </c>
      <c r="H246" s="22" t="s">
        <v>1370</v>
      </c>
      <c r="I246" s="19">
        <f>LEN(Entity[[#This Row],[IFC-Name]])</f>
        <v>21</v>
      </c>
      <c r="J246" s="7" t="s">
        <v>2859</v>
      </c>
      <c r="K246" s="19">
        <f>LEN(Entity[[#This Row],[Klassen-Name]])</f>
        <v>0</v>
      </c>
      <c r="L246" s="7"/>
      <c r="M246" s="19" t="b">
        <f>IF(NOT(Entity[[#This Row],[Supertype]]),TRUE,AND(Entity[[#This Row],[Supertype]],Entity[[#This Row],[Subtype]]))</f>
        <v>0</v>
      </c>
      <c r="N246" s="28" t="s">
        <v>3219</v>
      </c>
      <c r="O246" s="29" t="s">
        <v>2108</v>
      </c>
    </row>
    <row r="247" spans="2:15" ht="20.100000000000001" customHeight="1" x14ac:dyDescent="0.25">
      <c r="B247" s="7" t="s">
        <v>278</v>
      </c>
      <c r="C247" s="7" t="str">
        <f>IF(Entity[[#This Row],[Link]]="","",HYPERLINK(HTMLDokuPath&amp;Entity[[#This Row],[Link]],"Doku"))</f>
        <v>Doku</v>
      </c>
      <c r="D247" s="6">
        <v>18</v>
      </c>
      <c r="E247" s="20" t="str">
        <f>IFERROR(IF(VLOOKUP(Entity[ID-Modul],Modul[],3,FALSE)=0,VLOOKUP(Entity[ID-Modul],Modul[],2,FALSE),VLOOKUP(Entity[ID-Modul],Modul[],3,FALSE)),"unbekannt")</f>
        <v>IfcMaterialPropertyResource</v>
      </c>
      <c r="F247" s="21" t="b">
        <v>1</v>
      </c>
      <c r="G247" s="21" t="b">
        <v>0</v>
      </c>
      <c r="H247" s="22" t="s">
        <v>895</v>
      </c>
      <c r="I247" s="19">
        <f>LEN(Entity[[#This Row],[IFC-Name]])</f>
        <v>39</v>
      </c>
      <c r="J247" s="1" t="s">
        <v>2873</v>
      </c>
      <c r="K247" s="19">
        <f>LEN(Entity[[#This Row],[Klassen-Name]])</f>
        <v>28</v>
      </c>
      <c r="L247" s="7"/>
      <c r="M247" s="19" t="b">
        <f>IF(NOT(Entity[[#This Row],[Supertype]]),TRUE,AND(Entity[[#This Row],[Supertype]],Entity[[#This Row],[Subtype]]))</f>
        <v>1</v>
      </c>
      <c r="N247" s="28" t="s">
        <v>3221</v>
      </c>
      <c r="O247" s="29" t="s">
        <v>2110</v>
      </c>
    </row>
    <row r="248" spans="2:15" ht="20.100000000000001" customHeight="1" x14ac:dyDescent="0.25">
      <c r="B248" s="7" t="s">
        <v>281</v>
      </c>
      <c r="C248" s="7" t="str">
        <f>IF(Entity[[#This Row],[Link]]="","",HYPERLINK(HTMLDokuPath&amp;Entity[[#This Row],[Link]],"Doku"))</f>
        <v>Doku</v>
      </c>
      <c r="D248" s="6">
        <v>18</v>
      </c>
      <c r="E248" s="20" t="str">
        <f>IFERROR(IF(VLOOKUP(Entity[ID-Modul],Modul[],3,FALSE)=0,VLOOKUP(Entity[ID-Modul],Modul[],2,FALSE),VLOOKUP(Entity[ID-Modul],Modul[],3,FALSE)),"unbekannt")</f>
        <v>IfcMaterialPropertyResource</v>
      </c>
      <c r="F248" s="21" t="b">
        <v>1</v>
      </c>
      <c r="G248" s="21" t="b">
        <v>1</v>
      </c>
      <c r="H248" s="22" t="s">
        <v>1371</v>
      </c>
      <c r="I248" s="19">
        <f>LEN(Entity[[#This Row],[IFC-Name]])</f>
        <v>31</v>
      </c>
      <c r="J248" s="1" t="s">
        <v>2875</v>
      </c>
      <c r="K248" s="19">
        <f>LEN(Entity[[#This Row],[Klassen-Name]])</f>
        <v>20</v>
      </c>
      <c r="L248" s="7"/>
      <c r="M248" s="19" t="b">
        <f>IF(NOT(Entity[[#This Row],[Supertype]]),TRUE,AND(Entity[[#This Row],[Supertype]],Entity[[#This Row],[Subtype]]))</f>
        <v>1</v>
      </c>
      <c r="N248" s="28" t="s">
        <v>3224</v>
      </c>
      <c r="O248" s="29" t="s">
        <v>2113</v>
      </c>
    </row>
    <row r="249" spans="2:15" ht="20.100000000000001" customHeight="1" x14ac:dyDescent="0.25">
      <c r="B249" s="7" t="s">
        <v>282</v>
      </c>
      <c r="C249" s="7" t="str">
        <f>IF(Entity[[#This Row],[Link]]="","",HYPERLINK(HTMLDokuPath&amp;Entity[[#This Row],[Link]],"Doku"))</f>
        <v>Doku</v>
      </c>
      <c r="D249" s="6">
        <v>18</v>
      </c>
      <c r="E249" s="20" t="str">
        <f>IFERROR(IF(VLOOKUP(Entity[ID-Modul],Modul[],3,FALSE)=0,VLOOKUP(Entity[ID-Modul],Modul[],2,FALSE),VLOOKUP(Entity[ID-Modul],Modul[],3,FALSE)),"unbekannt")</f>
        <v>IfcMaterialPropertyResource</v>
      </c>
      <c r="F249" s="21" t="b">
        <v>1</v>
      </c>
      <c r="G249" s="21" t="b">
        <v>0</v>
      </c>
      <c r="H249" s="22" t="s">
        <v>898</v>
      </c>
      <c r="I249" s="19">
        <f>LEN(Entity[[#This Row],[IFC-Name]])</f>
        <v>36</v>
      </c>
      <c r="J249" s="1" t="s">
        <v>2876</v>
      </c>
      <c r="K249" s="19">
        <f>LEN(Entity[[#This Row],[Klassen-Name]])</f>
        <v>25</v>
      </c>
      <c r="L249" s="7"/>
      <c r="M249" s="19" t="b">
        <f>IF(NOT(Entity[[#This Row],[Supertype]]),TRUE,AND(Entity[[#This Row],[Supertype]],Entity[[#This Row],[Subtype]]))</f>
        <v>1</v>
      </c>
      <c r="N249" s="28" t="s">
        <v>3225</v>
      </c>
      <c r="O249" s="29" t="s">
        <v>2114</v>
      </c>
    </row>
    <row r="250" spans="2:15" ht="20.100000000000001" customHeight="1" x14ac:dyDescent="0.25">
      <c r="B250" s="7" t="s">
        <v>299</v>
      </c>
      <c r="C250" s="7" t="str">
        <f>IF(Entity[[#This Row],[Link]]="","",HYPERLINK(HTMLDokuPath&amp;Entity[[#This Row],[Link]],"Doku"))</f>
        <v>Doku</v>
      </c>
      <c r="D250" s="6">
        <v>18</v>
      </c>
      <c r="E250" s="20" t="str">
        <f>IFERROR(IF(VLOOKUP(Entity[ID-Modul],Modul[],3,FALSE)=0,VLOOKUP(Entity[ID-Modul],Modul[],2,FALSE),VLOOKUP(Entity[ID-Modul],Modul[],3,FALSE)),"unbekannt")</f>
        <v>IfcMaterialPropertyResource</v>
      </c>
      <c r="F250" s="21" t="b">
        <v>1</v>
      </c>
      <c r="G250" s="21" t="b">
        <v>0</v>
      </c>
      <c r="H250" s="22" t="s">
        <v>911</v>
      </c>
      <c r="I250" s="19">
        <f>LEN(Entity[[#This Row],[IFC-Name]])</f>
        <v>28</v>
      </c>
      <c r="J250" s="7" t="s">
        <v>299</v>
      </c>
      <c r="K250" s="19">
        <f>LEN(Entity[[#This Row],[Klassen-Name]])</f>
        <v>28</v>
      </c>
      <c r="L250" s="7"/>
      <c r="M250" s="19" t="b">
        <f>IF(NOT(Entity[[#This Row],[Supertype]]),TRUE,AND(Entity[[#This Row],[Supertype]],Entity[[#This Row],[Subtype]]))</f>
        <v>1</v>
      </c>
      <c r="N250" s="28" t="s">
        <v>3243</v>
      </c>
      <c r="O250" s="29" t="s">
        <v>2132</v>
      </c>
    </row>
    <row r="251" spans="2:15" ht="20.100000000000001" customHeight="1" x14ac:dyDescent="0.25">
      <c r="B251" s="7" t="s">
        <v>345</v>
      </c>
      <c r="C251" s="7" t="str">
        <f>IF(Entity[[#This Row],[Link]]="","",HYPERLINK(HTMLDokuPath&amp;Entity[[#This Row],[Link]],"Doku"))</f>
        <v>Doku</v>
      </c>
      <c r="D251" s="6">
        <v>18</v>
      </c>
      <c r="E251" s="20" t="str">
        <f>IFERROR(IF(VLOOKUP(Entity[ID-Modul],Modul[],3,FALSE)=0,VLOOKUP(Entity[ID-Modul],Modul[],2,FALSE),VLOOKUP(Entity[ID-Modul],Modul[],3,FALSE)),"unbekannt")</f>
        <v>IfcMaterialPropertyResource</v>
      </c>
      <c r="F251" s="21" t="b">
        <v>1</v>
      </c>
      <c r="G251" s="21" t="b">
        <v>0</v>
      </c>
      <c r="H251" s="22" t="s">
        <v>946</v>
      </c>
      <c r="I251" s="19">
        <f>LEN(Entity[[#This Row],[IFC-Name]])</f>
        <v>33</v>
      </c>
      <c r="J251" s="1" t="s">
        <v>2877</v>
      </c>
      <c r="K251" s="19">
        <f>LEN(Entity[[#This Row],[Klassen-Name]])</f>
        <v>27</v>
      </c>
      <c r="L251" s="7"/>
      <c r="M251" s="19" t="b">
        <f>IF(NOT(Entity[[#This Row],[Supertype]]),TRUE,AND(Entity[[#This Row],[Supertype]],Entity[[#This Row],[Subtype]]))</f>
        <v>1</v>
      </c>
      <c r="N251" s="28" t="s">
        <v>3295</v>
      </c>
      <c r="O251" s="29" t="s">
        <v>2184</v>
      </c>
    </row>
    <row r="252" spans="2:15" ht="20.100000000000001" customHeight="1" x14ac:dyDescent="0.25">
      <c r="B252" s="7" t="s">
        <v>642</v>
      </c>
      <c r="C252" s="7" t="str">
        <f>IF(Entity[[#This Row],[Link]]="","",HYPERLINK(HTMLDokuPath&amp;Entity[[#This Row],[Link]],"Doku"))</f>
        <v>Doku</v>
      </c>
      <c r="D252" s="6">
        <v>18</v>
      </c>
      <c r="E252" s="20" t="str">
        <f>IFERROR(IF(VLOOKUP(Entity[ID-Modul],Modul[],3,FALSE)=0,VLOOKUP(Entity[ID-Modul],Modul[],2,FALSE),VLOOKUP(Entity[ID-Modul],Modul[],3,FALSE)),"unbekannt")</f>
        <v>IfcMaterialPropertyResource</v>
      </c>
      <c r="F252" s="21" t="b">
        <v>0</v>
      </c>
      <c r="G252" s="21" t="b">
        <v>0</v>
      </c>
      <c r="H252" s="22" t="s">
        <v>1026</v>
      </c>
      <c r="I252" s="19">
        <f>LEN(Entity[[#This Row],[IFC-Name]])</f>
        <v>13</v>
      </c>
      <c r="J252" s="7" t="s">
        <v>642</v>
      </c>
      <c r="K252" s="19">
        <f>LEN(Entity[[#This Row],[Klassen-Name]])</f>
        <v>13</v>
      </c>
      <c r="L252" s="7"/>
      <c r="M252" s="19" t="b">
        <f>IF(NOT(Entity[[#This Row],[Supertype]]),TRUE,AND(Entity[[#This Row],[Supertype]],Entity[[#This Row],[Subtype]]))</f>
        <v>1</v>
      </c>
      <c r="N252" s="28" t="s">
        <v>3363</v>
      </c>
      <c r="O252" s="29" t="s">
        <v>2282</v>
      </c>
    </row>
    <row r="253" spans="2:15" ht="20.100000000000001" customHeight="1" x14ac:dyDescent="0.25">
      <c r="B253" s="7" t="s">
        <v>549</v>
      </c>
      <c r="C253" s="7" t="str">
        <f>IF(Entity[[#This Row],[Link]]="","",HYPERLINK(HTMLDokuPath&amp;Entity[[#This Row],[Link]],"Doku"))</f>
        <v>Doku</v>
      </c>
      <c r="D253" s="6">
        <v>18</v>
      </c>
      <c r="E253" s="20" t="str">
        <f>IFERROR(IF(VLOOKUP(Entity[ID-Modul],Modul[],3,FALSE)=0,VLOOKUP(Entity[ID-Modul],Modul[],2,FALSE),VLOOKUP(Entity[ID-Modul],Modul[],3,FALSE)),"unbekannt")</f>
        <v>IfcMaterialPropertyResource</v>
      </c>
      <c r="F253" s="21" t="b">
        <v>1</v>
      </c>
      <c r="G253" s="21" t="b">
        <v>0</v>
      </c>
      <c r="H253" s="22" t="s">
        <v>1113</v>
      </c>
      <c r="I253" s="19">
        <f>LEN(Entity[[#This Row],[IFC-Name]])</f>
        <v>28</v>
      </c>
      <c r="J253" s="7" t="s">
        <v>549</v>
      </c>
      <c r="K253" s="19">
        <f>LEN(Entity[[#This Row],[Klassen-Name]])</f>
        <v>28</v>
      </c>
      <c r="L253" s="7"/>
      <c r="M253" s="19" t="b">
        <f>IF(NOT(Entity[[#This Row],[Supertype]]),TRUE,AND(Entity[[#This Row],[Supertype]],Entity[[#This Row],[Subtype]]))</f>
        <v>1</v>
      </c>
      <c r="N253" s="28" t="s">
        <v>3517</v>
      </c>
      <c r="O253" s="29" t="s">
        <v>2407</v>
      </c>
    </row>
    <row r="254" spans="2:15" ht="20.100000000000001" customHeight="1" x14ac:dyDescent="0.25">
      <c r="B254" s="7" t="s">
        <v>576</v>
      </c>
      <c r="C254" s="7" t="str">
        <f>IF(Entity[[#This Row],[Link]]="","",HYPERLINK(HTMLDokuPath&amp;Entity[[#This Row],[Link]],"Doku"))</f>
        <v>Doku</v>
      </c>
      <c r="D254" s="6">
        <v>18</v>
      </c>
      <c r="E254" s="20" t="str">
        <f>IFERROR(IF(VLOOKUP(Entity[ID-Modul],Modul[],3,FALSE)=0,VLOOKUP(Entity[ID-Modul],Modul[],2,FALSE),VLOOKUP(Entity[ID-Modul],Modul[],3,FALSE)),"unbekannt")</f>
        <v>IfcMaterialPropertyResource</v>
      </c>
      <c r="F254" s="21" t="b">
        <v>1</v>
      </c>
      <c r="G254" s="21" t="b">
        <v>0</v>
      </c>
      <c r="H254" s="22" t="s">
        <v>1139</v>
      </c>
      <c r="I254" s="19">
        <f>LEN(Entity[[#This Row],[IFC-Name]])</f>
        <v>18</v>
      </c>
      <c r="J254" s="7" t="s">
        <v>576</v>
      </c>
      <c r="K254" s="19">
        <f>LEN(Entity[[#This Row],[Klassen-Name]])</f>
        <v>18</v>
      </c>
      <c r="L254" s="7"/>
      <c r="M254" s="19" t="b">
        <f>IF(NOT(Entity[[#This Row],[Supertype]]),TRUE,AND(Entity[[#This Row],[Supertype]],Entity[[#This Row],[Subtype]]))</f>
        <v>1</v>
      </c>
      <c r="N254" s="28" t="s">
        <v>3550</v>
      </c>
      <c r="O254" s="29" t="s">
        <v>2439</v>
      </c>
    </row>
    <row r="255" spans="2:15" ht="20.100000000000001" customHeight="1" x14ac:dyDescent="0.25">
      <c r="B255" s="7" t="s">
        <v>623</v>
      </c>
      <c r="C255" s="7" t="str">
        <f>IF(Entity[[#This Row],[Link]]="","",HYPERLINK(HTMLDokuPath&amp;Entity[[#This Row],[Link]],"Doku"))</f>
        <v>Doku</v>
      </c>
      <c r="D255" s="6">
        <v>19</v>
      </c>
      <c r="E255" s="20" t="str">
        <f>IFERROR(IF(VLOOKUP(Entity[ID-Modul],Modul[],3,FALSE)=0,VLOOKUP(Entity[ID-Modul],Modul[],2,FALSE),VLOOKUP(Entity[ID-Modul],Modul[],3,FALSE)),"unbekannt")</f>
        <v>IfcMaterialResource</v>
      </c>
      <c r="F255" s="21" t="b">
        <v>0</v>
      </c>
      <c r="G255" s="21" t="b">
        <v>0</v>
      </c>
      <c r="H255" s="22" t="s">
        <v>887</v>
      </c>
      <c r="I255" s="19">
        <f>LEN(Entity[[#This Row],[IFC-Name]])</f>
        <v>11</v>
      </c>
      <c r="J255" s="7" t="s">
        <v>623</v>
      </c>
      <c r="K255" s="19">
        <f>LEN(Entity[[#This Row],[Klassen-Name]])</f>
        <v>11</v>
      </c>
      <c r="L255" s="7"/>
      <c r="M255" s="19" t="b">
        <f>IF(NOT(Entity[[#This Row],[Supertype]]),TRUE,AND(Entity[[#This Row],[Supertype]],Entity[[#This Row],[Subtype]]))</f>
        <v>1</v>
      </c>
      <c r="N255" s="28" t="s">
        <v>3212</v>
      </c>
      <c r="O255" s="29" t="s">
        <v>2101</v>
      </c>
    </row>
    <row r="256" spans="2:15" ht="20.100000000000001" customHeight="1" x14ac:dyDescent="0.25">
      <c r="B256" s="7" t="s">
        <v>624</v>
      </c>
      <c r="C256" s="7" t="str">
        <f>IF(Entity[[#This Row],[Link]]="","",HYPERLINK(HTMLDokuPath&amp;Entity[[#This Row],[Link]],"Doku"))</f>
        <v>Doku</v>
      </c>
      <c r="D256" s="6">
        <v>19</v>
      </c>
      <c r="E256" s="20" t="str">
        <f>IFERROR(IF(VLOOKUP(Entity[ID-Modul],Modul[],3,FALSE)=0,VLOOKUP(Entity[ID-Modul],Modul[],2,FALSE),VLOOKUP(Entity[ID-Modul],Modul[],3,FALSE)),"unbekannt")</f>
        <v>IfcMaterialResource</v>
      </c>
      <c r="F256" s="21" t="b">
        <v>0</v>
      </c>
      <c r="G256" s="21" t="b">
        <v>0</v>
      </c>
      <c r="H256" s="22" t="s">
        <v>888</v>
      </c>
      <c r="I256" s="19">
        <f>LEN(Entity[[#This Row],[IFC-Name]])</f>
        <v>37</v>
      </c>
      <c r="J256" s="1" t="s">
        <v>2878</v>
      </c>
      <c r="K256" s="19">
        <f>LEN(Entity[[#This Row],[Klassen-Name]])</f>
        <v>28</v>
      </c>
      <c r="L256" s="7"/>
      <c r="M256" s="19" t="b">
        <f>IF(NOT(Entity[[#This Row],[Supertype]]),TRUE,AND(Entity[[#This Row],[Supertype]],Entity[[#This Row],[Subtype]]))</f>
        <v>1</v>
      </c>
      <c r="N256" s="28" t="s">
        <v>3213</v>
      </c>
      <c r="O256" s="29" t="s">
        <v>2102</v>
      </c>
    </row>
    <row r="257" spans="2:15" ht="20.100000000000001" customHeight="1" x14ac:dyDescent="0.25">
      <c r="B257" s="7" t="s">
        <v>625</v>
      </c>
      <c r="C257" s="7" t="str">
        <f>IF(Entity[[#This Row],[Link]]="","",HYPERLINK(HTMLDokuPath&amp;Entity[[#This Row],[Link]],"Doku"))</f>
        <v>Doku</v>
      </c>
      <c r="D257" s="6">
        <v>19</v>
      </c>
      <c r="E257" s="20" t="str">
        <f>IFERROR(IF(VLOOKUP(Entity[ID-Modul],Modul[],3,FALSE)=0,VLOOKUP(Entity[ID-Modul],Modul[],2,FALSE),VLOOKUP(Entity[ID-Modul],Modul[],3,FALSE)),"unbekannt")</f>
        <v>IfcMaterialResource</v>
      </c>
      <c r="F257" s="21" t="b">
        <v>0</v>
      </c>
      <c r="G257" s="21" t="b">
        <v>0</v>
      </c>
      <c r="H257" s="22" t="s">
        <v>890</v>
      </c>
      <c r="I257" s="19">
        <f>LEN(Entity[[#This Row],[IFC-Name]])</f>
        <v>16</v>
      </c>
      <c r="J257" s="7" t="s">
        <v>625</v>
      </c>
      <c r="K257" s="19">
        <f>LEN(Entity[[#This Row],[Klassen-Name]])</f>
        <v>16</v>
      </c>
      <c r="L257" s="7"/>
      <c r="M257" s="19" t="b">
        <f>IF(NOT(Entity[[#This Row],[Supertype]]),TRUE,AND(Entity[[#This Row],[Supertype]],Entity[[#This Row],[Subtype]]))</f>
        <v>1</v>
      </c>
      <c r="N257" s="28" t="s">
        <v>3215</v>
      </c>
      <c r="O257" s="29" t="s">
        <v>2104</v>
      </c>
    </row>
    <row r="258" spans="2:15" ht="20.100000000000001" customHeight="1" x14ac:dyDescent="0.25">
      <c r="B258" s="7" t="s">
        <v>626</v>
      </c>
      <c r="C258" s="7" t="str">
        <f>IF(Entity[[#This Row],[Link]]="","",HYPERLINK(HTMLDokuPath&amp;Entity[[#This Row],[Link]],"Doku"))</f>
        <v>Doku</v>
      </c>
      <c r="D258" s="6">
        <v>19</v>
      </c>
      <c r="E258" s="20" t="str">
        <f>IFERROR(IF(VLOOKUP(Entity[ID-Modul],Modul[],3,FALSE)=0,VLOOKUP(Entity[ID-Modul],Modul[],2,FALSE),VLOOKUP(Entity[ID-Modul],Modul[],3,FALSE)),"unbekannt")</f>
        <v>IfcMaterialResource</v>
      </c>
      <c r="F258" s="21" t="b">
        <v>0</v>
      </c>
      <c r="G258" s="21" t="b">
        <v>0</v>
      </c>
      <c r="H258" s="22" t="s">
        <v>891</v>
      </c>
      <c r="I258" s="19">
        <f>LEN(Entity[[#This Row],[IFC-Name]])</f>
        <v>19</v>
      </c>
      <c r="J258" s="7" t="s">
        <v>626</v>
      </c>
      <c r="K258" s="19">
        <f>LEN(Entity[[#This Row],[Klassen-Name]])</f>
        <v>19</v>
      </c>
      <c r="L258" s="7"/>
      <c r="M258" s="19" t="b">
        <f>IF(NOT(Entity[[#This Row],[Supertype]]),TRUE,AND(Entity[[#This Row],[Supertype]],Entity[[#This Row],[Subtype]]))</f>
        <v>1</v>
      </c>
      <c r="N258" s="28" t="s">
        <v>3216</v>
      </c>
      <c r="O258" s="29" t="s">
        <v>2105</v>
      </c>
    </row>
    <row r="259" spans="2:15" ht="20.100000000000001" customHeight="1" x14ac:dyDescent="0.25">
      <c r="B259" s="7" t="s">
        <v>627</v>
      </c>
      <c r="C259" s="7" t="str">
        <f>IF(Entity[[#This Row],[Link]]="","",HYPERLINK(HTMLDokuPath&amp;Entity[[#This Row],[Link]],"Doku"))</f>
        <v>Doku</v>
      </c>
      <c r="D259" s="6">
        <v>19</v>
      </c>
      <c r="E259" s="20" t="str">
        <f>IFERROR(IF(VLOOKUP(Entity[ID-Modul],Modul[],3,FALSE)=0,VLOOKUP(Entity[ID-Modul],Modul[],2,FALSE),VLOOKUP(Entity[ID-Modul],Modul[],3,FALSE)),"unbekannt")</f>
        <v>IfcMaterialResource</v>
      </c>
      <c r="F259" s="21" t="b">
        <v>0</v>
      </c>
      <c r="G259" s="21" t="b">
        <v>0</v>
      </c>
      <c r="H259" s="22" t="s">
        <v>892</v>
      </c>
      <c r="I259" s="19">
        <f>LEN(Entity[[#This Row],[IFC-Name]])</f>
        <v>24</v>
      </c>
      <c r="J259" s="7" t="s">
        <v>627</v>
      </c>
      <c r="K259" s="19">
        <f>LEN(Entity[[#This Row],[Klassen-Name]])</f>
        <v>24</v>
      </c>
      <c r="L259" s="7"/>
      <c r="M259" s="19" t="b">
        <f>IF(NOT(Entity[[#This Row],[Supertype]]),TRUE,AND(Entity[[#This Row],[Supertype]],Entity[[#This Row],[Subtype]]))</f>
        <v>1</v>
      </c>
      <c r="N259" s="28" t="s">
        <v>3217</v>
      </c>
      <c r="O259" s="29" t="s">
        <v>2106</v>
      </c>
    </row>
    <row r="260" spans="2:15" ht="20.100000000000001" customHeight="1" x14ac:dyDescent="0.25">
      <c r="B260" s="7" t="s">
        <v>628</v>
      </c>
      <c r="C260" s="7" t="str">
        <f>IF(Entity[[#This Row],[Link]]="","",HYPERLINK(HTMLDokuPath&amp;Entity[[#This Row],[Link]],"Doku"))</f>
        <v>Doku</v>
      </c>
      <c r="D260" s="6">
        <v>19</v>
      </c>
      <c r="E260" s="20" t="str">
        <f>IFERROR(IF(VLOOKUP(Entity[ID-Modul],Modul[],3,FALSE)=0,VLOOKUP(Entity[ID-Modul],Modul[],2,FALSE),VLOOKUP(Entity[ID-Modul],Modul[],3,FALSE)),"unbekannt")</f>
        <v>IfcMaterialResource</v>
      </c>
      <c r="F260" s="21" t="b">
        <v>0</v>
      </c>
      <c r="G260" s="21" t="b">
        <v>0</v>
      </c>
      <c r="H260" s="22" t="s">
        <v>893</v>
      </c>
      <c r="I260" s="19">
        <f>LEN(Entity[[#This Row],[IFC-Name]])</f>
        <v>15</v>
      </c>
      <c r="J260" s="7" t="s">
        <v>628</v>
      </c>
      <c r="K260" s="19">
        <f>LEN(Entity[[#This Row],[Klassen-Name]])</f>
        <v>15</v>
      </c>
      <c r="L260" s="7"/>
      <c r="M260" s="19" t="b">
        <f>IF(NOT(Entity[[#This Row],[Supertype]]),TRUE,AND(Entity[[#This Row],[Supertype]],Entity[[#This Row],[Subtype]]))</f>
        <v>1</v>
      </c>
      <c r="N260" s="28" t="s">
        <v>3218</v>
      </c>
      <c r="O260" s="29" t="s">
        <v>2107</v>
      </c>
    </row>
    <row r="261" spans="2:15" ht="20.100000000000001" customHeight="1" x14ac:dyDescent="0.25">
      <c r="B261" s="7" t="s">
        <v>103</v>
      </c>
      <c r="C261" s="7" t="str">
        <f>IF(Entity[[#This Row],[Link]]="","",HYPERLINK(HTMLDokuPath&amp;Entity[[#This Row],[Link]],"Doku"))</f>
        <v>Doku</v>
      </c>
      <c r="D261" s="6">
        <v>20</v>
      </c>
      <c r="E261" s="20" t="str">
        <f>IFERROR(IF(VLOOKUP(Entity[ID-Modul],Modul[],3,FALSE)=0,VLOOKUP(Entity[ID-Modul],Modul[],2,FALSE),VLOOKUP(Entity[ID-Modul],Modul[],3,FALSE)),"unbekannt")</f>
        <v>IfcMeasureResource</v>
      </c>
      <c r="F261" s="21" t="b">
        <v>1</v>
      </c>
      <c r="G261" s="21" t="b">
        <v>0</v>
      </c>
      <c r="H261" s="22" t="s">
        <v>745</v>
      </c>
      <c r="I261" s="19">
        <f>LEN(Entity[[#This Row],[IFC-Name]])</f>
        <v>23</v>
      </c>
      <c r="J261" s="7" t="s">
        <v>103</v>
      </c>
      <c r="K261" s="19">
        <f>LEN(Entity[[#This Row],[Klassen-Name]])</f>
        <v>23</v>
      </c>
      <c r="L261" s="7"/>
      <c r="M261" s="19" t="b">
        <f>IF(NOT(Entity[[#This Row],[Supertype]]),TRUE,AND(Entity[[#This Row],[Supertype]],Entity[[#This Row],[Subtype]]))</f>
        <v>1</v>
      </c>
      <c r="N261" s="28" t="s">
        <v>3020</v>
      </c>
      <c r="O261" s="29" t="s">
        <v>1910</v>
      </c>
    </row>
    <row r="262" spans="2:15" ht="20.100000000000001" customHeight="1" x14ac:dyDescent="0.25">
      <c r="B262" s="7" t="s">
        <v>106</v>
      </c>
      <c r="C262" s="7" t="str">
        <f>IF(Entity[[#This Row],[Link]]="","",HYPERLINK(HTMLDokuPath&amp;Entity[[#This Row],[Link]],"Doku"))</f>
        <v>Doku</v>
      </c>
      <c r="D262" s="6">
        <v>20</v>
      </c>
      <c r="E262" s="20" t="str">
        <f>IFERROR(IF(VLOOKUP(Entity[ID-Modul],Modul[],3,FALSE)=0,VLOOKUP(Entity[ID-Modul],Modul[],2,FALSE),VLOOKUP(Entity[ID-Modul],Modul[],3,FALSE)),"unbekannt")</f>
        <v>IfcMeasureResource</v>
      </c>
      <c r="F262" s="21" t="b">
        <v>1</v>
      </c>
      <c r="G262" s="21" t="b">
        <v>0</v>
      </c>
      <c r="H262" s="22" t="s">
        <v>747</v>
      </c>
      <c r="I262" s="19">
        <f>LEN(Entity[[#This Row],[IFC-Name]])</f>
        <v>22</v>
      </c>
      <c r="J262" s="7" t="s">
        <v>106</v>
      </c>
      <c r="K262" s="19">
        <f>LEN(Entity[[#This Row],[Klassen-Name]])</f>
        <v>22</v>
      </c>
      <c r="L262" s="7"/>
      <c r="M262" s="19" t="b">
        <f>IF(NOT(Entity[[#This Row],[Supertype]]),TRUE,AND(Entity[[#This Row],[Supertype]],Entity[[#This Row],[Subtype]]))</f>
        <v>1</v>
      </c>
      <c r="N262" s="28" t="s">
        <v>3023</v>
      </c>
      <c r="O262" s="29" t="s">
        <v>1913</v>
      </c>
    </row>
    <row r="263" spans="2:15" ht="20.100000000000001" customHeight="1" x14ac:dyDescent="0.25">
      <c r="B263" s="7" t="s">
        <v>611</v>
      </c>
      <c r="C263" s="7" t="str">
        <f>IF(Entity[[#This Row],[Link]]="","",HYPERLINK(HTMLDokuPath&amp;Entity[[#This Row],[Link]],"Doku"))</f>
        <v>Doku</v>
      </c>
      <c r="D263" s="6">
        <v>20</v>
      </c>
      <c r="E263" s="20" t="str">
        <f>IFERROR(IF(VLOOKUP(Entity[ID-Modul],Modul[],3,FALSE)=0,VLOOKUP(Entity[ID-Modul],Modul[],2,FALSE),VLOOKUP(Entity[ID-Modul],Modul[],3,FALSE)),"unbekannt")</f>
        <v>IfcMeasureResource</v>
      </c>
      <c r="F263" s="21" t="b">
        <v>0</v>
      </c>
      <c r="G263" s="21" t="b">
        <v>0</v>
      </c>
      <c r="H263" s="22" t="s">
        <v>772</v>
      </c>
      <c r="I263" s="19">
        <f>LEN(Entity[[#This Row],[IFC-Name]])</f>
        <v>14</v>
      </c>
      <c r="J263" s="7" t="s">
        <v>611</v>
      </c>
      <c r="K263" s="19">
        <f>LEN(Entity[[#This Row],[Klassen-Name]])</f>
        <v>14</v>
      </c>
      <c r="L263" s="7"/>
      <c r="M263" s="19" t="b">
        <f>IF(NOT(Entity[[#This Row],[Supertype]]),TRUE,AND(Entity[[#This Row],[Supertype]],Entity[[#This Row],[Subtype]]))</f>
        <v>1</v>
      </c>
      <c r="N263" s="28" t="s">
        <v>3051</v>
      </c>
      <c r="O263" s="29" t="s">
        <v>1940</v>
      </c>
    </row>
    <row r="264" spans="2:15" ht="20.100000000000001" customHeight="1" x14ac:dyDescent="0.25">
      <c r="B264" s="7" t="s">
        <v>612</v>
      </c>
      <c r="C264" s="7" t="str">
        <f>IF(Entity[[#This Row],[Link]]="","",HYPERLINK(HTMLDokuPath&amp;Entity[[#This Row],[Link]],"Doku"))</f>
        <v>Doku</v>
      </c>
      <c r="D264" s="6">
        <v>20</v>
      </c>
      <c r="E264" s="20" t="str">
        <f>IFERROR(IF(VLOOKUP(Entity[ID-Modul],Modul[],3,FALSE)=0,VLOOKUP(Entity[ID-Modul],Modul[],2,FALSE),VLOOKUP(Entity[ID-Modul],Modul[],3,FALSE)),"unbekannt")</f>
        <v>IfcMeasureResource</v>
      </c>
      <c r="F264" s="21" t="b">
        <v>0</v>
      </c>
      <c r="G264" s="21" t="b">
        <v>0</v>
      </c>
      <c r="H264" s="22" t="s">
        <v>773</v>
      </c>
      <c r="I264" s="19">
        <f>LEN(Entity[[#This Row],[IFC-Name]])</f>
        <v>21</v>
      </c>
      <c r="J264" s="7" t="s">
        <v>612</v>
      </c>
      <c r="K264" s="19">
        <f>LEN(Entity[[#This Row],[Klassen-Name]])</f>
        <v>21</v>
      </c>
      <c r="L264" s="7"/>
      <c r="M264" s="19" t="b">
        <f>IF(NOT(Entity[[#This Row],[Supertype]]),TRUE,AND(Entity[[#This Row],[Supertype]],Entity[[#This Row],[Subtype]]))</f>
        <v>1</v>
      </c>
      <c r="N264" s="28" t="s">
        <v>3052</v>
      </c>
      <c r="O264" s="29" t="s">
        <v>1941</v>
      </c>
    </row>
    <row r="265" spans="2:15" ht="20.100000000000001" customHeight="1" x14ac:dyDescent="0.25">
      <c r="B265" s="7" t="s">
        <v>613</v>
      </c>
      <c r="C265" s="7" t="str">
        <f>IF(Entity[[#This Row],[Link]]="","",HYPERLINK(HTMLDokuPath&amp;Entity[[#This Row],[Link]],"Doku"))</f>
        <v>Doku</v>
      </c>
      <c r="D265" s="6">
        <v>20</v>
      </c>
      <c r="E265" s="20" t="str">
        <f>IFERROR(IF(VLOOKUP(Entity[ID-Modul],Modul[],3,FALSE)=0,VLOOKUP(Entity[ID-Modul],Modul[],2,FALSE),VLOOKUP(Entity[ID-Modul],Modul[],3,FALSE)),"unbekannt")</f>
        <v>IfcMeasureResource</v>
      </c>
      <c r="F265" s="21" t="b">
        <v>0</v>
      </c>
      <c r="G265" s="21" t="b">
        <v>0</v>
      </c>
      <c r="H265" s="22" t="s">
        <v>779</v>
      </c>
      <c r="I265" s="19">
        <f>LEN(Entity[[#This Row],[IFC-Name]])</f>
        <v>23</v>
      </c>
      <c r="J265" s="7" t="s">
        <v>613</v>
      </c>
      <c r="K265" s="19">
        <f>LEN(Entity[[#This Row],[Klassen-Name]])</f>
        <v>23</v>
      </c>
      <c r="L265" s="7"/>
      <c r="M265" s="19" t="b">
        <f>IF(NOT(Entity[[#This Row],[Supertype]]),TRUE,AND(Entity[[#This Row],[Supertype]],Entity[[#This Row],[Subtype]]))</f>
        <v>1</v>
      </c>
      <c r="N265" s="28" t="s">
        <v>3054</v>
      </c>
      <c r="O265" s="29" t="s">
        <v>1948</v>
      </c>
    </row>
    <row r="266" spans="2:15" ht="20.100000000000001" customHeight="1" x14ac:dyDescent="0.25">
      <c r="B266" s="7" t="s">
        <v>629</v>
      </c>
      <c r="C266" s="7" t="str">
        <f>IF(Entity[[#This Row],[Link]]="","",HYPERLINK(HTMLDokuPath&amp;Entity[[#This Row],[Link]],"Doku"))</f>
        <v>Doku</v>
      </c>
      <c r="D266" s="6">
        <v>20</v>
      </c>
      <c r="E266" s="20" t="str">
        <f>IFERROR(IF(VLOOKUP(Entity[ID-Modul],Modul[],3,FALSE)=0,VLOOKUP(Entity[ID-Modul],Modul[],2,FALSE),VLOOKUP(Entity[ID-Modul],Modul[],3,FALSE)),"unbekannt")</f>
        <v>IfcMeasureResource</v>
      </c>
      <c r="F266" s="21" t="b">
        <v>0</v>
      </c>
      <c r="G266" s="21" t="b">
        <v>0</v>
      </c>
      <c r="H266" s="22" t="s">
        <v>894</v>
      </c>
      <c r="I266" s="19">
        <f>LEN(Entity[[#This Row],[IFC-Name]])</f>
        <v>18</v>
      </c>
      <c r="J266" s="7" t="s">
        <v>629</v>
      </c>
      <c r="K266" s="19">
        <f>LEN(Entity[[#This Row],[Klassen-Name]])</f>
        <v>18</v>
      </c>
      <c r="L266" s="7"/>
      <c r="M266" s="19" t="b">
        <f>IF(NOT(Entity[[#This Row],[Supertype]]),TRUE,AND(Entity[[#This Row],[Supertype]],Entity[[#This Row],[Subtype]]))</f>
        <v>1</v>
      </c>
      <c r="N266" s="28" t="s">
        <v>3220</v>
      </c>
      <c r="O266" s="29" t="s">
        <v>2109</v>
      </c>
    </row>
    <row r="267" spans="2:15" ht="20.100000000000001" customHeight="1" x14ac:dyDescent="0.25">
      <c r="B267" s="7" t="s">
        <v>630</v>
      </c>
      <c r="C267" s="7" t="str">
        <f>IF(Entity[[#This Row],[Link]]="","",HYPERLINK(HTMLDokuPath&amp;Entity[[#This Row],[Link]],"Doku"))</f>
        <v>Doku</v>
      </c>
      <c r="D267" s="6">
        <v>20</v>
      </c>
      <c r="E267" s="20" t="str">
        <f>IFERROR(IF(VLOOKUP(Entity[ID-Modul],Modul[],3,FALSE)=0,VLOOKUP(Entity[ID-Modul],Modul[],2,FALSE),VLOOKUP(Entity[ID-Modul],Modul[],3,FALSE)),"unbekannt")</f>
        <v>IfcMeasureResource</v>
      </c>
      <c r="F267" s="21" t="b">
        <v>0</v>
      </c>
      <c r="G267" s="21" t="b">
        <v>0</v>
      </c>
      <c r="H267" s="22" t="s">
        <v>902</v>
      </c>
      <c r="I267" s="19">
        <f>LEN(Entity[[#This Row],[IFC-Name]])</f>
        <v>15</v>
      </c>
      <c r="J267" s="7" t="s">
        <v>630</v>
      </c>
      <c r="K267" s="19">
        <f>LEN(Entity[[#This Row],[Klassen-Name]])</f>
        <v>15</v>
      </c>
      <c r="L267" s="7"/>
      <c r="M267" s="19" t="b">
        <f>IF(NOT(Entity[[#This Row],[Supertype]]),TRUE,AND(Entity[[#This Row],[Supertype]],Entity[[#This Row],[Subtype]]))</f>
        <v>1</v>
      </c>
      <c r="N267" s="28" t="s">
        <v>3229</v>
      </c>
      <c r="O267" s="29" t="s">
        <v>2118</v>
      </c>
    </row>
    <row r="268" spans="2:15" ht="20.100000000000001" customHeight="1" x14ac:dyDescent="0.25">
      <c r="B268" s="7" t="s">
        <v>288</v>
      </c>
      <c r="C268" s="7" t="str">
        <f>IF(Entity[[#This Row],[Link]]="","",HYPERLINK(HTMLDokuPath&amp;Entity[[#This Row],[Link]],"Doku"))</f>
        <v>Doku</v>
      </c>
      <c r="D268" s="6">
        <v>20</v>
      </c>
      <c r="E268" s="20" t="str">
        <f>IFERROR(IF(VLOOKUP(Entity[ID-Modul],Modul[],3,FALSE)=0,VLOOKUP(Entity[ID-Modul],Modul[],2,FALSE),VLOOKUP(Entity[ID-Modul],Modul[],3,FALSE)),"unbekannt")</f>
        <v>IfcMeasureResource</v>
      </c>
      <c r="F268" s="21" t="b">
        <v>0</v>
      </c>
      <c r="G268" s="21" t="b">
        <v>1</v>
      </c>
      <c r="H268" s="22" t="s">
        <v>1372</v>
      </c>
      <c r="I268" s="19">
        <f>LEN(Entity[[#This Row],[IFC-Name]])</f>
        <v>12</v>
      </c>
      <c r="J268" s="7" t="s">
        <v>2859</v>
      </c>
      <c r="K268" s="19">
        <f>LEN(Entity[[#This Row],[Klassen-Name]])</f>
        <v>0</v>
      </c>
      <c r="L268" s="7"/>
      <c r="M268" s="19" t="b">
        <f>IF(NOT(Entity[[#This Row],[Supertype]]),TRUE,AND(Entity[[#This Row],[Supertype]],Entity[[#This Row],[Subtype]]))</f>
        <v>0</v>
      </c>
      <c r="N268" s="28" t="s">
        <v>3232</v>
      </c>
      <c r="O268" s="29" t="s">
        <v>2121</v>
      </c>
    </row>
    <row r="269" spans="2:15" ht="20.100000000000001" customHeight="1" x14ac:dyDescent="0.25">
      <c r="B269" s="7" t="s">
        <v>450</v>
      </c>
      <c r="C269" s="7" t="str">
        <f>IF(Entity[[#This Row],[Link]]="","",HYPERLINK(HTMLDokuPath&amp;Entity[[#This Row],[Link]],"Doku"))</f>
        <v>Doku</v>
      </c>
      <c r="D269" s="6">
        <v>20</v>
      </c>
      <c r="E269" s="20" t="str">
        <f>IFERROR(IF(VLOOKUP(Entity[ID-Modul],Modul[],3,FALSE)=0,VLOOKUP(Entity[ID-Modul],Modul[],2,FALSE),VLOOKUP(Entity[ID-Modul],Modul[],3,FALSE)),"unbekannt")</f>
        <v>IfcMeasureResource</v>
      </c>
      <c r="F269" s="21" t="b">
        <v>1</v>
      </c>
      <c r="G269" s="21" t="b">
        <v>0</v>
      </c>
      <c r="H269" s="22" t="s">
        <v>1035</v>
      </c>
      <c r="I269" s="19">
        <f>LEN(Entity[[#This Row],[IFC-Name]])</f>
        <v>9</v>
      </c>
      <c r="J269" s="7" t="s">
        <v>450</v>
      </c>
      <c r="K269" s="19">
        <f>LEN(Entity[[#This Row],[Klassen-Name]])</f>
        <v>9</v>
      </c>
      <c r="L269" s="7"/>
      <c r="M269" s="19" t="b">
        <f>IF(NOT(Entity[[#This Row],[Supertype]]),TRUE,AND(Entity[[#This Row],[Supertype]],Entity[[#This Row],[Subtype]]))</f>
        <v>1</v>
      </c>
      <c r="N269" s="28" t="s">
        <v>3421</v>
      </c>
      <c r="O269" s="29" t="s">
        <v>2296</v>
      </c>
    </row>
    <row r="270" spans="2:15" ht="20.100000000000001" customHeight="1" x14ac:dyDescent="0.25">
      <c r="B270" s="7" t="s">
        <v>658</v>
      </c>
      <c r="C270" s="7" t="str">
        <f>IF(Entity[[#This Row],[Link]]="","",HYPERLINK(HTMLDokuPath&amp;Entity[[#This Row],[Link]],"Doku"))</f>
        <v>Doku</v>
      </c>
      <c r="D270" s="6">
        <v>20</v>
      </c>
      <c r="E270" s="20" t="str">
        <f>IFERROR(IF(VLOOKUP(Entity[ID-Modul],Modul[],3,FALSE)=0,VLOOKUP(Entity[ID-Modul],Modul[],2,FALSE),VLOOKUP(Entity[ID-Modul],Modul[],3,FALSE)),"unbekannt")</f>
        <v>IfcMeasureResource</v>
      </c>
      <c r="F270" s="21" t="b">
        <v>0</v>
      </c>
      <c r="G270" s="21" t="b">
        <v>0</v>
      </c>
      <c r="H270" s="22" t="s">
        <v>1126</v>
      </c>
      <c r="I270" s="19">
        <f>LEN(Entity[[#This Row],[IFC-Name]])</f>
        <v>17</v>
      </c>
      <c r="J270" s="7" t="s">
        <v>658</v>
      </c>
      <c r="K270" s="19">
        <f>LEN(Entity[[#This Row],[Klassen-Name]])</f>
        <v>17</v>
      </c>
      <c r="L270" s="7"/>
      <c r="M270" s="19" t="b">
        <f>IF(NOT(Entity[[#This Row],[Supertype]]),TRUE,AND(Entity[[#This Row],[Supertype]],Entity[[#This Row],[Subtype]]))</f>
        <v>1</v>
      </c>
      <c r="N270" s="28" t="s">
        <v>3535</v>
      </c>
      <c r="O270" s="29" t="s">
        <v>2424</v>
      </c>
    </row>
    <row r="271" spans="2:15" ht="20.100000000000001" customHeight="1" x14ac:dyDescent="0.25">
      <c r="B271" s="7" t="s">
        <v>215</v>
      </c>
      <c r="C271" s="7" t="str">
        <f>IF(Entity[[#This Row],[Link]]="","",HYPERLINK(HTMLDokuPath&amp;Entity[[#This Row],[Link]],"Doku"))</f>
        <v>Doku</v>
      </c>
      <c r="D271" s="6">
        <v>21</v>
      </c>
      <c r="E271" s="20" t="str">
        <f>IFERROR(IF(VLOOKUP(Entity[ID-Modul],Modul[],3,FALSE)=0,VLOOKUP(Entity[ID-Modul],Modul[],2,FALSE),VLOOKUP(Entity[ID-Modul],Modul[],3,FALSE)),"unbekannt")</f>
        <v>IfcPlumbingFireProtectionDomain</v>
      </c>
      <c r="F271" s="21" t="b">
        <v>1</v>
      </c>
      <c r="G271" s="21" t="b">
        <v>0</v>
      </c>
      <c r="H271" s="22" t="s">
        <v>840</v>
      </c>
      <c r="I271" s="19">
        <f>LEN(Entity[[#This Row],[IFC-Name]])</f>
        <v>30</v>
      </c>
      <c r="J271" s="7" t="s">
        <v>215</v>
      </c>
      <c r="K271" s="19">
        <f>LEN(Entity[[#This Row],[Klassen-Name]])</f>
        <v>30</v>
      </c>
      <c r="L271" s="7"/>
      <c r="M271" s="19" t="b">
        <f>IF(NOT(Entity[[#This Row],[Supertype]]),TRUE,AND(Entity[[#This Row],[Supertype]],Entity[[#This Row],[Subtype]]))</f>
        <v>1</v>
      </c>
      <c r="N271" s="28" t="s">
        <v>3145</v>
      </c>
      <c r="O271" s="29" t="s">
        <v>2034</v>
      </c>
    </row>
    <row r="272" spans="2:15" ht="20.100000000000001" customHeight="1" x14ac:dyDescent="0.25">
      <c r="B272" s="7" t="s">
        <v>451</v>
      </c>
      <c r="C272" s="7" t="str">
        <f>IF(Entity[[#This Row],[Link]]="","",HYPERLINK(HTMLDokuPath&amp;Entity[[#This Row],[Link]],"Doku"))</f>
        <v>Doku</v>
      </c>
      <c r="D272" s="6">
        <v>21</v>
      </c>
      <c r="E272" s="20" t="str">
        <f>IFERROR(IF(VLOOKUP(Entity[ID-Modul],Modul[],3,FALSE)=0,VLOOKUP(Entity[ID-Modul],Modul[],2,FALSE),VLOOKUP(Entity[ID-Modul],Modul[],3,FALSE)),"unbekannt")</f>
        <v>IfcPlumbingFireProtectionDomain</v>
      </c>
      <c r="F272" s="21" t="b">
        <v>1</v>
      </c>
      <c r="G272" s="21" t="b">
        <v>0</v>
      </c>
      <c r="H272" s="22" t="s">
        <v>1036</v>
      </c>
      <c r="I272" s="19">
        <f>LEN(Entity[[#This Row],[IFC-Name]])</f>
        <v>23</v>
      </c>
      <c r="J272" s="7" t="s">
        <v>451</v>
      </c>
      <c r="K272" s="19">
        <f>LEN(Entity[[#This Row],[Klassen-Name]])</f>
        <v>23</v>
      </c>
      <c r="L272" s="7"/>
      <c r="M272" s="19" t="b">
        <f>IF(NOT(Entity[[#This Row],[Supertype]]),TRUE,AND(Entity[[#This Row],[Supertype]],Entity[[#This Row],[Subtype]]))</f>
        <v>1</v>
      </c>
      <c r="N272" s="28" t="s">
        <v>3407</v>
      </c>
      <c r="O272" s="29" t="s">
        <v>2297</v>
      </c>
    </row>
    <row r="273" spans="2:15" ht="20.100000000000001" customHeight="1" x14ac:dyDescent="0.25">
      <c r="B273" s="7" t="s">
        <v>476</v>
      </c>
      <c r="C273" s="7" t="str">
        <f>IF(Entity[[#This Row],[Link]]="","",HYPERLINK(HTMLDokuPath&amp;Entity[[#This Row],[Link]],"Doku"))</f>
        <v>Doku</v>
      </c>
      <c r="D273" s="6">
        <v>21</v>
      </c>
      <c r="E273" s="20" t="str">
        <f>IFERROR(IF(VLOOKUP(Entity[ID-Modul],Modul[],3,FALSE)=0,VLOOKUP(Entity[ID-Modul],Modul[],2,FALSE),VLOOKUP(Entity[ID-Modul],Modul[],3,FALSE)),"unbekannt")</f>
        <v>IfcPlumbingFireProtectionDomain</v>
      </c>
      <c r="F273" s="21" t="b">
        <v>1</v>
      </c>
      <c r="G273" s="21" t="b">
        <v>0</v>
      </c>
      <c r="H273" s="22" t="s">
        <v>1059</v>
      </c>
      <c r="I273" s="19">
        <f>LEN(Entity[[#This Row],[IFC-Name]])</f>
        <v>20</v>
      </c>
      <c r="J273" s="7" t="s">
        <v>476</v>
      </c>
      <c r="K273" s="19">
        <f>LEN(Entity[[#This Row],[Klassen-Name]])</f>
        <v>20</v>
      </c>
      <c r="L273" s="7"/>
      <c r="M273" s="19" t="b">
        <f>IF(NOT(Entity[[#This Row],[Supertype]]),TRUE,AND(Entity[[#This Row],[Supertype]],Entity[[#This Row],[Subtype]]))</f>
        <v>1</v>
      </c>
      <c r="N273" s="28" t="s">
        <v>3436</v>
      </c>
      <c r="O273" s="29" t="s">
        <v>2325</v>
      </c>
    </row>
    <row r="274" spans="2:15" ht="20.100000000000001" customHeight="1" x14ac:dyDescent="0.25">
      <c r="B274" s="7" t="s">
        <v>575</v>
      </c>
      <c r="C274" s="7" t="str">
        <f>IF(Entity[[#This Row],[Link]]="","",HYPERLINK(HTMLDokuPath&amp;Entity[[#This Row],[Link]],"Doku"))</f>
        <v>Doku</v>
      </c>
      <c r="D274" s="6">
        <v>21</v>
      </c>
      <c r="E274" s="20" t="str">
        <f>IFERROR(IF(VLOOKUP(Entity[ID-Modul],Modul[],3,FALSE)=0,VLOOKUP(Entity[ID-Modul],Modul[],2,FALSE),VLOOKUP(Entity[ID-Modul],Modul[],3,FALSE)),"unbekannt")</f>
        <v>IfcPlumbingFireProtectionDomain</v>
      </c>
      <c r="F274" s="21" t="b">
        <v>1</v>
      </c>
      <c r="G274" s="21" t="b">
        <v>0</v>
      </c>
      <c r="H274" s="22" t="s">
        <v>1138</v>
      </c>
      <c r="I274" s="19">
        <f>LEN(Entity[[#This Row],[IFC-Name]])</f>
        <v>20</v>
      </c>
      <c r="J274" s="7" t="s">
        <v>575</v>
      </c>
      <c r="K274" s="19">
        <f>LEN(Entity[[#This Row],[Klassen-Name]])</f>
        <v>20</v>
      </c>
      <c r="L274" s="7"/>
      <c r="M274" s="19" t="b">
        <f>IF(NOT(Entity[[#This Row],[Supertype]]),TRUE,AND(Entity[[#This Row],[Supertype]],Entity[[#This Row],[Subtype]]))</f>
        <v>1</v>
      </c>
      <c r="N274" s="28" t="s">
        <v>3549</v>
      </c>
      <c r="O274" s="29" t="s">
        <v>2438</v>
      </c>
    </row>
    <row r="275" spans="2:15" ht="20.100000000000001" customHeight="1" x14ac:dyDescent="0.25">
      <c r="B275" s="7" t="s">
        <v>37</v>
      </c>
      <c r="C275" s="7" t="str">
        <f>IF(Entity[[#This Row],[Link]]="","",HYPERLINK(HTMLDokuPath&amp;Entity[[#This Row],[Link]],"Doku"))</f>
        <v>Doku</v>
      </c>
      <c r="D275" s="6">
        <v>22</v>
      </c>
      <c r="E275" s="20" t="str">
        <f>IFERROR(IF(VLOOKUP(Entity[ID-Modul],Modul[],3,FALSE)=0,VLOOKUP(Entity[ID-Modul],Modul[],2,FALSE),VLOOKUP(Entity[ID-Modul],Modul[],3,FALSE)),"unbekannt")</f>
        <v>IfcPresentationAppearanceResource</v>
      </c>
      <c r="F275" s="21" t="b">
        <v>1</v>
      </c>
      <c r="G275" s="21" t="b">
        <v>0</v>
      </c>
      <c r="H275" s="22" t="s">
        <v>690</v>
      </c>
      <c r="I275" s="19">
        <f>LEN(Entity[[#This Row],[IFC-Name]])</f>
        <v>14</v>
      </c>
      <c r="J275" s="7" t="s">
        <v>37</v>
      </c>
      <c r="K275" s="19">
        <f>LEN(Entity[[#This Row],[Klassen-Name]])</f>
        <v>14</v>
      </c>
      <c r="L275" s="7"/>
      <c r="M275" s="19" t="b">
        <f>IF(NOT(Entity[[#This Row],[Supertype]]),TRUE,AND(Entity[[#This Row],[Supertype]],Entity[[#This Row],[Subtype]]))</f>
        <v>1</v>
      </c>
      <c r="N275" s="28" t="s">
        <v>2945</v>
      </c>
      <c r="O275" s="29" t="s">
        <v>1835</v>
      </c>
    </row>
    <row r="276" spans="2:15" ht="20.100000000000001" customHeight="1" x14ac:dyDescent="0.25">
      <c r="B276" s="7" t="s">
        <v>123</v>
      </c>
      <c r="C276" s="7" t="str">
        <f>IF(Entity[[#This Row],[Link]]="","",HYPERLINK(HTMLDokuPath&amp;Entity[[#This Row],[Link]],"Doku"))</f>
        <v>Doku</v>
      </c>
      <c r="D276" s="6">
        <v>22</v>
      </c>
      <c r="E276" s="20" t="str">
        <f>IFERROR(IF(VLOOKUP(Entity[ID-Modul],Modul[],3,FALSE)=0,VLOOKUP(Entity[ID-Modul],Modul[],2,FALSE),VLOOKUP(Entity[ID-Modul],Modul[],3,FALSE)),"unbekannt")</f>
        <v>IfcPresentationAppearanceResource</v>
      </c>
      <c r="F276" s="21" t="b">
        <v>1</v>
      </c>
      <c r="G276" s="21" t="b">
        <v>0</v>
      </c>
      <c r="H276" s="22" t="s">
        <v>764</v>
      </c>
      <c r="I276" s="19">
        <f>LEN(Entity[[#This Row],[IFC-Name]])</f>
        <v>13</v>
      </c>
      <c r="J276" s="7" t="s">
        <v>123</v>
      </c>
      <c r="K276" s="19">
        <f>LEN(Entity[[#This Row],[Klassen-Name]])</f>
        <v>13</v>
      </c>
      <c r="L276" s="7"/>
      <c r="M276" s="19" t="b">
        <f>IF(NOT(Entity[[#This Row],[Supertype]]),TRUE,AND(Entity[[#This Row],[Supertype]],Entity[[#This Row],[Subtype]]))</f>
        <v>1</v>
      </c>
      <c r="N276" s="28" t="s">
        <v>3043</v>
      </c>
      <c r="O276" s="29" t="s">
        <v>1932</v>
      </c>
    </row>
    <row r="277" spans="2:15" ht="20.100000000000001" customHeight="1" x14ac:dyDescent="0.25">
      <c r="B277" s="7" t="s">
        <v>607</v>
      </c>
      <c r="C277" s="7" t="str">
        <f>IF(Entity[[#This Row],[Link]]="","",HYPERLINK(HTMLDokuPath&amp;Entity[[#This Row],[Link]],"Doku"))</f>
        <v>Doku</v>
      </c>
      <c r="D277" s="6">
        <v>22</v>
      </c>
      <c r="E277" s="20" t="str">
        <f>IFERROR(IF(VLOOKUP(Entity[ID-Modul],Modul[],3,FALSE)=0,VLOOKUP(Entity[ID-Modul],Modul[],2,FALSE),VLOOKUP(Entity[ID-Modul],Modul[],3,FALSE)),"unbekannt")</f>
        <v>IfcPresentationAppearanceResource</v>
      </c>
      <c r="F277" s="21" t="b">
        <v>0</v>
      </c>
      <c r="G277" s="21" t="b">
        <v>0</v>
      </c>
      <c r="H277" s="22" t="s">
        <v>765</v>
      </c>
      <c r="I277" s="19">
        <f>LEN(Entity[[#This Row],[IFC-Name]])</f>
        <v>17</v>
      </c>
      <c r="J277" s="7" t="s">
        <v>607</v>
      </c>
      <c r="K277" s="19">
        <f>LEN(Entity[[#This Row],[Klassen-Name]])</f>
        <v>17</v>
      </c>
      <c r="L277" s="7"/>
      <c r="M277" s="19" t="b">
        <f>IF(NOT(Entity[[#This Row],[Supertype]]),TRUE,AND(Entity[[#This Row],[Supertype]],Entity[[#This Row],[Subtype]]))</f>
        <v>1</v>
      </c>
      <c r="N277" s="28" t="s">
        <v>3044</v>
      </c>
      <c r="O277" s="29" t="s">
        <v>1933</v>
      </c>
    </row>
    <row r="278" spans="2:15" ht="20.100000000000001" customHeight="1" x14ac:dyDescent="0.25">
      <c r="B278" s="7" t="s">
        <v>608</v>
      </c>
      <c r="C278" s="7" t="str">
        <f>IF(Entity[[#This Row],[Link]]="","",HYPERLINK(HTMLDokuPath&amp;Entity[[#This Row],[Link]],"Doku"))</f>
        <v>Doku</v>
      </c>
      <c r="D278" s="6">
        <v>22</v>
      </c>
      <c r="E278" s="20" t="str">
        <f>IFERROR(IF(VLOOKUP(Entity[ID-Modul],Modul[],3,FALSE)=0,VLOOKUP(Entity[ID-Modul],Modul[],2,FALSE),VLOOKUP(Entity[ID-Modul],Modul[],3,FALSE)),"unbekannt")</f>
        <v>IfcPresentationAppearanceResource</v>
      </c>
      <c r="F278" s="21" t="b">
        <v>0</v>
      </c>
      <c r="G278" s="21" t="b">
        <v>0</v>
      </c>
      <c r="H278" s="22" t="s">
        <v>766</v>
      </c>
      <c r="I278" s="19">
        <f>LEN(Entity[[#This Row],[IFC-Name]])</f>
        <v>27</v>
      </c>
      <c r="J278" s="7" t="s">
        <v>608</v>
      </c>
      <c r="K278" s="19">
        <f>LEN(Entity[[#This Row],[Klassen-Name]])</f>
        <v>27</v>
      </c>
      <c r="L278" s="7"/>
      <c r="M278" s="19" t="b">
        <f>IF(NOT(Entity[[#This Row],[Supertype]]),TRUE,AND(Entity[[#This Row],[Supertype]],Entity[[#This Row],[Subtype]]))</f>
        <v>1</v>
      </c>
      <c r="N278" s="28" t="s">
        <v>3045</v>
      </c>
      <c r="O278" s="29" t="s">
        <v>1934</v>
      </c>
    </row>
    <row r="279" spans="2:15" ht="20.100000000000001" customHeight="1" x14ac:dyDescent="0.25">
      <c r="B279" s="7" t="s">
        <v>609</v>
      </c>
      <c r="C279" s="7" t="str">
        <f>IF(Entity[[#This Row],[Link]]="","",HYPERLINK(HTMLDokuPath&amp;Entity[[#This Row],[Link]],"Doku"))</f>
        <v>Doku</v>
      </c>
      <c r="D279" s="6">
        <v>22</v>
      </c>
      <c r="E279" s="20" t="str">
        <f>IFERROR(IF(VLOOKUP(Entity[ID-Modul],Modul[],3,FALSE)=0,VLOOKUP(Entity[ID-Modul],Modul[],2,FALSE),VLOOKUP(Entity[ID-Modul],Modul[],3,FALSE)),"unbekannt")</f>
        <v>IfcPresentationAppearanceResource</v>
      </c>
      <c r="F279" s="21" t="b">
        <v>0</v>
      </c>
      <c r="G279" s="21" t="b">
        <v>0</v>
      </c>
      <c r="H279" s="22" t="s">
        <v>767</v>
      </c>
      <c r="I279" s="19">
        <f>LEN(Entity[[#This Row],[IFC-Name]])</f>
        <v>24</v>
      </c>
      <c r="J279" s="7" t="s">
        <v>609</v>
      </c>
      <c r="K279" s="19">
        <f>LEN(Entity[[#This Row],[Klassen-Name]])</f>
        <v>24</v>
      </c>
      <c r="L279" s="7"/>
      <c r="M279" s="19" t="b">
        <f>IF(NOT(Entity[[#This Row],[Supertype]]),TRUE,AND(Entity[[#This Row],[Supertype]],Entity[[#This Row],[Subtype]]))</f>
        <v>1</v>
      </c>
      <c r="N279" s="28" t="s">
        <v>3046</v>
      </c>
      <c r="O279" s="29" t="s">
        <v>1935</v>
      </c>
    </row>
    <row r="280" spans="2:15" ht="20.100000000000001" customHeight="1" x14ac:dyDescent="0.25">
      <c r="B280" s="7" t="s">
        <v>153</v>
      </c>
      <c r="C280" s="7" t="str">
        <f>IF(Entity[[#This Row],[Link]]="","",HYPERLINK(HTMLDokuPath&amp;Entity[[#This Row],[Link]],"Doku"))</f>
        <v>Doku</v>
      </c>
      <c r="D280" s="6">
        <v>22</v>
      </c>
      <c r="E280" s="20" t="str">
        <f>IFERROR(IF(VLOOKUP(Entity[ID-Modul],Modul[],3,FALSE)=0,VLOOKUP(Entity[ID-Modul],Modul[],2,FALSE),VLOOKUP(Entity[ID-Modul],Modul[],3,FALSE)),"unbekannt")</f>
        <v>IfcPresentationAppearanceResource</v>
      </c>
      <c r="F280" s="21" t="b">
        <v>1</v>
      </c>
      <c r="G280" s="21" t="b">
        <v>0</v>
      </c>
      <c r="H280" s="22" t="s">
        <v>795</v>
      </c>
      <c r="I280" s="19">
        <f>LEN(Entity[[#This Row],[IFC-Name]])</f>
        <v>32</v>
      </c>
      <c r="J280" s="1" t="s">
        <v>2879</v>
      </c>
      <c r="K280" s="19">
        <f>LEN(Entity[[#This Row],[Klassen-Name]])</f>
        <v>28</v>
      </c>
      <c r="L280" s="7"/>
      <c r="M280" s="19" t="b">
        <f>IF(NOT(Entity[[#This Row],[Supertype]]),TRUE,AND(Entity[[#This Row],[Supertype]],Entity[[#This Row],[Subtype]]))</f>
        <v>1</v>
      </c>
      <c r="N280" s="28" t="s">
        <v>3083</v>
      </c>
      <c r="O280" s="29" t="s">
        <v>1972</v>
      </c>
    </row>
    <row r="281" spans="2:15" ht="20.100000000000001" customHeight="1" x14ac:dyDescent="0.25">
      <c r="B281" s="7" t="s">
        <v>191</v>
      </c>
      <c r="C281" s="7" t="str">
        <f>IF(Entity[[#This Row],[Link]]="","",HYPERLINK(HTMLDokuPath&amp;Entity[[#This Row],[Link]],"Doku"))</f>
        <v>Doku</v>
      </c>
      <c r="D281" s="6">
        <v>22</v>
      </c>
      <c r="E281" s="20" t="str">
        <f>IFERROR(IF(VLOOKUP(Entity[ID-Modul],Modul[],3,FALSE)=0,VLOOKUP(Entity[ID-Modul],Modul[],2,FALSE),VLOOKUP(Entity[ID-Modul],Modul[],3,FALSE)),"unbekannt")</f>
        <v>IfcPresentationAppearanceResource</v>
      </c>
      <c r="F281" s="21" t="b">
        <v>1</v>
      </c>
      <c r="G281" s="21" t="b">
        <v>0</v>
      </c>
      <c r="H281" s="22" t="s">
        <v>823</v>
      </c>
      <c r="I281" s="19">
        <f>LEN(Entity[[#This Row],[IFC-Name]])</f>
        <v>30</v>
      </c>
      <c r="J281" s="1" t="s">
        <v>191</v>
      </c>
      <c r="K281" s="19">
        <f>LEN(Entity[[#This Row],[Klassen-Name]])</f>
        <v>30</v>
      </c>
      <c r="L281" s="7"/>
      <c r="M281" s="19" t="b">
        <f>IF(NOT(Entity[[#This Row],[Supertype]]),TRUE,AND(Entity[[#This Row],[Supertype]],Entity[[#This Row],[Subtype]]))</f>
        <v>1</v>
      </c>
      <c r="N281" s="28" t="s">
        <v>3120</v>
      </c>
      <c r="O281" s="29" t="s">
        <v>2010</v>
      </c>
    </row>
    <row r="282" spans="2:15" ht="20.100000000000001" customHeight="1" x14ac:dyDescent="0.25">
      <c r="B282" s="7" t="s">
        <v>192</v>
      </c>
      <c r="C282" s="7" t="str">
        <f>IF(Entity[[#This Row],[Link]]="","",HYPERLINK(HTMLDokuPath&amp;Entity[[#This Row],[Link]],"Doku"))</f>
        <v>Doku</v>
      </c>
      <c r="D282" s="6">
        <v>22</v>
      </c>
      <c r="E282" s="20" t="str">
        <f>IFERROR(IF(VLOOKUP(Entity[ID-Modul],Modul[],3,FALSE)=0,VLOOKUP(Entity[ID-Modul],Modul[],2,FALSE),VLOOKUP(Entity[ID-Modul],Modul[],3,FALSE)),"unbekannt")</f>
        <v>IfcPresentationAppearanceResource</v>
      </c>
      <c r="F282" s="21" t="b">
        <v>1</v>
      </c>
      <c r="G282" s="21" t="b">
        <v>0</v>
      </c>
      <c r="H282" s="22" t="s">
        <v>824</v>
      </c>
      <c r="I282" s="19">
        <f>LEN(Entity[[#This Row],[IFC-Name]])</f>
        <v>32</v>
      </c>
      <c r="J282" s="1" t="s">
        <v>2880</v>
      </c>
      <c r="K282" s="19">
        <f>LEN(Entity[[#This Row],[Klassen-Name]])</f>
        <v>28</v>
      </c>
      <c r="L282" s="7"/>
      <c r="M282" s="19" t="b">
        <f>IF(NOT(Entity[[#This Row],[Supertype]]),TRUE,AND(Entity[[#This Row],[Supertype]],Entity[[#This Row],[Subtype]]))</f>
        <v>1</v>
      </c>
      <c r="N282" s="28" t="s">
        <v>3121</v>
      </c>
      <c r="O282" s="29" t="s">
        <v>2011</v>
      </c>
    </row>
    <row r="283" spans="2:15" ht="20.100000000000001" customHeight="1" x14ac:dyDescent="0.25">
      <c r="B283" s="7" t="s">
        <v>210</v>
      </c>
      <c r="C283" s="7" t="str">
        <f>IF(Entity[[#This Row],[Link]]="","",HYPERLINK(HTMLDokuPath&amp;Entity[[#This Row],[Link]],"Doku"))</f>
        <v>Doku</v>
      </c>
      <c r="D283" s="6">
        <v>22</v>
      </c>
      <c r="E283" s="20" t="str">
        <f>IFERROR(IF(VLOOKUP(Entity[ID-Modul],Modul[],3,FALSE)=0,VLOOKUP(Entity[ID-Modul],Modul[],2,FALSE),VLOOKUP(Entity[ID-Modul],Modul[],3,FALSE)),"unbekannt")</f>
        <v>IfcPresentationAppearanceResource</v>
      </c>
      <c r="F283" s="21" t="b">
        <v>1</v>
      </c>
      <c r="G283" s="21" t="b">
        <v>0</v>
      </c>
      <c r="H283" s="22" t="s">
        <v>835</v>
      </c>
      <c r="I283" s="19">
        <f>LEN(Entity[[#This Row],[IFC-Name]])</f>
        <v>16</v>
      </c>
      <c r="J283" s="7" t="s">
        <v>210</v>
      </c>
      <c r="K283" s="19">
        <f>LEN(Entity[[#This Row],[Klassen-Name]])</f>
        <v>16</v>
      </c>
      <c r="L283" s="7"/>
      <c r="M283" s="19" t="b">
        <f>IF(NOT(Entity[[#This Row],[Supertype]]),TRUE,AND(Entity[[#This Row],[Supertype]],Entity[[#This Row],[Subtype]]))</f>
        <v>1</v>
      </c>
      <c r="N283" s="28" t="s">
        <v>3140</v>
      </c>
      <c r="O283" s="29" t="s">
        <v>2029</v>
      </c>
    </row>
    <row r="284" spans="2:15" ht="20.100000000000001" customHeight="1" x14ac:dyDescent="0.25">
      <c r="B284" s="7" t="s">
        <v>211</v>
      </c>
      <c r="C284" s="7" t="str">
        <f>IF(Entity[[#This Row],[Link]]="","",HYPERLINK(HTMLDokuPath&amp;Entity[[#This Row],[Link]],"Doku"))</f>
        <v>Doku</v>
      </c>
      <c r="D284" s="6">
        <v>22</v>
      </c>
      <c r="E284" s="20" t="str">
        <f>IFERROR(IF(VLOOKUP(Entity[ID-Modul],Modul[],3,FALSE)=0,VLOOKUP(Entity[ID-Modul],Modul[],2,FALSE),VLOOKUP(Entity[ID-Modul],Modul[],3,FALSE)),"unbekannt")</f>
        <v>IfcPresentationAppearanceResource</v>
      </c>
      <c r="F284" s="21" t="b">
        <v>1</v>
      </c>
      <c r="G284" s="21" t="b">
        <v>0</v>
      </c>
      <c r="H284" s="22" t="s">
        <v>836</v>
      </c>
      <c r="I284" s="19">
        <f>LEN(Entity[[#This Row],[IFC-Name]])</f>
        <v>24</v>
      </c>
      <c r="J284" s="7" t="s">
        <v>211</v>
      </c>
      <c r="K284" s="19">
        <f>LEN(Entity[[#This Row],[Klassen-Name]])</f>
        <v>24</v>
      </c>
      <c r="L284" s="7"/>
      <c r="M284" s="19" t="b">
        <f>IF(NOT(Entity[[#This Row],[Supertype]]),TRUE,AND(Entity[[#This Row],[Supertype]],Entity[[#This Row],[Subtype]]))</f>
        <v>1</v>
      </c>
      <c r="N284" s="28" t="s">
        <v>3141</v>
      </c>
      <c r="O284" s="29" t="s">
        <v>2030</v>
      </c>
    </row>
    <row r="285" spans="2:15" ht="20.100000000000001" customHeight="1" x14ac:dyDescent="0.25">
      <c r="B285" s="7" t="s">
        <v>213</v>
      </c>
      <c r="C285" s="7" t="str">
        <f>IF(Entity[[#This Row],[Link]]="","",HYPERLINK(HTMLDokuPath&amp;Entity[[#This Row],[Link]],"Doku"))</f>
        <v>Doku</v>
      </c>
      <c r="D285" s="6">
        <v>22</v>
      </c>
      <c r="E285" s="20" t="str">
        <f>IFERROR(IF(VLOOKUP(Entity[ID-Modul],Modul[],3,FALSE)=0,VLOOKUP(Entity[ID-Modul],Modul[],2,FALSE),VLOOKUP(Entity[ID-Modul],Modul[],3,FALSE)),"unbekannt")</f>
        <v>IfcPresentationAppearanceResource</v>
      </c>
      <c r="F285" s="21" t="b">
        <v>1</v>
      </c>
      <c r="G285" s="21" t="b">
        <v>0</v>
      </c>
      <c r="H285" s="22" t="s">
        <v>838</v>
      </c>
      <c r="I285" s="19">
        <f>LEN(Entity[[#This Row],[IFC-Name]])</f>
        <v>21</v>
      </c>
      <c r="J285" s="7" t="s">
        <v>213</v>
      </c>
      <c r="K285" s="19">
        <f>LEN(Entity[[#This Row],[Klassen-Name]])</f>
        <v>21</v>
      </c>
      <c r="L285" s="7"/>
      <c r="M285" s="19" t="b">
        <f>IF(NOT(Entity[[#This Row],[Supertype]]),TRUE,AND(Entity[[#This Row],[Supertype]],Entity[[#This Row],[Subtype]]))</f>
        <v>1</v>
      </c>
      <c r="N285" s="28" t="s">
        <v>3142</v>
      </c>
      <c r="O285" s="29" t="s">
        <v>2032</v>
      </c>
    </row>
    <row r="286" spans="2:15" ht="20.100000000000001" customHeight="1" x14ac:dyDescent="0.25">
      <c r="B286" s="7" t="s">
        <v>212</v>
      </c>
      <c r="C286" s="7" t="str">
        <f>IF(Entity[[#This Row],[Link]]="","",HYPERLINK(HTMLDokuPath&amp;Entity[[#This Row],[Link]],"Doku"))</f>
        <v>Doku</v>
      </c>
      <c r="D286" s="6">
        <v>22</v>
      </c>
      <c r="E286" s="20" t="str">
        <f>IFERROR(IF(VLOOKUP(Entity[ID-Modul],Modul[],3,FALSE)=0,VLOOKUP(Entity[ID-Modul],Modul[],2,FALSE),VLOOKUP(Entity[ID-Modul],Modul[],3,FALSE)),"unbekannt")</f>
        <v>IfcPresentationAppearanceResource</v>
      </c>
      <c r="F286" s="21" t="b">
        <v>1</v>
      </c>
      <c r="G286" s="21" t="b">
        <v>0</v>
      </c>
      <c r="H286" s="22" t="s">
        <v>837</v>
      </c>
      <c r="I286" s="19">
        <f>LEN(Entity[[#This Row],[IFC-Name]])</f>
        <v>35</v>
      </c>
      <c r="J286" s="1" t="s">
        <v>2881</v>
      </c>
      <c r="K286" s="19">
        <f>LEN(Entity[[#This Row],[Klassen-Name]])</f>
        <v>30</v>
      </c>
      <c r="L286" s="7"/>
      <c r="M286" s="19" t="b">
        <f>IF(NOT(Entity[[#This Row],[Supertype]]),TRUE,AND(Entity[[#This Row],[Supertype]],Entity[[#This Row],[Subtype]]))</f>
        <v>1</v>
      </c>
      <c r="N286" s="28" t="s">
        <v>3143</v>
      </c>
      <c r="O286" s="29" t="s">
        <v>2031</v>
      </c>
    </row>
    <row r="287" spans="2:15" ht="20.100000000000001" customHeight="1" x14ac:dyDescent="0.25">
      <c r="B287" s="7" t="s">
        <v>255</v>
      </c>
      <c r="C287" s="7" t="str">
        <f>IF(Entity[[#This Row],[Link]]="","",HYPERLINK(HTMLDokuPath&amp;Entity[[#This Row],[Link]],"Doku"))</f>
        <v>Doku</v>
      </c>
      <c r="D287" s="6">
        <v>22</v>
      </c>
      <c r="E287" s="20" t="str">
        <f>IFERROR(IF(VLOOKUP(Entity[ID-Modul],Modul[],3,FALSE)=0,VLOOKUP(Entity[ID-Modul],Modul[],2,FALSE),VLOOKUP(Entity[ID-Modul],Modul[],3,FALSE)),"unbekannt")</f>
        <v>IfcPresentationAppearanceResource</v>
      </c>
      <c r="F287" s="21" t="b">
        <v>1</v>
      </c>
      <c r="G287" s="21" t="b">
        <v>0</v>
      </c>
      <c r="H287" s="22" t="s">
        <v>865</v>
      </c>
      <c r="I287" s="19">
        <f>LEN(Entity[[#This Row],[IFC-Name]])</f>
        <v>15</v>
      </c>
      <c r="J287" s="7" t="s">
        <v>255</v>
      </c>
      <c r="K287" s="19">
        <f>LEN(Entity[[#This Row],[Klassen-Name]])</f>
        <v>15</v>
      </c>
      <c r="L287" s="7"/>
      <c r="M287" s="19" t="b">
        <f>IF(NOT(Entity[[#This Row],[Supertype]]),TRUE,AND(Entity[[#This Row],[Supertype]],Entity[[#This Row],[Subtype]]))</f>
        <v>1</v>
      </c>
      <c r="N287" s="28" t="s">
        <v>3185</v>
      </c>
      <c r="O287" s="29" t="s">
        <v>2075</v>
      </c>
    </row>
    <row r="288" spans="2:15" ht="20.100000000000001" customHeight="1" x14ac:dyDescent="0.25">
      <c r="B288" s="7" t="s">
        <v>296</v>
      </c>
      <c r="C288" s="7" t="str">
        <f>IF(Entity[[#This Row],[Link]]="","",HYPERLINK(HTMLDokuPath&amp;Entity[[#This Row],[Link]],"Doku"))</f>
        <v>Doku</v>
      </c>
      <c r="D288" s="6">
        <v>22</v>
      </c>
      <c r="E288" s="20" t="str">
        <f>IFERROR(IF(VLOOKUP(Entity[ID-Modul],Modul[],3,FALSE)=0,VLOOKUP(Entity[ID-Modul],Modul[],2,FALSE),VLOOKUP(Entity[ID-Modul],Modul[],3,FALSE)),"unbekannt")</f>
        <v>IfcPresentationAppearanceResource</v>
      </c>
      <c r="F288" s="21" t="b">
        <v>1</v>
      </c>
      <c r="G288" s="21" t="b">
        <v>1</v>
      </c>
      <c r="H288" s="22" t="s">
        <v>1376</v>
      </c>
      <c r="I288" s="19">
        <f>LEN(Entity[[#This Row],[IFC-Name]])</f>
        <v>27</v>
      </c>
      <c r="J288" s="7" t="s">
        <v>296</v>
      </c>
      <c r="K288" s="19">
        <f>LEN(Entity[[#This Row],[Klassen-Name]])</f>
        <v>27</v>
      </c>
      <c r="L288" s="7"/>
      <c r="M288" s="19" t="b">
        <f>IF(NOT(Entity[[#This Row],[Supertype]]),TRUE,AND(Entity[[#This Row],[Supertype]],Entity[[#This Row],[Subtype]]))</f>
        <v>1</v>
      </c>
      <c r="N288" s="28" t="s">
        <v>3240</v>
      </c>
      <c r="O288" s="29" t="s">
        <v>2129</v>
      </c>
    </row>
    <row r="289" spans="2:15" ht="20.100000000000001" customHeight="1" x14ac:dyDescent="0.25">
      <c r="B289" s="7" t="s">
        <v>314</v>
      </c>
      <c r="C289" s="7" t="str">
        <f>IF(Entity[[#This Row],[Link]]="","",HYPERLINK(HTMLDokuPath&amp;Entity[[#This Row],[Link]],"Doku"))</f>
        <v>Doku</v>
      </c>
      <c r="D289" s="6">
        <v>22</v>
      </c>
      <c r="E289" s="20" t="str">
        <f>IFERROR(IF(VLOOKUP(Entity[ID-Modul],Modul[],3,FALSE)=0,VLOOKUP(Entity[ID-Modul],Modul[],2,FALSE),VLOOKUP(Entity[ID-Modul],Modul[],3,FALSE)),"unbekannt")</f>
        <v>IfcPresentationAppearanceResource</v>
      </c>
      <c r="F289" s="21" t="b">
        <v>1</v>
      </c>
      <c r="G289" s="21" t="b">
        <v>0</v>
      </c>
      <c r="H289" s="22" t="s">
        <v>928</v>
      </c>
      <c r="I289" s="19">
        <f>LEN(Entity[[#This Row],[IFC-Name]])</f>
        <v>15</v>
      </c>
      <c r="J289" s="7" t="s">
        <v>314</v>
      </c>
      <c r="K289" s="19">
        <f>LEN(Entity[[#This Row],[Klassen-Name]])</f>
        <v>15</v>
      </c>
      <c r="L289" s="7"/>
      <c r="M289" s="19" t="b">
        <f>IF(NOT(Entity[[#This Row],[Supertype]]),TRUE,AND(Entity[[#This Row],[Supertype]],Entity[[#This Row],[Subtype]]))</f>
        <v>1</v>
      </c>
      <c r="N289" s="28" t="s">
        <v>3263</v>
      </c>
      <c r="O289" s="29" t="s">
        <v>2152</v>
      </c>
    </row>
    <row r="290" spans="2:15" ht="20.100000000000001" customHeight="1" x14ac:dyDescent="0.25">
      <c r="B290" s="7" t="s">
        <v>330</v>
      </c>
      <c r="C290" s="7" t="str">
        <f>IF(Entity[[#This Row],[Link]]="","",HYPERLINK(HTMLDokuPath&amp;Entity[[#This Row],[Link]],"Doku"))</f>
        <v>Doku</v>
      </c>
      <c r="D290" s="6">
        <v>22</v>
      </c>
      <c r="E290" s="20" t="str">
        <f>IFERROR(IF(VLOOKUP(Entity[ID-Modul],Modul[],3,FALSE)=0,VLOOKUP(Entity[ID-Modul],Modul[],2,FALSE),VLOOKUP(Entity[ID-Modul],Modul[],3,FALSE)),"unbekannt")</f>
        <v>IfcPresentationAppearanceResource</v>
      </c>
      <c r="F290" s="21" t="b">
        <v>1</v>
      </c>
      <c r="G290" s="21" t="b">
        <v>1</v>
      </c>
      <c r="H290" s="22" t="s">
        <v>1385</v>
      </c>
      <c r="I290" s="19">
        <f>LEN(Entity[[#This Row],[IFC-Name]])</f>
        <v>22</v>
      </c>
      <c r="J290" s="7" t="s">
        <v>330</v>
      </c>
      <c r="K290" s="19">
        <f>LEN(Entity[[#This Row],[Klassen-Name]])</f>
        <v>22</v>
      </c>
      <c r="L290" s="7"/>
      <c r="M290" s="19" t="b">
        <f>IF(NOT(Entity[[#This Row],[Supertype]]),TRUE,AND(Entity[[#This Row],[Supertype]],Entity[[#This Row],[Subtype]]))</f>
        <v>1</v>
      </c>
      <c r="N290" s="28" t="s">
        <v>3279</v>
      </c>
      <c r="O290" s="29" t="s">
        <v>2168</v>
      </c>
    </row>
    <row r="291" spans="2:15" ht="20.100000000000001" customHeight="1" x14ac:dyDescent="0.25">
      <c r="B291" s="7" t="s">
        <v>339</v>
      </c>
      <c r="C291" s="7" t="str">
        <f>IF(Entity[[#This Row],[Link]]="","",HYPERLINK(HTMLDokuPath&amp;Entity[[#This Row],[Link]],"Doku"))</f>
        <v>Doku</v>
      </c>
      <c r="D291" s="6">
        <v>22</v>
      </c>
      <c r="E291" s="20" t="str">
        <f>IFERROR(IF(VLOOKUP(Entity[ID-Modul],Modul[],3,FALSE)=0,VLOOKUP(Entity[ID-Modul],Modul[],2,FALSE),VLOOKUP(Entity[ID-Modul],Modul[],3,FALSE)),"unbekannt")</f>
        <v>IfcPresentationAppearanceResource</v>
      </c>
      <c r="F291" s="21" t="b">
        <v>0</v>
      </c>
      <c r="G291" s="21" t="b">
        <v>1</v>
      </c>
      <c r="H291" s="22" t="s">
        <v>1390</v>
      </c>
      <c r="I291" s="19">
        <f>LEN(Entity[[#This Row],[IFC-Name]])</f>
        <v>20</v>
      </c>
      <c r="J291" s="7" t="s">
        <v>2859</v>
      </c>
      <c r="K291" s="19">
        <f>LEN(Entity[[#This Row],[Klassen-Name]])</f>
        <v>0</v>
      </c>
      <c r="L291" s="7"/>
      <c r="M291" s="19" t="b">
        <f>IF(NOT(Entity[[#This Row],[Supertype]]),TRUE,AND(Entity[[#This Row],[Supertype]],Entity[[#This Row],[Subtype]]))</f>
        <v>0</v>
      </c>
      <c r="N291" s="28" t="s">
        <v>3288</v>
      </c>
      <c r="O291" s="29" t="s">
        <v>2177</v>
      </c>
    </row>
    <row r="292" spans="2:15" ht="20.100000000000001" customHeight="1" x14ac:dyDescent="0.25">
      <c r="B292" s="7" t="s">
        <v>636</v>
      </c>
      <c r="C292" s="7" t="str">
        <f>IF(Entity[[#This Row],[Link]]="","",HYPERLINK(HTMLDokuPath&amp;Entity[[#This Row],[Link]],"Doku"))</f>
        <v>Doku</v>
      </c>
      <c r="D292" s="6">
        <v>22</v>
      </c>
      <c r="E292" s="20" t="str">
        <f>IFERROR(IF(VLOOKUP(Entity[ID-Modul],Modul[],3,FALSE)=0,VLOOKUP(Entity[ID-Modul],Modul[],2,FALSE),VLOOKUP(Entity[ID-Modul],Modul[],3,FALSE)),"unbekannt")</f>
        <v>IfcPresentationAppearanceResource</v>
      </c>
      <c r="F292" s="21" t="b">
        <v>0</v>
      </c>
      <c r="G292" s="21" t="b">
        <v>0</v>
      </c>
      <c r="H292" s="22" t="s">
        <v>943</v>
      </c>
      <c r="I292" s="19">
        <f>LEN(Entity[[#This Row],[IFC-Name]])</f>
        <v>30</v>
      </c>
      <c r="J292" s="7" t="s">
        <v>636</v>
      </c>
      <c r="K292" s="19">
        <f>LEN(Entity[[#This Row],[Klassen-Name]])</f>
        <v>30</v>
      </c>
      <c r="L292" s="7"/>
      <c r="M292" s="19" t="b">
        <f>IF(NOT(Entity[[#This Row],[Supertype]]),TRUE,AND(Entity[[#This Row],[Supertype]],Entity[[#This Row],[Subtype]]))</f>
        <v>1</v>
      </c>
      <c r="N292" s="28" t="s">
        <v>3289</v>
      </c>
      <c r="O292" s="29" t="s">
        <v>2178</v>
      </c>
    </row>
    <row r="293" spans="2:15" ht="20.100000000000001" customHeight="1" x14ac:dyDescent="0.25">
      <c r="B293" s="7" t="s">
        <v>516</v>
      </c>
      <c r="C293" s="7" t="str">
        <f>IF(Entity[[#This Row],[Link]]="","",HYPERLINK(HTMLDokuPath&amp;Entity[[#This Row],[Link]],"Doku"))</f>
        <v>Doku</v>
      </c>
      <c r="D293" s="6">
        <v>22</v>
      </c>
      <c r="E293" s="20" t="str">
        <f>IFERROR(IF(VLOOKUP(Entity[ID-Modul],Modul[],3,FALSE)=0,VLOOKUP(Entity[ID-Modul],Modul[],2,FALSE),VLOOKUP(Entity[ID-Modul],Modul[],3,FALSE)),"unbekannt")</f>
        <v>IfcPresentationAppearanceResource</v>
      </c>
      <c r="F293" s="21" t="b">
        <v>1</v>
      </c>
      <c r="G293" s="21" t="b">
        <v>1</v>
      </c>
      <c r="H293" s="22" t="s">
        <v>1439</v>
      </c>
      <c r="I293" s="19">
        <f>LEN(Entity[[#This Row],[IFC-Name]])</f>
        <v>13</v>
      </c>
      <c r="J293" s="7" t="s">
        <v>516</v>
      </c>
      <c r="K293" s="19">
        <f>LEN(Entity[[#This Row],[Klassen-Name]])</f>
        <v>13</v>
      </c>
      <c r="L293" s="7"/>
      <c r="M293" s="19" t="b">
        <f>IF(NOT(Entity[[#This Row],[Supertype]]),TRUE,AND(Entity[[#This Row],[Supertype]],Entity[[#This Row],[Subtype]]))</f>
        <v>1</v>
      </c>
      <c r="N293" s="28" t="s">
        <v>3475</v>
      </c>
      <c r="O293" s="29" t="s">
        <v>2365</v>
      </c>
    </row>
    <row r="294" spans="2:15" ht="20.100000000000001" customHeight="1" x14ac:dyDescent="0.25">
      <c r="B294" s="7" t="s">
        <v>524</v>
      </c>
      <c r="C294" s="7" t="str">
        <f>IF(Entity[[#This Row],[Link]]="","",HYPERLINK(HTMLDokuPath&amp;Entity[[#This Row],[Link]],"Doku"))</f>
        <v>Doku</v>
      </c>
      <c r="D294" s="6">
        <v>22</v>
      </c>
      <c r="E294" s="20" t="str">
        <f>IFERROR(IF(VLOOKUP(Entity[ID-Modul],Modul[],3,FALSE)=0,VLOOKUP(Entity[ID-Modul],Modul[],2,FALSE),VLOOKUP(Entity[ID-Modul],Modul[],3,FALSE)),"unbekannt")</f>
        <v>IfcPresentationAppearanceResource</v>
      </c>
      <c r="F294" s="21" t="b">
        <v>1</v>
      </c>
      <c r="G294" s="21" t="b">
        <v>0</v>
      </c>
      <c r="H294" s="22" t="s">
        <v>1088</v>
      </c>
      <c r="I294" s="19">
        <f>LEN(Entity[[#This Row],[IFC-Name]])</f>
        <v>15</v>
      </c>
      <c r="J294" s="7" t="s">
        <v>524</v>
      </c>
      <c r="K294" s="19">
        <f>LEN(Entity[[#This Row],[Klassen-Name]])</f>
        <v>15</v>
      </c>
      <c r="L294" s="7"/>
      <c r="M294" s="19" t="b">
        <f>IF(NOT(Entity[[#This Row],[Supertype]]),TRUE,AND(Entity[[#This Row],[Supertype]],Entity[[#This Row],[Subtype]]))</f>
        <v>1</v>
      </c>
      <c r="N294" s="28" t="s">
        <v>3484</v>
      </c>
      <c r="O294" s="29" t="s">
        <v>2373</v>
      </c>
    </row>
    <row r="295" spans="2:15" ht="20.100000000000001" customHeight="1" x14ac:dyDescent="0.25">
      <c r="B295" s="7" t="s">
        <v>647</v>
      </c>
      <c r="C295" s="7" t="str">
        <f>IF(Entity[[#This Row],[Link]]="","",HYPERLINK(HTMLDokuPath&amp;Entity[[#This Row],[Link]],"Doku"))</f>
        <v>Doku</v>
      </c>
      <c r="D295" s="6">
        <v>22</v>
      </c>
      <c r="E295" s="20" t="str">
        <f>IFERROR(IF(VLOOKUP(Entity[ID-Modul],Modul[],3,FALSE)=0,VLOOKUP(Entity[ID-Modul],Modul[],2,FALSE),VLOOKUP(Entity[ID-Modul],Modul[],3,FALSE)),"unbekannt")</f>
        <v>IfcPresentationAppearanceResource</v>
      </c>
      <c r="F295" s="21" t="b">
        <v>0</v>
      </c>
      <c r="G295" s="21" t="b">
        <v>0</v>
      </c>
      <c r="H295" s="22" t="s">
        <v>1089</v>
      </c>
      <c r="I295" s="19">
        <f>LEN(Entity[[#This Row],[IFC-Name]])</f>
        <v>23</v>
      </c>
      <c r="J295" s="7" t="s">
        <v>647</v>
      </c>
      <c r="K295" s="19">
        <f>LEN(Entity[[#This Row],[Klassen-Name]])</f>
        <v>23</v>
      </c>
      <c r="L295" s="7"/>
      <c r="M295" s="19" t="b">
        <f>IF(NOT(Entity[[#This Row],[Supertype]]),TRUE,AND(Entity[[#This Row],[Supertype]],Entity[[#This Row],[Subtype]]))</f>
        <v>1</v>
      </c>
      <c r="N295" s="28" t="s">
        <v>3485</v>
      </c>
      <c r="O295" s="29" t="s">
        <v>2374</v>
      </c>
    </row>
    <row r="296" spans="2:15" ht="20.100000000000001" customHeight="1" x14ac:dyDescent="0.25">
      <c r="B296" s="7" t="s">
        <v>648</v>
      </c>
      <c r="C296" s="7" t="str">
        <f>IF(Entity[[#This Row],[Link]]="","",HYPERLINK(HTMLDokuPath&amp;Entity[[#This Row],[Link]],"Doku"))</f>
        <v>Doku</v>
      </c>
      <c r="D296" s="6">
        <v>22</v>
      </c>
      <c r="E296" s="20" t="str">
        <f>IFERROR(IF(VLOOKUP(Entity[ID-Modul],Modul[],3,FALSE)=0,VLOOKUP(Entity[ID-Modul],Modul[],2,FALSE),VLOOKUP(Entity[ID-Modul],Modul[],3,FALSE)),"unbekannt")</f>
        <v>IfcPresentationAppearanceResource</v>
      </c>
      <c r="F296" s="21" t="b">
        <v>0</v>
      </c>
      <c r="G296" s="21" t="b">
        <v>0</v>
      </c>
      <c r="H296" s="22" t="s">
        <v>1090</v>
      </c>
      <c r="I296" s="19">
        <f>LEN(Entity[[#This Row],[IFC-Name]])</f>
        <v>25</v>
      </c>
      <c r="J296" s="7" t="s">
        <v>648</v>
      </c>
      <c r="K296" s="19">
        <f>LEN(Entity[[#This Row],[Klassen-Name]])</f>
        <v>25</v>
      </c>
      <c r="L296" s="7"/>
      <c r="M296" s="19" t="b">
        <f>IF(NOT(Entity[[#This Row],[Supertype]]),TRUE,AND(Entity[[#This Row],[Supertype]],Entity[[#This Row],[Subtype]]))</f>
        <v>1</v>
      </c>
      <c r="N296" s="28" t="s">
        <v>3486</v>
      </c>
      <c r="O296" s="29" t="s">
        <v>2375</v>
      </c>
    </row>
    <row r="297" spans="2:15" ht="20.100000000000001" customHeight="1" x14ac:dyDescent="0.25">
      <c r="B297" s="7" t="s">
        <v>525</v>
      </c>
      <c r="C297" s="7" t="str">
        <f>IF(Entity[[#This Row],[Link]]="","",HYPERLINK(HTMLDokuPath&amp;Entity[[#This Row],[Link]],"Doku"))</f>
        <v>Doku</v>
      </c>
      <c r="D297" s="6">
        <v>22</v>
      </c>
      <c r="E297" s="20" t="str">
        <f>IFERROR(IF(VLOOKUP(Entity[ID-Modul],Modul[],3,FALSE)=0,VLOOKUP(Entity[ID-Modul],Modul[],2,FALSE),VLOOKUP(Entity[ID-Modul],Modul[],3,FALSE)),"unbekannt")</f>
        <v>IfcPresentationAppearanceResource</v>
      </c>
      <c r="F297" s="21" t="b">
        <v>1</v>
      </c>
      <c r="G297" s="21" t="b">
        <v>0</v>
      </c>
      <c r="H297" s="22" t="s">
        <v>1091</v>
      </c>
      <c r="I297" s="19">
        <f>LEN(Entity[[#This Row],[IFC-Name]])</f>
        <v>24</v>
      </c>
      <c r="J297" s="7" t="s">
        <v>525</v>
      </c>
      <c r="K297" s="19">
        <f>LEN(Entity[[#This Row],[Klassen-Name]])</f>
        <v>24</v>
      </c>
      <c r="L297" s="7"/>
      <c r="M297" s="19" t="b">
        <f>IF(NOT(Entity[[#This Row],[Supertype]]),TRUE,AND(Entity[[#This Row],[Supertype]],Entity[[#This Row],[Subtype]]))</f>
        <v>1</v>
      </c>
      <c r="N297" s="28" t="s">
        <v>3487</v>
      </c>
      <c r="O297" s="29" t="s">
        <v>2376</v>
      </c>
    </row>
    <row r="298" spans="2:15" ht="20.100000000000001" customHeight="1" x14ac:dyDescent="0.25">
      <c r="B298" s="7" t="s">
        <v>526</v>
      </c>
      <c r="C298" s="7" t="str">
        <f>IF(Entity[[#This Row],[Link]]="","",HYPERLINK(HTMLDokuPath&amp;Entity[[#This Row],[Link]],"Doku"))</f>
        <v>Doku</v>
      </c>
      <c r="D298" s="6">
        <v>22</v>
      </c>
      <c r="E298" s="20" t="str">
        <f>IFERROR(IF(VLOOKUP(Entity[ID-Modul],Modul[],3,FALSE)=0,VLOOKUP(Entity[ID-Modul],Modul[],2,FALSE),VLOOKUP(Entity[ID-Modul],Modul[],3,FALSE)),"unbekannt")</f>
        <v>IfcPresentationAppearanceResource</v>
      </c>
      <c r="F298" s="21" t="b">
        <v>0</v>
      </c>
      <c r="G298" s="21" t="b">
        <v>1</v>
      </c>
      <c r="H298" s="22" t="s">
        <v>1441</v>
      </c>
      <c r="I298" s="19">
        <f>LEN(Entity[[#This Row],[IFC-Name]])</f>
        <v>22</v>
      </c>
      <c r="J298" s="7" t="s">
        <v>2859</v>
      </c>
      <c r="K298" s="19">
        <f>LEN(Entity[[#This Row],[Klassen-Name]])</f>
        <v>0</v>
      </c>
      <c r="L298" s="7"/>
      <c r="M298" s="19" t="b">
        <f>IF(NOT(Entity[[#This Row],[Supertype]]),TRUE,AND(Entity[[#This Row],[Supertype]],Entity[[#This Row],[Subtype]]))</f>
        <v>0</v>
      </c>
      <c r="N298" s="28" t="s">
        <v>3488</v>
      </c>
      <c r="O298" s="29" t="s">
        <v>2377</v>
      </c>
    </row>
    <row r="299" spans="2:15" ht="20.100000000000001" customHeight="1" x14ac:dyDescent="0.25">
      <c r="B299" s="7" t="s">
        <v>649</v>
      </c>
      <c r="C299" s="7" t="str">
        <f>IF(Entity[[#This Row],[Link]]="","",HYPERLINK(HTMLDokuPath&amp;Entity[[#This Row],[Link]],"Doku"))</f>
        <v>Doku</v>
      </c>
      <c r="D299" s="6">
        <v>22</v>
      </c>
      <c r="E299" s="20" t="str">
        <f>IFERROR(IF(VLOOKUP(Entity[ID-Modul],Modul[],3,FALSE)=0,VLOOKUP(Entity[ID-Modul],Modul[],2,FALSE),VLOOKUP(Entity[ID-Modul],Modul[],3,FALSE)),"unbekannt")</f>
        <v>IfcPresentationAppearanceResource</v>
      </c>
      <c r="F299" s="21" t="b">
        <v>0</v>
      </c>
      <c r="G299" s="21" t="b">
        <v>0</v>
      </c>
      <c r="H299" s="22" t="s">
        <v>1092</v>
      </c>
      <c r="I299" s="19">
        <f>LEN(Entity[[#This Row],[IFC-Name]])</f>
        <v>27</v>
      </c>
      <c r="J299" s="7" t="s">
        <v>649</v>
      </c>
      <c r="K299" s="19">
        <f>LEN(Entity[[#This Row],[Klassen-Name]])</f>
        <v>27</v>
      </c>
      <c r="L299" s="7"/>
      <c r="M299" s="19" t="b">
        <f>IF(NOT(Entity[[#This Row],[Supertype]]),TRUE,AND(Entity[[#This Row],[Supertype]],Entity[[#This Row],[Subtype]]))</f>
        <v>1</v>
      </c>
      <c r="N299" s="28" t="s">
        <v>3489</v>
      </c>
      <c r="O299" s="29" t="s">
        <v>2378</v>
      </c>
    </row>
    <row r="300" spans="2:15" ht="20.100000000000001" customHeight="1" x14ac:dyDescent="0.25">
      <c r="B300" s="7" t="s">
        <v>527</v>
      </c>
      <c r="C300" s="7" t="str">
        <f>IF(Entity[[#This Row],[Link]]="","",HYPERLINK(HTMLDokuPath&amp;Entity[[#This Row],[Link]],"Doku"))</f>
        <v>Doku</v>
      </c>
      <c r="D300" s="6">
        <v>22</v>
      </c>
      <c r="E300" s="20" t="str">
        <f>IFERROR(IF(VLOOKUP(Entity[ID-Modul],Modul[],3,FALSE)=0,VLOOKUP(Entity[ID-Modul],Modul[],2,FALSE),VLOOKUP(Entity[ID-Modul],Modul[],3,FALSE)),"unbekannt")</f>
        <v>IfcPresentationAppearanceResource</v>
      </c>
      <c r="F300" s="21" t="b">
        <v>0</v>
      </c>
      <c r="G300" s="21" t="b">
        <v>1</v>
      </c>
      <c r="H300" s="22" t="s">
        <v>1442</v>
      </c>
      <c r="I300" s="19">
        <f>LEN(Entity[[#This Row],[IFC-Name]])</f>
        <v>17</v>
      </c>
      <c r="J300" s="7" t="s">
        <v>2859</v>
      </c>
      <c r="K300" s="19">
        <f>LEN(Entity[[#This Row],[Klassen-Name]])</f>
        <v>0</v>
      </c>
      <c r="L300" s="7"/>
      <c r="M300" s="19" t="b">
        <f>IF(NOT(Entity[[#This Row],[Supertype]]),TRUE,AND(Entity[[#This Row],[Supertype]],Entity[[#This Row],[Subtype]]))</f>
        <v>0</v>
      </c>
      <c r="N300" s="28" t="s">
        <v>3490</v>
      </c>
      <c r="O300" s="29" t="s">
        <v>2379</v>
      </c>
    </row>
    <row r="301" spans="2:15" ht="20.100000000000001" customHeight="1" x14ac:dyDescent="0.25">
      <c r="B301" s="7" t="s">
        <v>532</v>
      </c>
      <c r="C301" s="7" t="str">
        <f>IF(Entity[[#This Row],[Link]]="","",HYPERLINK(HTMLDokuPath&amp;Entity[[#This Row],[Link]],"Doku"))</f>
        <v>Doku</v>
      </c>
      <c r="D301" s="6">
        <v>22</v>
      </c>
      <c r="E301" s="20" t="str">
        <f>IFERROR(IF(VLOOKUP(Entity[ID-Modul],Modul[],3,FALSE)=0,VLOOKUP(Entity[ID-Modul],Modul[],2,FALSE),VLOOKUP(Entity[ID-Modul],Modul[],3,FALSE)),"unbekannt")</f>
        <v>IfcPresentationAppearanceResource</v>
      </c>
      <c r="F301" s="21" t="b">
        <v>1</v>
      </c>
      <c r="G301" s="21" t="b">
        <v>0</v>
      </c>
      <c r="H301" s="22" t="s">
        <v>1095</v>
      </c>
      <c r="I301" s="19">
        <f>LEN(Entity[[#This Row],[IFC-Name]])</f>
        <v>14</v>
      </c>
      <c r="J301" s="7" t="s">
        <v>532</v>
      </c>
      <c r="K301" s="19">
        <f>LEN(Entity[[#This Row],[Klassen-Name]])</f>
        <v>14</v>
      </c>
      <c r="L301" s="7"/>
      <c r="M301" s="19" t="b">
        <f>IF(NOT(Entity[[#This Row],[Supertype]]),TRUE,AND(Entity[[#This Row],[Supertype]],Entity[[#This Row],[Subtype]]))</f>
        <v>1</v>
      </c>
      <c r="N301" s="28" t="s">
        <v>3495</v>
      </c>
      <c r="O301" s="29" t="s">
        <v>2384</v>
      </c>
    </row>
    <row r="302" spans="2:15" ht="20.100000000000001" customHeight="1" x14ac:dyDescent="0.25">
      <c r="B302" s="7" t="s">
        <v>544</v>
      </c>
      <c r="C302" s="7" t="str">
        <f>IF(Entity[[#This Row],[Link]]="","",HYPERLINK(HTMLDokuPath&amp;Entity[[#This Row],[Link]],"Doku"))</f>
        <v>Doku</v>
      </c>
      <c r="D302" s="6">
        <v>22</v>
      </c>
      <c r="E302" s="20" t="str">
        <f>IFERROR(IF(VLOOKUP(Entity[ID-Modul],Modul[],3,FALSE)=0,VLOOKUP(Entity[ID-Modul],Modul[],2,FALSE),VLOOKUP(Entity[ID-Modul],Modul[],3,FALSE)),"unbekannt")</f>
        <v>IfcPresentationAppearanceResource</v>
      </c>
      <c r="F302" s="21" t="b">
        <v>1</v>
      </c>
      <c r="G302" s="21" t="b">
        <v>0</v>
      </c>
      <c r="H302" s="22" t="s">
        <v>1105</v>
      </c>
      <c r="I302" s="19">
        <f>LEN(Entity[[#This Row],[IFC-Name]])</f>
        <v>12</v>
      </c>
      <c r="J302" s="7" t="s">
        <v>544</v>
      </c>
      <c r="K302" s="19">
        <f>LEN(Entity[[#This Row],[Klassen-Name]])</f>
        <v>12</v>
      </c>
      <c r="L302" s="7"/>
      <c r="M302" s="19" t="b">
        <f>IF(NOT(Entity[[#This Row],[Supertype]]),TRUE,AND(Entity[[#This Row],[Supertype]],Entity[[#This Row],[Subtype]]))</f>
        <v>1</v>
      </c>
      <c r="N302" s="28" t="s">
        <v>3508</v>
      </c>
      <c r="O302" s="29" t="s">
        <v>2398</v>
      </c>
    </row>
    <row r="303" spans="2:15" ht="20.100000000000001" customHeight="1" x14ac:dyDescent="0.25">
      <c r="B303" s="7" t="s">
        <v>652</v>
      </c>
      <c r="C303" s="7" t="str">
        <f>IF(Entity[[#This Row],[Link]]="","",HYPERLINK(HTMLDokuPath&amp;Entity[[#This Row],[Link]],"Doku"))</f>
        <v>Doku</v>
      </c>
      <c r="D303" s="6">
        <v>22</v>
      </c>
      <c r="E303" s="20" t="str">
        <f>IFERROR(IF(VLOOKUP(Entity[ID-Modul],Modul[],3,FALSE)=0,VLOOKUP(Entity[ID-Modul],Modul[],2,FALSE),VLOOKUP(Entity[ID-Modul],Modul[],3,FALSE)),"unbekannt")</f>
        <v>IfcPresentationAppearanceResource</v>
      </c>
      <c r="F303" s="21" t="b">
        <v>0</v>
      </c>
      <c r="G303" s="21" t="b">
        <v>0</v>
      </c>
      <c r="H303" s="22" t="s">
        <v>1107</v>
      </c>
      <c r="I303" s="19">
        <f>LEN(Entity[[#This Row],[IFC-Name]])</f>
        <v>26</v>
      </c>
      <c r="J303" s="7" t="s">
        <v>652</v>
      </c>
      <c r="K303" s="19">
        <f>LEN(Entity[[#This Row],[Klassen-Name]])</f>
        <v>26</v>
      </c>
      <c r="L303" s="7"/>
      <c r="M303" s="19" t="b">
        <f>IF(NOT(Entity[[#This Row],[Supertype]]),TRUE,AND(Entity[[#This Row],[Supertype]],Entity[[#This Row],[Subtype]]))</f>
        <v>1</v>
      </c>
      <c r="N303" s="28" t="s">
        <v>3510</v>
      </c>
      <c r="O303" s="29" t="s">
        <v>2400</v>
      </c>
    </row>
    <row r="304" spans="2:15" ht="20.100000000000001" customHeight="1" x14ac:dyDescent="0.25">
      <c r="B304" s="7" t="s">
        <v>653</v>
      </c>
      <c r="C304" s="7" t="str">
        <f>IF(Entity[[#This Row],[Link]]="","",HYPERLINK(HTMLDokuPath&amp;Entity[[#This Row],[Link]],"Doku"))</f>
        <v>Doku</v>
      </c>
      <c r="D304" s="6">
        <v>22</v>
      </c>
      <c r="E304" s="20" t="str">
        <f>IFERROR(IF(VLOOKUP(Entity[ID-Modul],Modul[],3,FALSE)=0,VLOOKUP(Entity[ID-Modul],Modul[],2,FALSE),VLOOKUP(Entity[ID-Modul],Modul[],3,FALSE)),"unbekannt")</f>
        <v>IfcPresentationAppearanceResource</v>
      </c>
      <c r="F304" s="21" t="b">
        <v>0</v>
      </c>
      <c r="G304" s="21" t="b">
        <v>0</v>
      </c>
      <c r="H304" s="22" t="s">
        <v>1108</v>
      </c>
      <c r="I304" s="19">
        <f>LEN(Entity[[#This Row],[IFC-Name]])</f>
        <v>21</v>
      </c>
      <c r="J304" s="7" t="s">
        <v>653</v>
      </c>
      <c r="K304" s="19">
        <f>LEN(Entity[[#This Row],[Klassen-Name]])</f>
        <v>21</v>
      </c>
      <c r="L304" s="7"/>
      <c r="M304" s="19" t="b">
        <f>IF(NOT(Entity[[#This Row],[Supertype]]),TRUE,AND(Entity[[#This Row],[Supertype]],Entity[[#This Row],[Subtype]]))</f>
        <v>1</v>
      </c>
      <c r="N304" s="28" t="s">
        <v>3511</v>
      </c>
      <c r="O304" s="29" t="s">
        <v>2401</v>
      </c>
    </row>
    <row r="305" spans="2:15" ht="20.100000000000001" customHeight="1" x14ac:dyDescent="0.25">
      <c r="B305" s="7" t="s">
        <v>654</v>
      </c>
      <c r="C305" s="7" t="str">
        <f>IF(Entity[[#This Row],[Link]]="","",HYPERLINK(HTMLDokuPath&amp;Entity[[#This Row],[Link]],"Doku"))</f>
        <v>Doku</v>
      </c>
      <c r="D305" s="6">
        <v>22</v>
      </c>
      <c r="E305" s="20" t="str">
        <f>IFERROR(IF(VLOOKUP(Entity[ID-Modul],Modul[],3,FALSE)=0,VLOOKUP(Entity[ID-Modul],Modul[],2,FALSE),VLOOKUP(Entity[ID-Modul],Modul[],3,FALSE)),"unbekannt")</f>
        <v>IfcPresentationAppearanceResource</v>
      </c>
      <c r="F305" s="21" t="b">
        <v>0</v>
      </c>
      <c r="G305" s="21" t="b">
        <v>0</v>
      </c>
      <c r="H305" s="22" t="s">
        <v>1109</v>
      </c>
      <c r="I305" s="19">
        <f>LEN(Entity[[#This Row],[IFC-Name]])</f>
        <v>34</v>
      </c>
      <c r="J305" s="1" t="s">
        <v>2882</v>
      </c>
      <c r="K305" s="19">
        <f>LEN(Entity[[#This Row],[Klassen-Name]])</f>
        <v>28</v>
      </c>
      <c r="L305" s="7"/>
      <c r="M305" s="19" t="b">
        <f>IF(NOT(Entity[[#This Row],[Supertype]]),TRUE,AND(Entity[[#This Row],[Supertype]],Entity[[#This Row],[Subtype]]))</f>
        <v>1</v>
      </c>
      <c r="N305" s="28" t="s">
        <v>3512</v>
      </c>
      <c r="O305" s="29" t="s">
        <v>2402</v>
      </c>
    </row>
    <row r="306" spans="2:15" ht="20.100000000000001" customHeight="1" x14ac:dyDescent="0.25">
      <c r="B306" s="7" t="s">
        <v>560</v>
      </c>
      <c r="C306" s="7" t="str">
        <f>IF(Entity[[#This Row],[Link]]="","",HYPERLINK(HTMLDokuPath&amp;Entity[[#This Row],[Link]],"Doku"))</f>
        <v>Doku</v>
      </c>
      <c r="D306" s="6">
        <v>22</v>
      </c>
      <c r="E306" s="20" t="str">
        <f>IFERROR(IF(VLOOKUP(Entity[ID-Modul],Modul[],3,FALSE)=0,VLOOKUP(Entity[ID-Modul],Modul[],2,FALSE),VLOOKUP(Entity[ID-Modul],Modul[],3,FALSE)),"unbekannt")</f>
        <v>IfcPresentationAppearanceResource</v>
      </c>
      <c r="F306" s="21" t="b">
        <v>1</v>
      </c>
      <c r="G306" s="21" t="b">
        <v>0</v>
      </c>
      <c r="H306" s="22" t="s">
        <v>1124</v>
      </c>
      <c r="I306" s="19">
        <f>LEN(Entity[[#This Row],[IFC-Name]])</f>
        <v>27</v>
      </c>
      <c r="J306" s="7" t="s">
        <v>560</v>
      </c>
      <c r="K306" s="19">
        <f>LEN(Entity[[#This Row],[Klassen-Name]])</f>
        <v>27</v>
      </c>
      <c r="L306" s="7"/>
      <c r="M306" s="19" t="b">
        <f>IF(NOT(Entity[[#This Row],[Supertype]]),TRUE,AND(Entity[[#This Row],[Supertype]],Entity[[#This Row],[Subtype]]))</f>
        <v>1</v>
      </c>
      <c r="N306" s="28" t="s">
        <v>3531</v>
      </c>
      <c r="O306" s="29" t="s">
        <v>2420</v>
      </c>
    </row>
    <row r="307" spans="2:15" ht="20.100000000000001" customHeight="1" x14ac:dyDescent="0.25">
      <c r="B307" s="7" t="s">
        <v>16</v>
      </c>
      <c r="C307" s="7" t="str">
        <f>IF(Entity[[#This Row],[Link]]="","",HYPERLINK(HTMLDokuPath&amp;Entity[[#This Row],[Link]],"Doku"))</f>
        <v>Doku</v>
      </c>
      <c r="D307" s="6">
        <v>23</v>
      </c>
      <c r="E307" s="20" t="str">
        <f>IFERROR(IF(VLOOKUP(Entity[ID-Modul],Modul[],3,FALSE)=0,VLOOKUP(Entity[ID-Modul],Modul[],2,FALSE),VLOOKUP(Entity[ID-Modul],Modul[],3,FALSE)),"unbekannt")</f>
        <v>IfcPresentationDefinitionResource</v>
      </c>
      <c r="F307" s="21" t="b">
        <v>1</v>
      </c>
      <c r="G307" s="21" t="b">
        <v>1</v>
      </c>
      <c r="H307" s="22" t="s">
        <v>1293</v>
      </c>
      <c r="I307" s="19">
        <f>LEN(Entity[[#This Row],[IFC-Name]])</f>
        <v>28</v>
      </c>
      <c r="J307" s="7" t="s">
        <v>16</v>
      </c>
      <c r="K307" s="19">
        <f>LEN(Entity[[#This Row],[Klassen-Name]])</f>
        <v>28</v>
      </c>
      <c r="L307" s="7"/>
      <c r="M307" s="19" t="b">
        <f>IF(NOT(Entity[[#This Row],[Supertype]]),TRUE,AND(Entity[[#This Row],[Supertype]],Entity[[#This Row],[Subtype]]))</f>
        <v>1</v>
      </c>
      <c r="N307" s="28" t="s">
        <v>2919</v>
      </c>
      <c r="O307" s="29" t="s">
        <v>1808</v>
      </c>
    </row>
    <row r="308" spans="2:15" ht="20.100000000000001" customHeight="1" x14ac:dyDescent="0.25">
      <c r="B308" s="7" t="s">
        <v>17</v>
      </c>
      <c r="C308" s="7" t="str">
        <f>IF(Entity[[#This Row],[Link]]="","",HYPERLINK(HTMLDokuPath&amp;Entity[[#This Row],[Link]],"Doku"))</f>
        <v>Doku</v>
      </c>
      <c r="D308" s="6">
        <v>23</v>
      </c>
      <c r="E308" s="20" t="str">
        <f>IFERROR(IF(VLOOKUP(Entity[ID-Modul],Modul[],3,FALSE)=0,VLOOKUP(Entity[ID-Modul],Modul[],2,FALSE),VLOOKUP(Entity[ID-Modul],Modul[],3,FALSE)),"unbekannt")</f>
        <v>IfcPresentationDefinitionResource</v>
      </c>
      <c r="F308" s="21" t="b">
        <v>1</v>
      </c>
      <c r="G308" s="21" t="b">
        <v>0</v>
      </c>
      <c r="H308" s="22" t="s">
        <v>671</v>
      </c>
      <c r="I308" s="19">
        <f>LEN(Entity[[#This Row],[IFC-Name]])</f>
        <v>21</v>
      </c>
      <c r="J308" s="7" t="s">
        <v>17</v>
      </c>
      <c r="K308" s="19">
        <f>LEN(Entity[[#This Row],[Klassen-Name]])</f>
        <v>21</v>
      </c>
      <c r="L308" s="7"/>
      <c r="M308" s="19" t="b">
        <f>IF(NOT(Entity[[#This Row],[Supertype]]),TRUE,AND(Entity[[#This Row],[Supertype]],Entity[[#This Row],[Subtype]]))</f>
        <v>1</v>
      </c>
      <c r="N308" s="28" t="s">
        <v>2920</v>
      </c>
      <c r="O308" s="29" t="s">
        <v>1809</v>
      </c>
    </row>
    <row r="309" spans="2:15" ht="20.100000000000001" customHeight="1" x14ac:dyDescent="0.25">
      <c r="B309" s="7" t="s">
        <v>18</v>
      </c>
      <c r="C309" s="7" t="str">
        <f>IF(Entity[[#This Row],[Link]]="","",HYPERLINK(HTMLDokuPath&amp;Entity[[#This Row],[Link]],"Doku"))</f>
        <v>Doku</v>
      </c>
      <c r="D309" s="6">
        <v>23</v>
      </c>
      <c r="E309" s="20" t="str">
        <f>IFERROR(IF(VLOOKUP(Entity[ID-Modul],Modul[],3,FALSE)=0,VLOOKUP(Entity[ID-Modul],Modul[],2,FALSE),VLOOKUP(Entity[ID-Modul],Modul[],3,FALSE)),"unbekannt")</f>
        <v>IfcPresentationDefinitionResource</v>
      </c>
      <c r="F309" s="21" t="b">
        <v>1</v>
      </c>
      <c r="G309" s="21" t="b">
        <v>0</v>
      </c>
      <c r="H309" s="22" t="s">
        <v>672</v>
      </c>
      <c r="I309" s="19">
        <f>LEN(Entity[[#This Row],[IFC-Name]])</f>
        <v>31</v>
      </c>
      <c r="J309" s="7" t="s">
        <v>18</v>
      </c>
      <c r="K309" s="19">
        <f>LEN(Entity[[#This Row],[Klassen-Name]])</f>
        <v>31</v>
      </c>
      <c r="L309" s="7"/>
      <c r="M309" s="19" t="b">
        <f>IF(NOT(Entity[[#This Row],[Supertype]]),TRUE,AND(Entity[[#This Row],[Supertype]],Entity[[#This Row],[Subtype]]))</f>
        <v>1</v>
      </c>
      <c r="N309" s="28" t="s">
        <v>2921</v>
      </c>
      <c r="O309" s="29" t="s">
        <v>1810</v>
      </c>
    </row>
    <row r="310" spans="2:15" ht="20.100000000000001" customHeight="1" x14ac:dyDescent="0.25">
      <c r="B310" s="7" t="s">
        <v>19</v>
      </c>
      <c r="C310" s="7" t="str">
        <f>IF(Entity[[#This Row],[Link]]="","",HYPERLINK(HTMLDokuPath&amp;Entity[[#This Row],[Link]],"Doku"))</f>
        <v>Doku</v>
      </c>
      <c r="D310" s="6">
        <v>23</v>
      </c>
      <c r="E310" s="20" t="str">
        <f>IFERROR(IF(VLOOKUP(Entity[ID-Modul],Modul[],3,FALSE)=0,VLOOKUP(Entity[ID-Modul],Modul[],2,FALSE),VLOOKUP(Entity[ID-Modul],Modul[],3,FALSE)),"unbekannt")</f>
        <v>IfcPresentationDefinitionResource</v>
      </c>
      <c r="F310" s="21" t="b">
        <v>1</v>
      </c>
      <c r="G310" s="21" t="b">
        <v>1</v>
      </c>
      <c r="H310" s="22" t="s">
        <v>1294</v>
      </c>
      <c r="I310" s="19">
        <f>LEN(Entity[[#This Row],[IFC-Name]])</f>
        <v>23</v>
      </c>
      <c r="J310" s="7" t="s">
        <v>19</v>
      </c>
      <c r="K310" s="19">
        <f>LEN(Entity[[#This Row],[Klassen-Name]])</f>
        <v>23</v>
      </c>
      <c r="L310" s="7"/>
      <c r="M310" s="19" t="b">
        <f>IF(NOT(Entity[[#This Row],[Supertype]]),TRUE,AND(Entity[[#This Row],[Supertype]],Entity[[#This Row],[Subtype]]))</f>
        <v>1</v>
      </c>
      <c r="N310" s="28" t="s">
        <v>2922</v>
      </c>
      <c r="O310" s="29" t="s">
        <v>1811</v>
      </c>
    </row>
    <row r="311" spans="2:15" ht="20.100000000000001" customHeight="1" x14ac:dyDescent="0.25">
      <c r="B311" s="7" t="s">
        <v>20</v>
      </c>
      <c r="C311" s="7" t="str">
        <f>IF(Entity[[#This Row],[Link]]="","",HYPERLINK(HTMLDokuPath&amp;Entity[[#This Row],[Link]],"Doku"))</f>
        <v>Doku</v>
      </c>
      <c r="D311" s="6">
        <v>23</v>
      </c>
      <c r="E311" s="20" t="str">
        <f>IFERROR(IF(VLOOKUP(Entity[ID-Modul],Modul[],3,FALSE)=0,VLOOKUP(Entity[ID-Modul],Modul[],2,FALSE),VLOOKUP(Entity[ID-Modul],Modul[],3,FALSE)),"unbekannt")</f>
        <v>IfcPresentationDefinitionResource</v>
      </c>
      <c r="F311" s="21" t="b">
        <v>1</v>
      </c>
      <c r="G311" s="21" t="b">
        <v>0</v>
      </c>
      <c r="H311" s="22" t="s">
        <v>673</v>
      </c>
      <c r="I311" s="19">
        <f>LEN(Entity[[#This Row],[IFC-Name]])</f>
        <v>20</v>
      </c>
      <c r="J311" s="7" t="s">
        <v>20</v>
      </c>
      <c r="K311" s="19">
        <f>LEN(Entity[[#This Row],[Klassen-Name]])</f>
        <v>20</v>
      </c>
      <c r="L311" s="7"/>
      <c r="M311" s="19" t="b">
        <f>IF(NOT(Entity[[#This Row],[Supertype]]),TRUE,AND(Entity[[#This Row],[Supertype]],Entity[[#This Row],[Subtype]]))</f>
        <v>1</v>
      </c>
      <c r="N311" s="28" t="s">
        <v>2923</v>
      </c>
      <c r="O311" s="29" t="s">
        <v>1812</v>
      </c>
    </row>
    <row r="312" spans="2:15" ht="20.100000000000001" customHeight="1" x14ac:dyDescent="0.25">
      <c r="B312" s="7" t="s">
        <v>21</v>
      </c>
      <c r="C312" s="7" t="str">
        <f>IF(Entity[[#This Row],[Link]]="","",HYPERLINK(HTMLDokuPath&amp;Entity[[#This Row],[Link]],"Doku"))</f>
        <v>Doku</v>
      </c>
      <c r="D312" s="6">
        <v>23</v>
      </c>
      <c r="E312" s="20" t="str">
        <f>IFERROR(IF(VLOOKUP(Entity[ID-Modul],Modul[],3,FALSE)=0,VLOOKUP(Entity[ID-Modul],Modul[],2,FALSE),VLOOKUP(Entity[ID-Modul],Modul[],3,FALSE)),"unbekannt")</f>
        <v>IfcPresentationDefinitionResource</v>
      </c>
      <c r="F312" s="21" t="b">
        <v>1</v>
      </c>
      <c r="G312" s="21" t="b">
        <v>0</v>
      </c>
      <c r="H312" s="22" t="s">
        <v>674</v>
      </c>
      <c r="I312" s="19">
        <f>LEN(Entity[[#This Row],[IFC-Name]])</f>
        <v>30</v>
      </c>
      <c r="J312" s="7" t="s">
        <v>21</v>
      </c>
      <c r="K312" s="19">
        <f>LEN(Entity[[#This Row],[Klassen-Name]])</f>
        <v>30</v>
      </c>
      <c r="L312" s="7"/>
      <c r="M312" s="19" t="b">
        <f>IF(NOT(Entity[[#This Row],[Supertype]]),TRUE,AND(Entity[[#This Row],[Supertype]],Entity[[#This Row],[Subtype]]))</f>
        <v>1</v>
      </c>
      <c r="N312" s="28" t="s">
        <v>2924</v>
      </c>
      <c r="O312" s="29" t="s">
        <v>1813</v>
      </c>
    </row>
    <row r="313" spans="2:15" ht="20.100000000000001" customHeight="1" x14ac:dyDescent="0.25">
      <c r="B313" s="7" t="s">
        <v>22</v>
      </c>
      <c r="C313" s="7" t="str">
        <f>IF(Entity[[#This Row],[Link]]="","",HYPERLINK(HTMLDokuPath&amp;Entity[[#This Row],[Link]],"Doku"))</f>
        <v>Doku</v>
      </c>
      <c r="D313" s="6">
        <v>23</v>
      </c>
      <c r="E313" s="20" t="str">
        <f>IFERROR(IF(VLOOKUP(Entity[ID-Modul],Modul[],3,FALSE)=0,VLOOKUP(Entity[ID-Modul],Modul[],2,FALSE),VLOOKUP(Entity[ID-Modul],Modul[],3,FALSE)),"unbekannt")</f>
        <v>IfcPresentationDefinitionResource</v>
      </c>
      <c r="F313" s="21" t="b">
        <v>1</v>
      </c>
      <c r="G313" s="21" t="b">
        <v>1</v>
      </c>
      <c r="H313" s="22" t="s">
        <v>1295</v>
      </c>
      <c r="I313" s="19">
        <f>LEN(Entity[[#This Row],[IFC-Name]])</f>
        <v>29</v>
      </c>
      <c r="J313" s="7" t="s">
        <v>22</v>
      </c>
      <c r="K313" s="19">
        <f>LEN(Entity[[#This Row],[Klassen-Name]])</f>
        <v>29</v>
      </c>
      <c r="L313" s="7"/>
      <c r="M313" s="19" t="b">
        <f>IF(NOT(Entity[[#This Row],[Supertype]]),TRUE,AND(Entity[[#This Row],[Supertype]],Entity[[#This Row],[Subtype]]))</f>
        <v>1</v>
      </c>
      <c r="N313" s="28" t="s">
        <v>2925</v>
      </c>
      <c r="O313" s="29" t="s">
        <v>1814</v>
      </c>
    </row>
    <row r="314" spans="2:15" ht="20.100000000000001" customHeight="1" x14ac:dyDescent="0.25">
      <c r="B314" s="7" t="s">
        <v>23</v>
      </c>
      <c r="C314" s="7" t="str">
        <f>IF(Entity[[#This Row],[Link]]="","",HYPERLINK(HTMLDokuPath&amp;Entity[[#This Row],[Link]],"Doku"))</f>
        <v>Doku</v>
      </c>
      <c r="D314" s="6">
        <v>23</v>
      </c>
      <c r="E314" s="20" t="str">
        <f>IFERROR(IF(VLOOKUP(Entity[ID-Modul],Modul[],3,FALSE)=0,VLOOKUP(Entity[ID-Modul],Modul[],2,FALSE),VLOOKUP(Entity[ID-Modul],Modul[],3,FALSE)),"unbekannt")</f>
        <v>IfcPresentationDefinitionResource</v>
      </c>
      <c r="F314" s="21" t="b">
        <v>1</v>
      </c>
      <c r="G314" s="21" t="b">
        <v>0</v>
      </c>
      <c r="H314" s="22" t="s">
        <v>675</v>
      </c>
      <c r="I314" s="19">
        <f>LEN(Entity[[#This Row],[IFC-Name]])</f>
        <v>27</v>
      </c>
      <c r="J314" s="7" t="s">
        <v>23</v>
      </c>
      <c r="K314" s="19">
        <f>LEN(Entity[[#This Row],[Klassen-Name]])</f>
        <v>27</v>
      </c>
      <c r="L314" s="7"/>
      <c r="M314" s="19" t="b">
        <f>IF(NOT(Entity[[#This Row],[Supertype]]),TRUE,AND(Entity[[#This Row],[Supertype]],Entity[[#This Row],[Subtype]]))</f>
        <v>1</v>
      </c>
      <c r="N314" s="28" t="s">
        <v>2926</v>
      </c>
      <c r="O314" s="29" t="s">
        <v>1815</v>
      </c>
    </row>
    <row r="315" spans="2:15" ht="20.100000000000001" customHeight="1" x14ac:dyDescent="0.25">
      <c r="B315" s="7" t="s">
        <v>125</v>
      </c>
      <c r="C315" s="7" t="str">
        <f>IF(Entity[[#This Row],[Link]]="","",HYPERLINK(HTMLDokuPath&amp;Entity[[#This Row],[Link]],"Doku"))</f>
        <v>Doku</v>
      </c>
      <c r="D315" s="6">
        <v>23</v>
      </c>
      <c r="E315" s="20" t="str">
        <f>IFERROR(IF(VLOOKUP(Entity[ID-Modul],Modul[],3,FALSE)=0,VLOOKUP(Entity[ID-Modul],Modul[],2,FALSE),VLOOKUP(Entity[ID-Modul],Modul[],3,FALSE)),"unbekannt")</f>
        <v>IfcPresentationDefinitionResource</v>
      </c>
      <c r="F315" s="21" t="b">
        <v>1</v>
      </c>
      <c r="G315" s="21" t="b">
        <v>0</v>
      </c>
      <c r="H315" s="22" t="s">
        <v>770</v>
      </c>
      <c r="I315" s="19">
        <f>LEN(Entity[[#This Row],[IFC-Name]])</f>
        <v>16</v>
      </c>
      <c r="J315" s="7" t="s">
        <v>125</v>
      </c>
      <c r="K315" s="19">
        <f>LEN(Entity[[#This Row],[Klassen-Name]])</f>
        <v>16</v>
      </c>
      <c r="L315" s="7"/>
      <c r="M315" s="19" t="b">
        <f>IF(NOT(Entity[[#This Row],[Supertype]]),TRUE,AND(Entity[[#This Row],[Supertype]],Entity[[#This Row],[Subtype]]))</f>
        <v>1</v>
      </c>
      <c r="N315" s="28" t="s">
        <v>3049</v>
      </c>
      <c r="O315" s="29" t="s">
        <v>1938</v>
      </c>
    </row>
    <row r="316" spans="2:15" ht="20.100000000000001" customHeight="1" x14ac:dyDescent="0.25">
      <c r="B316" s="7" t="s">
        <v>193</v>
      </c>
      <c r="C316" s="7" t="str">
        <f>IF(Entity[[#This Row],[Link]]="","",HYPERLINK(HTMLDokuPath&amp;Entity[[#This Row],[Link]],"Doku"))</f>
        <v>Doku</v>
      </c>
      <c r="D316" s="6">
        <v>23</v>
      </c>
      <c r="E316" s="20" t="str">
        <f>IFERROR(IF(VLOOKUP(Entity[ID-Modul],Modul[],3,FALSE)=0,VLOOKUP(Entity[ID-Modul],Modul[],2,FALSE),VLOOKUP(Entity[ID-Modul],Modul[],3,FALSE)),"unbekannt")</f>
        <v>IfcPresentationDefinitionResource</v>
      </c>
      <c r="F316" s="21" t="b">
        <v>1</v>
      </c>
      <c r="G316" s="21" t="b">
        <v>0</v>
      </c>
      <c r="H316" s="22" t="s">
        <v>825</v>
      </c>
      <c r="I316" s="19">
        <f>LEN(Entity[[#This Row],[IFC-Name]])</f>
        <v>26</v>
      </c>
      <c r="J316" s="7" t="s">
        <v>193</v>
      </c>
      <c r="K316" s="19">
        <f>LEN(Entity[[#This Row],[Klassen-Name]])</f>
        <v>26</v>
      </c>
      <c r="L316" s="7"/>
      <c r="M316" s="19" t="b">
        <f>IF(NOT(Entity[[#This Row],[Supertype]]),TRUE,AND(Entity[[#This Row],[Supertype]],Entity[[#This Row],[Subtype]]))</f>
        <v>1</v>
      </c>
      <c r="N316" s="28" t="s">
        <v>3122</v>
      </c>
      <c r="O316" s="29" t="s">
        <v>2012</v>
      </c>
    </row>
    <row r="317" spans="2:15" ht="20.100000000000001" customHeight="1" x14ac:dyDescent="0.25">
      <c r="B317" s="7" t="s">
        <v>334</v>
      </c>
      <c r="C317" s="7" t="str">
        <f>IF(Entity[[#This Row],[Link]]="","",HYPERLINK(HTMLDokuPath&amp;Entity[[#This Row],[Link]],"Doku"))</f>
        <v>Doku</v>
      </c>
      <c r="D317" s="6">
        <v>23</v>
      </c>
      <c r="E317" s="20" t="str">
        <f>IFERROR(IF(VLOOKUP(Entity[ID-Modul],Modul[],3,FALSE)=0,VLOOKUP(Entity[ID-Modul],Modul[],2,FALSE),VLOOKUP(Entity[ID-Modul],Modul[],3,FALSE)),"unbekannt")</f>
        <v>IfcPresentationDefinitionResource</v>
      </c>
      <c r="F317" s="21" t="b">
        <v>1</v>
      </c>
      <c r="G317" s="21" t="b">
        <v>1</v>
      </c>
      <c r="H317" s="22" t="s">
        <v>1387</v>
      </c>
      <c r="I317" s="19">
        <f>LEN(Entity[[#This Row],[IFC-Name]])</f>
        <v>19</v>
      </c>
      <c r="J317" s="7" t="s">
        <v>334</v>
      </c>
      <c r="K317" s="19">
        <f>LEN(Entity[[#This Row],[Klassen-Name]])</f>
        <v>19</v>
      </c>
      <c r="L317" s="7"/>
      <c r="M317" s="19" t="b">
        <f>IF(NOT(Entity[[#This Row],[Supertype]]),TRUE,AND(Entity[[#This Row],[Supertype]],Entity[[#This Row],[Subtype]]))</f>
        <v>1</v>
      </c>
      <c r="N317" s="28" t="s">
        <v>3283</v>
      </c>
      <c r="O317" s="29" t="s">
        <v>2172</v>
      </c>
    </row>
    <row r="318" spans="2:15" ht="20.100000000000001" customHeight="1" x14ac:dyDescent="0.25">
      <c r="B318" s="7" t="s">
        <v>542</v>
      </c>
      <c r="C318" s="7" t="str">
        <f>IF(Entity[[#This Row],[Link]]="","",HYPERLINK(HTMLDokuPath&amp;Entity[[#This Row],[Link]],"Doku"))</f>
        <v>Doku</v>
      </c>
      <c r="D318" s="6">
        <v>23</v>
      </c>
      <c r="E318" s="20" t="str">
        <f>IFERROR(IF(VLOOKUP(Entity[ID-Modul],Modul[],3,FALSE)=0,VLOOKUP(Entity[ID-Modul],Modul[],2,FALSE),VLOOKUP(Entity[ID-Modul],Modul[],3,FALSE)),"unbekannt")</f>
        <v>IfcPresentationDefinitionResource</v>
      </c>
      <c r="F318" s="21" t="b">
        <v>1</v>
      </c>
      <c r="G318" s="21" t="b">
        <v>1</v>
      </c>
      <c r="H318" s="22" t="s">
        <v>1448</v>
      </c>
      <c r="I318" s="19">
        <f>LEN(Entity[[#This Row],[IFC-Name]])</f>
        <v>14</v>
      </c>
      <c r="J318" s="7" t="s">
        <v>542</v>
      </c>
      <c r="K318" s="19">
        <f>LEN(Entity[[#This Row],[Klassen-Name]])</f>
        <v>14</v>
      </c>
      <c r="L318" s="7"/>
      <c r="M318" s="19" t="b">
        <f>IF(NOT(Entity[[#This Row],[Supertype]]),TRUE,AND(Entity[[#This Row],[Supertype]],Entity[[#This Row],[Subtype]]))</f>
        <v>1</v>
      </c>
      <c r="N318" s="28" t="s">
        <v>3506</v>
      </c>
      <c r="O318" s="29" t="s">
        <v>2396</v>
      </c>
    </row>
    <row r="319" spans="2:15" ht="20.100000000000001" customHeight="1" x14ac:dyDescent="0.25">
      <c r="B319" s="7" t="s">
        <v>543</v>
      </c>
      <c r="C319" s="7" t="str">
        <f>IF(Entity[[#This Row],[Link]]="","",HYPERLINK(HTMLDokuPath&amp;Entity[[#This Row],[Link]],"Doku"))</f>
        <v>Doku</v>
      </c>
      <c r="D319" s="6">
        <v>23</v>
      </c>
      <c r="E319" s="20" t="str">
        <f>IFERROR(IF(VLOOKUP(Entity[ID-Modul],Modul[],3,FALSE)=0,VLOOKUP(Entity[ID-Modul],Modul[],2,FALSE),VLOOKUP(Entity[ID-Modul],Modul[],3,FALSE)),"unbekannt")</f>
        <v>IfcPresentationDefinitionResource</v>
      </c>
      <c r="F319" s="21" t="b">
        <v>1</v>
      </c>
      <c r="G319" s="21" t="b">
        <v>0</v>
      </c>
      <c r="H319" s="22" t="s">
        <v>1104</v>
      </c>
      <c r="I319" s="19">
        <f>LEN(Entity[[#This Row],[IFC-Name]])</f>
        <v>24</v>
      </c>
      <c r="J319" s="7" t="s">
        <v>543</v>
      </c>
      <c r="K319" s="19">
        <f>LEN(Entity[[#This Row],[Klassen-Name]])</f>
        <v>24</v>
      </c>
      <c r="L319" s="7"/>
      <c r="M319" s="19" t="b">
        <f>IF(NOT(Entity[[#This Row],[Supertype]]),TRUE,AND(Entity[[#This Row],[Supertype]],Entity[[#This Row],[Subtype]]))</f>
        <v>1</v>
      </c>
      <c r="N319" s="28" t="s">
        <v>3507</v>
      </c>
      <c r="O319" s="29" t="s">
        <v>2397</v>
      </c>
    </row>
    <row r="320" spans="2:15" ht="20.100000000000001" customHeight="1" x14ac:dyDescent="0.25">
      <c r="B320" s="7" t="s">
        <v>546</v>
      </c>
      <c r="C320" s="7" t="str">
        <f>IF(Entity[[#This Row],[Link]]="","",HYPERLINK(HTMLDokuPath&amp;Entity[[#This Row],[Link]],"Doku"))</f>
        <v>Doku</v>
      </c>
      <c r="D320" s="6">
        <v>23</v>
      </c>
      <c r="E320" s="20" t="str">
        <f>IFERROR(IF(VLOOKUP(Entity[ID-Modul],Modul[],3,FALSE)=0,VLOOKUP(Entity[ID-Modul],Modul[],2,FALSE),VLOOKUP(Entity[ID-Modul],Modul[],3,FALSE)),"unbekannt")</f>
        <v>IfcPresentationDefinitionResource</v>
      </c>
      <c r="F320" s="21" t="b">
        <v>0</v>
      </c>
      <c r="G320" s="21" t="b">
        <v>1</v>
      </c>
      <c r="H320" s="22" t="s">
        <v>1449</v>
      </c>
      <c r="I320" s="19">
        <f>LEN(Entity[[#This Row],[IFC-Name]])</f>
        <v>20</v>
      </c>
      <c r="J320" s="7" t="s">
        <v>2859</v>
      </c>
      <c r="K320" s="19">
        <f>LEN(Entity[[#This Row],[Klassen-Name]])</f>
        <v>0</v>
      </c>
      <c r="L320" s="7"/>
      <c r="M320" s="19" t="b">
        <f>IF(NOT(Entity[[#This Row],[Supertype]]),TRUE,AND(Entity[[#This Row],[Supertype]],Entity[[#This Row],[Subtype]]))</f>
        <v>0</v>
      </c>
      <c r="N320" s="28" t="s">
        <v>3513</v>
      </c>
      <c r="O320" s="29" t="s">
        <v>2403</v>
      </c>
    </row>
    <row r="321" spans="2:15" ht="20.100000000000001" customHeight="1" x14ac:dyDescent="0.25">
      <c r="B321" s="7" t="s">
        <v>547</v>
      </c>
      <c r="C321" s="7" t="str">
        <f>IF(Entity[[#This Row],[Link]]="","",HYPERLINK(HTMLDokuPath&amp;Entity[[#This Row],[Link]],"Doku"))</f>
        <v>Doku</v>
      </c>
      <c r="D321" s="6">
        <v>23</v>
      </c>
      <c r="E321" s="20" t="str">
        <f>IFERROR(IF(VLOOKUP(Entity[ID-Modul],Modul[],3,FALSE)=0,VLOOKUP(Entity[ID-Modul],Modul[],2,FALSE),VLOOKUP(Entity[ID-Modul],Modul[],3,FALSE)),"unbekannt")</f>
        <v>IfcPresentationDefinitionResource</v>
      </c>
      <c r="F321" s="21" t="b">
        <v>1</v>
      </c>
      <c r="G321" s="21" t="b">
        <v>0</v>
      </c>
      <c r="H321" s="22" t="s">
        <v>1110</v>
      </c>
      <c r="I321" s="19">
        <f>LEN(Entity[[#This Row],[IFC-Name]])</f>
        <v>29</v>
      </c>
      <c r="J321" s="7" t="s">
        <v>547</v>
      </c>
      <c r="K321" s="19">
        <f>LEN(Entity[[#This Row],[Klassen-Name]])</f>
        <v>29</v>
      </c>
      <c r="L321" s="7"/>
      <c r="M321" s="19" t="b">
        <f>IF(NOT(Entity[[#This Row],[Supertype]]),TRUE,AND(Entity[[#This Row],[Supertype]],Entity[[#This Row],[Subtype]]))</f>
        <v>1</v>
      </c>
      <c r="N321" s="28" t="s">
        <v>3514</v>
      </c>
      <c r="O321" s="29" t="s">
        <v>2404</v>
      </c>
    </row>
    <row r="322" spans="2:15" ht="20.100000000000001" customHeight="1" x14ac:dyDescent="0.25">
      <c r="B322" s="7" t="s">
        <v>548</v>
      </c>
      <c r="C322" s="7" t="str">
        <f>IF(Entity[[#This Row],[Link]]="","",HYPERLINK(HTMLDokuPath&amp;Entity[[#This Row],[Link]],"Doku"))</f>
        <v>Doku</v>
      </c>
      <c r="D322" s="6">
        <v>23</v>
      </c>
      <c r="E322" s="20" t="str">
        <f>IFERROR(IF(VLOOKUP(Entity[ID-Modul],Modul[],3,FALSE)=0,VLOOKUP(Entity[ID-Modul],Modul[],2,FALSE),VLOOKUP(Entity[ID-Modul],Modul[],3,FALSE)),"unbekannt")</f>
        <v>IfcPresentationDefinitionResource</v>
      </c>
      <c r="F322" s="21" t="b">
        <v>1</v>
      </c>
      <c r="G322" s="21" t="b">
        <v>0</v>
      </c>
      <c r="H322" s="22" t="s">
        <v>1111</v>
      </c>
      <c r="I322" s="19">
        <f>LEN(Entity[[#This Row],[IFC-Name]])</f>
        <v>13</v>
      </c>
      <c r="J322" s="7" t="s">
        <v>548</v>
      </c>
      <c r="K322" s="19">
        <f>LEN(Entity[[#This Row],[Klassen-Name]])</f>
        <v>13</v>
      </c>
      <c r="L322" s="7"/>
      <c r="M322" s="19" t="b">
        <f>IF(NOT(Entity[[#This Row],[Supertype]]),TRUE,AND(Entity[[#This Row],[Supertype]],Entity[[#This Row],[Subtype]]))</f>
        <v>1</v>
      </c>
      <c r="N322" s="28" t="s">
        <v>3515</v>
      </c>
      <c r="O322" s="29" t="s">
        <v>2405</v>
      </c>
    </row>
    <row r="323" spans="2:15" ht="20.100000000000001" customHeight="1" x14ac:dyDescent="0.25">
      <c r="B323" s="7" t="s">
        <v>655</v>
      </c>
      <c r="C323" s="7" t="str">
        <f>IF(Entity[[#This Row],[Link]]="","",HYPERLINK(HTMLDokuPath&amp;Entity[[#This Row],[Link]],"Doku"))</f>
        <v>Doku</v>
      </c>
      <c r="D323" s="6">
        <v>23</v>
      </c>
      <c r="E323" s="20" t="str">
        <f>IFERROR(IF(VLOOKUP(Entity[ID-Modul],Modul[],3,FALSE)=0,VLOOKUP(Entity[ID-Modul],Modul[],2,FALSE),VLOOKUP(Entity[ID-Modul],Modul[],3,FALSE)),"unbekannt")</f>
        <v>IfcPresentationDefinitionResource</v>
      </c>
      <c r="F323" s="21" t="b">
        <v>0</v>
      </c>
      <c r="G323" s="21" t="b">
        <v>0</v>
      </c>
      <c r="H323" s="22" t="s">
        <v>1112</v>
      </c>
      <c r="I323" s="19">
        <f>LEN(Entity[[#This Row],[IFC-Name]])</f>
        <v>16</v>
      </c>
      <c r="J323" s="7" t="s">
        <v>655</v>
      </c>
      <c r="K323" s="19">
        <f>LEN(Entity[[#This Row],[Klassen-Name]])</f>
        <v>16</v>
      </c>
      <c r="L323" s="7"/>
      <c r="M323" s="19" t="b">
        <f>IF(NOT(Entity[[#This Row],[Supertype]]),TRUE,AND(Entity[[#This Row],[Supertype]],Entity[[#This Row],[Subtype]]))</f>
        <v>1</v>
      </c>
      <c r="N323" s="28" t="s">
        <v>3516</v>
      </c>
      <c r="O323" s="29" t="s">
        <v>2406</v>
      </c>
    </row>
    <row r="324" spans="2:15" ht="20.100000000000001" customHeight="1" x14ac:dyDescent="0.25">
      <c r="B324" s="7" t="s">
        <v>659</v>
      </c>
      <c r="C324" s="7" t="str">
        <f>IF(Entity[[#This Row],[Link]]="","",HYPERLINK(HTMLDokuPath&amp;Entity[[#This Row],[Link]],"Doku"))</f>
        <v>Doku</v>
      </c>
      <c r="D324" s="6">
        <v>23</v>
      </c>
      <c r="E324" s="20" t="str">
        <f>IFERROR(IF(VLOOKUP(Entity[ID-Modul],Modul[],3,FALSE)=0,VLOOKUP(Entity[ID-Modul],Modul[],2,FALSE),VLOOKUP(Entity[ID-Modul],Modul[],3,FALSE)),"unbekannt")</f>
        <v>IfcPresentationDefinitionResource</v>
      </c>
      <c r="F324" s="21" t="b">
        <v>0</v>
      </c>
      <c r="G324" s="21" t="b">
        <v>0</v>
      </c>
      <c r="H324" s="22" t="s">
        <v>1130</v>
      </c>
      <c r="I324" s="19">
        <f>LEN(Entity[[#This Row],[IFC-Name]])</f>
        <v>24</v>
      </c>
      <c r="J324" s="7" t="s">
        <v>659</v>
      </c>
      <c r="K324" s="19">
        <f>LEN(Entity[[#This Row],[Klassen-Name]])</f>
        <v>24</v>
      </c>
      <c r="L324" s="7"/>
      <c r="M324" s="19" t="b">
        <f>IF(NOT(Entity[[#This Row],[Supertype]]),TRUE,AND(Entity[[#This Row],[Supertype]],Entity[[#This Row],[Subtype]]))</f>
        <v>1</v>
      </c>
      <c r="N324" s="28" t="s">
        <v>3540</v>
      </c>
      <c r="O324" s="29" t="s">
        <v>2429</v>
      </c>
    </row>
    <row r="325" spans="2:15" ht="20.100000000000001" customHeight="1" x14ac:dyDescent="0.25">
      <c r="B325" s="7" t="s">
        <v>14</v>
      </c>
      <c r="C325" s="7" t="str">
        <f>IF(Entity[[#This Row],[Link]]="","",HYPERLINK(HTMLDokuPath&amp;Entity[[#This Row],[Link]],"Doku"))</f>
        <v>Doku</v>
      </c>
      <c r="D325" s="6">
        <v>24</v>
      </c>
      <c r="E325" s="20" t="str">
        <f>IFERROR(IF(VLOOKUP(Entity[ID-Modul],Modul[],3,FALSE)=0,VLOOKUP(Entity[ID-Modul],Modul[],2,FALSE),VLOOKUP(Entity[ID-Modul],Modul[],3,FALSE)),"unbekannt")</f>
        <v>IfcPresentationDimensioningResource</v>
      </c>
      <c r="F325" s="21" t="b">
        <v>1</v>
      </c>
      <c r="G325" s="21" t="b">
        <v>0</v>
      </c>
      <c r="H325" s="22" t="s">
        <v>669</v>
      </c>
      <c r="I325" s="19">
        <f>LEN(Entity[[#This Row],[IFC-Name]])</f>
        <v>19</v>
      </c>
      <c r="J325" s="7" t="s">
        <v>14</v>
      </c>
      <c r="K325" s="19">
        <f>LEN(Entity[[#This Row],[Klassen-Name]])</f>
        <v>19</v>
      </c>
      <c r="L325" s="7"/>
      <c r="M325" s="19" t="b">
        <f>IF(NOT(Entity[[#This Row],[Supertype]]),TRUE,AND(Entity[[#This Row],[Supertype]],Entity[[#This Row],[Subtype]]))</f>
        <v>1</v>
      </c>
      <c r="N325" s="28" t="s">
        <v>2917</v>
      </c>
      <c r="O325" s="29" t="s">
        <v>1806</v>
      </c>
    </row>
    <row r="326" spans="2:15" ht="20.100000000000001" customHeight="1" x14ac:dyDescent="0.25">
      <c r="B326" s="7" t="s">
        <v>127</v>
      </c>
      <c r="C326" s="7" t="str">
        <f>IF(Entity[[#This Row],[Link]]="","",HYPERLINK(HTMLDokuPath&amp;Entity[[#This Row],[Link]],"Doku"))</f>
        <v>Doku</v>
      </c>
      <c r="D326" s="6">
        <v>24</v>
      </c>
      <c r="E326" s="20" t="str">
        <f>IFERROR(IF(VLOOKUP(Entity[ID-Modul],Modul[],3,FALSE)=0,VLOOKUP(Entity[ID-Modul],Modul[],2,FALSE),VLOOKUP(Entity[ID-Modul],Modul[],3,FALSE)),"unbekannt")</f>
        <v>IfcPresentationDimensioningResource</v>
      </c>
      <c r="F326" s="21" t="b">
        <v>1</v>
      </c>
      <c r="G326" s="21" t="b">
        <v>0</v>
      </c>
      <c r="H326" s="22" t="s">
        <v>774</v>
      </c>
      <c r="I326" s="19">
        <f>LEN(Entity[[#This Row],[IFC-Name]])</f>
        <v>20</v>
      </c>
      <c r="J326" s="7" t="s">
        <v>127</v>
      </c>
      <c r="K326" s="19">
        <f>LEN(Entity[[#This Row],[Klassen-Name]])</f>
        <v>20</v>
      </c>
      <c r="L326" s="7"/>
      <c r="M326" s="19" t="b">
        <f>IF(NOT(Entity[[#This Row],[Supertype]]),TRUE,AND(Entity[[#This Row],[Supertype]],Entity[[#This Row],[Subtype]]))</f>
        <v>1</v>
      </c>
      <c r="N326" s="28" t="s">
        <v>3053</v>
      </c>
      <c r="O326" s="29" t="s">
        <v>1942</v>
      </c>
    </row>
    <row r="327" spans="2:15" ht="20.100000000000001" customHeight="1" x14ac:dyDescent="0.25">
      <c r="B327" s="7" t="s">
        <v>128</v>
      </c>
      <c r="C327" s="7" t="str">
        <f>IF(Entity[[#This Row],[Link]]="","",HYPERLINK(HTMLDokuPath&amp;Entity[[#This Row],[Link]],"Doku"))</f>
        <v>Doku</v>
      </c>
      <c r="D327" s="6">
        <v>24</v>
      </c>
      <c r="E327" s="20" t="str">
        <f>IFERROR(IF(VLOOKUP(Entity[ID-Modul],Modul[],3,FALSE)=0,VLOOKUP(Entity[ID-Modul],Modul[],2,FALSE),VLOOKUP(Entity[ID-Modul],Modul[],3,FALSE)),"unbekannt")</f>
        <v>IfcPresentationDimensioningResource</v>
      </c>
      <c r="F327" s="21" t="b">
        <v>1</v>
      </c>
      <c r="G327" s="21" t="b">
        <v>0</v>
      </c>
      <c r="H327" s="22" t="s">
        <v>775</v>
      </c>
      <c r="I327" s="19">
        <f>LEN(Entity[[#This Row],[IFC-Name]])</f>
        <v>31</v>
      </c>
      <c r="J327" s="7" t="s">
        <v>128</v>
      </c>
      <c r="K327" s="19">
        <f>LEN(Entity[[#This Row],[Klassen-Name]])</f>
        <v>31</v>
      </c>
      <c r="L327" s="7"/>
      <c r="M327" s="19" t="b">
        <f>IF(NOT(Entity[[#This Row],[Supertype]]),TRUE,AND(Entity[[#This Row],[Supertype]],Entity[[#This Row],[Subtype]]))</f>
        <v>1</v>
      </c>
      <c r="N327" s="28" t="s">
        <v>3055</v>
      </c>
      <c r="O327" s="29" t="s">
        <v>1943</v>
      </c>
    </row>
    <row r="328" spans="2:15" ht="20.100000000000001" customHeight="1" x14ac:dyDescent="0.25">
      <c r="B328" s="7" t="s">
        <v>129</v>
      </c>
      <c r="C328" s="7" t="str">
        <f>IF(Entity[[#This Row],[Link]]="","",HYPERLINK(HTMLDokuPath&amp;Entity[[#This Row],[Link]],"Doku"))</f>
        <v>Doku</v>
      </c>
      <c r="D328" s="6">
        <v>24</v>
      </c>
      <c r="E328" s="20" t="str">
        <f>IFERROR(IF(VLOOKUP(Entity[ID-Modul],Modul[],3,FALSE)=0,VLOOKUP(Entity[ID-Modul],Modul[],2,FALSE),VLOOKUP(Entity[ID-Modul],Modul[],3,FALSE)),"unbekannt")</f>
        <v>IfcPresentationDimensioningResource</v>
      </c>
      <c r="F328" s="21" t="b">
        <v>1</v>
      </c>
      <c r="G328" s="21" t="b">
        <v>0</v>
      </c>
      <c r="H328" s="22" t="s">
        <v>776</v>
      </c>
      <c r="I328" s="19">
        <f>LEN(Entity[[#This Row],[IFC-Name]])</f>
        <v>17</v>
      </c>
      <c r="J328" s="7" t="s">
        <v>129</v>
      </c>
      <c r="K328" s="19">
        <f>LEN(Entity[[#This Row],[Klassen-Name]])</f>
        <v>17</v>
      </c>
      <c r="L328" s="7"/>
      <c r="M328" s="19" t="b">
        <f>IF(NOT(Entity[[#This Row],[Supertype]]),TRUE,AND(Entity[[#This Row],[Supertype]],Entity[[#This Row],[Subtype]]))</f>
        <v>1</v>
      </c>
      <c r="N328" s="28" t="s">
        <v>3056</v>
      </c>
      <c r="O328" s="29" t="s">
        <v>1944</v>
      </c>
    </row>
    <row r="329" spans="2:15" ht="20.100000000000001" customHeight="1" x14ac:dyDescent="0.25">
      <c r="B329" s="7" t="s">
        <v>130</v>
      </c>
      <c r="C329" s="7" t="str">
        <f>IF(Entity[[#This Row],[Link]]="","",HYPERLINK(HTMLDokuPath&amp;Entity[[#This Row],[Link]],"Doku"))</f>
        <v>Doku</v>
      </c>
      <c r="D329" s="6">
        <v>24</v>
      </c>
      <c r="E329" s="20" t="str">
        <f>IFERROR(IF(VLOOKUP(Entity[ID-Modul],Modul[],3,FALSE)=0,VLOOKUP(Entity[ID-Modul],Modul[],2,FALSE),VLOOKUP(Entity[ID-Modul],Modul[],3,FALSE)),"unbekannt")</f>
        <v>IfcPresentationDimensioningResource</v>
      </c>
      <c r="F329" s="21" t="b">
        <v>1</v>
      </c>
      <c r="G329" s="21" t="b">
        <v>1</v>
      </c>
      <c r="H329" s="22" t="s">
        <v>1324</v>
      </c>
      <c r="I329" s="19">
        <f>LEN(Entity[[#This Row],[IFC-Name]])</f>
        <v>32</v>
      </c>
      <c r="J329" s="1" t="s">
        <v>2883</v>
      </c>
      <c r="K329" s="19">
        <f>LEN(Entity[[#This Row],[Klassen-Name]])</f>
        <v>29</v>
      </c>
      <c r="L329" s="7"/>
      <c r="M329" s="19" t="b">
        <f>IF(NOT(Entity[[#This Row],[Supertype]]),TRUE,AND(Entity[[#This Row],[Supertype]],Entity[[#This Row],[Subtype]]))</f>
        <v>1</v>
      </c>
      <c r="N329" s="28" t="s">
        <v>3057</v>
      </c>
      <c r="O329" s="29" t="s">
        <v>1945</v>
      </c>
    </row>
    <row r="330" spans="2:15" ht="20.100000000000001" customHeight="1" x14ac:dyDescent="0.25">
      <c r="B330" s="7" t="s">
        <v>131</v>
      </c>
      <c r="C330" s="7" t="str">
        <f>IF(Entity[[#This Row],[Link]]="","",HYPERLINK(HTMLDokuPath&amp;Entity[[#This Row],[Link]],"Doku"))</f>
        <v>Doku</v>
      </c>
      <c r="D330" s="6">
        <v>24</v>
      </c>
      <c r="E330" s="20" t="str">
        <f>IFERROR(IF(VLOOKUP(Entity[ID-Modul],Modul[],3,FALSE)=0,VLOOKUP(Entity[ID-Modul],Modul[],2,FALSE),VLOOKUP(Entity[ID-Modul],Modul[],3,FALSE)),"unbekannt")</f>
        <v>IfcPresentationDimensioningResource</v>
      </c>
      <c r="F330" s="21" t="b">
        <v>1</v>
      </c>
      <c r="G330" s="21" t="b">
        <v>0</v>
      </c>
      <c r="H330" s="22" t="s">
        <v>777</v>
      </c>
      <c r="I330" s="19">
        <f>LEN(Entity[[#This Row],[IFC-Name]])</f>
        <v>27</v>
      </c>
      <c r="J330" s="7" t="s">
        <v>131</v>
      </c>
      <c r="K330" s="19">
        <f>LEN(Entity[[#This Row],[Klassen-Name]])</f>
        <v>27</v>
      </c>
      <c r="L330" s="7"/>
      <c r="M330" s="19" t="b">
        <f>IF(NOT(Entity[[#This Row],[Supertype]]),TRUE,AND(Entity[[#This Row],[Supertype]],Entity[[#This Row],[Subtype]]))</f>
        <v>1</v>
      </c>
      <c r="N330" s="28" t="s">
        <v>3058</v>
      </c>
      <c r="O330" s="29" t="s">
        <v>1946</v>
      </c>
    </row>
    <row r="331" spans="2:15" ht="20.100000000000001" customHeight="1" x14ac:dyDescent="0.25">
      <c r="B331" s="7" t="s">
        <v>132</v>
      </c>
      <c r="C331" s="7" t="str">
        <f>IF(Entity[[#This Row],[Link]]="","",HYPERLINK(HTMLDokuPath&amp;Entity[[#This Row],[Link]],"Doku"))</f>
        <v>Doku</v>
      </c>
      <c r="D331" s="6">
        <v>24</v>
      </c>
      <c r="E331" s="20" t="str">
        <f>IFERROR(IF(VLOOKUP(Entity[ID-Modul],Modul[],3,FALSE)=0,VLOOKUP(Entity[ID-Modul],Modul[],2,FALSE),VLOOKUP(Entity[ID-Modul],Modul[],3,FALSE)),"unbekannt")</f>
        <v>IfcPresentationDimensioningResource</v>
      </c>
      <c r="F331" s="21" t="b">
        <v>1</v>
      </c>
      <c r="G331" s="21" t="b">
        <v>0</v>
      </c>
      <c r="H331" s="22" t="s">
        <v>778</v>
      </c>
      <c r="I331" s="19">
        <f>LEN(Entity[[#This Row],[IFC-Name]])</f>
        <v>16</v>
      </c>
      <c r="J331" s="7" t="s">
        <v>132</v>
      </c>
      <c r="K331" s="19">
        <f>LEN(Entity[[#This Row],[Klassen-Name]])</f>
        <v>16</v>
      </c>
      <c r="L331" s="7"/>
      <c r="M331" s="19" t="b">
        <f>IF(NOT(Entity[[#This Row],[Supertype]]),TRUE,AND(Entity[[#This Row],[Supertype]],Entity[[#This Row],[Subtype]]))</f>
        <v>1</v>
      </c>
      <c r="N331" s="28" t="s">
        <v>3059</v>
      </c>
      <c r="O331" s="29" t="s">
        <v>1947</v>
      </c>
    </row>
    <row r="332" spans="2:15" ht="20.100000000000001" customHeight="1" x14ac:dyDescent="0.25">
      <c r="B332" s="7" t="s">
        <v>150</v>
      </c>
      <c r="C332" s="7" t="str">
        <f>IF(Entity[[#This Row],[Link]]="","",HYPERLINK(HTMLDokuPath&amp;Entity[[#This Row],[Link]],"Doku"))</f>
        <v>Doku</v>
      </c>
      <c r="D332" s="6">
        <v>24</v>
      </c>
      <c r="E332" s="20" t="str">
        <f>IFERROR(IF(VLOOKUP(Entity[ID-Modul],Modul[],3,FALSE)=0,VLOOKUP(Entity[ID-Modul],Modul[],2,FALSE),VLOOKUP(Entity[ID-Modul],Modul[],3,FALSE)),"unbekannt")</f>
        <v>IfcPresentationDimensioningResource</v>
      </c>
      <c r="F332" s="21" t="b">
        <v>1</v>
      </c>
      <c r="G332" s="21" t="b">
        <v>1</v>
      </c>
      <c r="H332" s="22" t="s">
        <v>1331</v>
      </c>
      <c r="I332" s="19">
        <f>LEN(Entity[[#This Row],[IFC-Name]])</f>
        <v>20</v>
      </c>
      <c r="J332" s="7" t="s">
        <v>150</v>
      </c>
      <c r="K332" s="19">
        <f>LEN(Entity[[#This Row],[Klassen-Name]])</f>
        <v>20</v>
      </c>
      <c r="L332" s="7"/>
      <c r="M332" s="19" t="b">
        <f>IF(NOT(Entity[[#This Row],[Supertype]]),TRUE,AND(Entity[[#This Row],[Supertype]],Entity[[#This Row],[Subtype]]))</f>
        <v>1</v>
      </c>
      <c r="N332" s="28" t="s">
        <v>3080</v>
      </c>
      <c r="O332" s="29" t="s">
        <v>1969</v>
      </c>
    </row>
    <row r="333" spans="2:15" ht="20.100000000000001" customHeight="1" x14ac:dyDescent="0.25">
      <c r="B333" s="7" t="s">
        <v>151</v>
      </c>
      <c r="C333" s="7" t="str">
        <f>IF(Entity[[#This Row],[Link]]="","",HYPERLINK(HTMLDokuPath&amp;Entity[[#This Row],[Link]],"Doku"))</f>
        <v>Doku</v>
      </c>
      <c r="D333" s="6">
        <v>24</v>
      </c>
      <c r="E333" s="20" t="str">
        <f>IFERROR(IF(VLOOKUP(Entity[ID-Modul],Modul[],3,FALSE)=0,VLOOKUP(Entity[ID-Modul],Modul[],2,FALSE),VLOOKUP(Entity[ID-Modul],Modul[],3,FALSE)),"unbekannt")</f>
        <v>IfcPresentationDimensioningResource</v>
      </c>
      <c r="F333" s="21" t="b">
        <v>0</v>
      </c>
      <c r="G333" s="21" t="b">
        <v>1</v>
      </c>
      <c r="H333" s="22" t="s">
        <v>1332</v>
      </c>
      <c r="I333" s="19">
        <f>LEN(Entity[[#This Row],[IFC-Name]])</f>
        <v>32</v>
      </c>
      <c r="J333" s="7" t="s">
        <v>2859</v>
      </c>
      <c r="K333" s="19">
        <f>LEN(Entity[[#This Row],[Klassen-Name]])</f>
        <v>0</v>
      </c>
      <c r="L333" s="7"/>
      <c r="M333" s="19" t="b">
        <f>IF(NOT(Entity[[#This Row],[Supertype]]),TRUE,AND(Entity[[#This Row],[Supertype]],Entity[[#This Row],[Subtype]]))</f>
        <v>0</v>
      </c>
      <c r="N333" s="28" t="s">
        <v>3081</v>
      </c>
      <c r="O333" s="29" t="s">
        <v>1970</v>
      </c>
    </row>
    <row r="334" spans="2:15" ht="20.100000000000001" customHeight="1" x14ac:dyDescent="0.25">
      <c r="B334" s="7" t="s">
        <v>271</v>
      </c>
      <c r="C334" s="7" t="str">
        <f>IF(Entity[[#This Row],[Link]]="","",HYPERLINK(HTMLDokuPath&amp;Entity[[#This Row],[Link]],"Doku"))</f>
        <v>Doku</v>
      </c>
      <c r="D334" s="6">
        <v>24</v>
      </c>
      <c r="E334" s="20" t="str">
        <f>IFERROR(IF(VLOOKUP(Entity[ID-Modul],Modul[],3,FALSE)=0,VLOOKUP(Entity[ID-Modul],Modul[],2,FALSE),VLOOKUP(Entity[ID-Modul],Modul[],3,FALSE)),"unbekannt")</f>
        <v>IfcPresentationDimensioningResource</v>
      </c>
      <c r="F334" s="21" t="b">
        <v>1</v>
      </c>
      <c r="G334" s="21" t="b">
        <v>0</v>
      </c>
      <c r="H334" s="22" t="s">
        <v>883</v>
      </c>
      <c r="I334" s="19">
        <f>LEN(Entity[[#This Row],[IFC-Name]])</f>
        <v>18</v>
      </c>
      <c r="J334" s="7" t="s">
        <v>271</v>
      </c>
      <c r="K334" s="19">
        <f>LEN(Entity[[#This Row],[Klassen-Name]])</f>
        <v>18</v>
      </c>
      <c r="L334" s="7"/>
      <c r="M334" s="19" t="b">
        <f>IF(NOT(Entity[[#This Row],[Supertype]]),TRUE,AND(Entity[[#This Row],[Supertype]],Entity[[#This Row],[Subtype]]))</f>
        <v>1</v>
      </c>
      <c r="N334" s="28" t="s">
        <v>3205</v>
      </c>
      <c r="O334" s="29" t="s">
        <v>2095</v>
      </c>
    </row>
    <row r="335" spans="2:15" ht="20.100000000000001" customHeight="1" x14ac:dyDescent="0.25">
      <c r="B335" s="7" t="s">
        <v>331</v>
      </c>
      <c r="C335" s="7" t="str">
        <f>IF(Entity[[#This Row],[Link]]="","",HYPERLINK(HTMLDokuPath&amp;Entity[[#This Row],[Link]],"Doku"))</f>
        <v>Doku</v>
      </c>
      <c r="D335" s="6">
        <v>24</v>
      </c>
      <c r="E335" s="20" t="str">
        <f>IFERROR(IF(VLOOKUP(Entity[ID-Modul],Modul[],3,FALSE)=0,VLOOKUP(Entity[ID-Modul],Modul[],2,FALSE),VLOOKUP(Entity[ID-Modul],Modul[],3,FALSE)),"unbekannt")</f>
        <v>IfcPresentationDimensioningResource</v>
      </c>
      <c r="F335" s="21" t="b">
        <v>1</v>
      </c>
      <c r="G335" s="21" t="b">
        <v>0</v>
      </c>
      <c r="H335" s="22" t="s">
        <v>939</v>
      </c>
      <c r="I335" s="19">
        <f>LEN(Entity[[#This Row],[IFC-Name]])</f>
        <v>28</v>
      </c>
      <c r="J335" s="7" t="s">
        <v>331</v>
      </c>
      <c r="K335" s="19">
        <f>LEN(Entity[[#This Row],[Klassen-Name]])</f>
        <v>28</v>
      </c>
      <c r="L335" s="7"/>
      <c r="M335" s="19" t="b">
        <f>IF(NOT(Entity[[#This Row],[Supertype]]),TRUE,AND(Entity[[#This Row],[Supertype]],Entity[[#This Row],[Subtype]]))</f>
        <v>1</v>
      </c>
      <c r="N335" s="28" t="s">
        <v>3280</v>
      </c>
      <c r="O335" s="29" t="s">
        <v>2169</v>
      </c>
    </row>
    <row r="336" spans="2:15" ht="20.100000000000001" customHeight="1" x14ac:dyDescent="0.25">
      <c r="B336" s="7" t="s">
        <v>333</v>
      </c>
      <c r="C336" s="7" t="str">
        <f>IF(Entity[[#This Row],[Link]]="","",HYPERLINK(HTMLDokuPath&amp;Entity[[#This Row],[Link]],"Doku"))</f>
        <v>Doku</v>
      </c>
      <c r="D336" s="6">
        <v>24</v>
      </c>
      <c r="E336" s="20" t="str">
        <f>IFERROR(IF(VLOOKUP(Entity[ID-Modul],Modul[],3,FALSE)=0,VLOOKUP(Entity[ID-Modul],Modul[],2,FALSE),VLOOKUP(Entity[ID-Modul],Modul[],3,FALSE)),"unbekannt")</f>
        <v>IfcPresentationDimensioningResource</v>
      </c>
      <c r="F336" s="21" t="b">
        <v>1</v>
      </c>
      <c r="G336" s="21" t="b">
        <v>0</v>
      </c>
      <c r="H336" s="22" t="s">
        <v>940</v>
      </c>
      <c r="I336" s="19">
        <f>LEN(Entity[[#This Row],[IFC-Name]])</f>
        <v>30</v>
      </c>
      <c r="J336" s="7" t="s">
        <v>333</v>
      </c>
      <c r="K336" s="19">
        <f>LEN(Entity[[#This Row],[Klassen-Name]])</f>
        <v>30</v>
      </c>
      <c r="L336" s="7"/>
      <c r="M336" s="19" t="b">
        <f>IF(NOT(Entity[[#This Row],[Supertype]]),TRUE,AND(Entity[[#This Row],[Supertype]],Entity[[#This Row],[Subtype]]))</f>
        <v>1</v>
      </c>
      <c r="N336" s="28" t="s">
        <v>3282</v>
      </c>
      <c r="O336" s="29" t="s">
        <v>2171</v>
      </c>
    </row>
    <row r="337" spans="2:15" ht="20.100000000000001" customHeight="1" x14ac:dyDescent="0.25">
      <c r="B337" s="7" t="s">
        <v>335</v>
      </c>
      <c r="C337" s="7" t="str">
        <f>IF(Entity[[#This Row],[Link]]="","",HYPERLINK(HTMLDokuPath&amp;Entity[[#This Row],[Link]],"Doku"))</f>
        <v>Doku</v>
      </c>
      <c r="D337" s="6">
        <v>24</v>
      </c>
      <c r="E337" s="20" t="str">
        <f>IFERROR(IF(VLOOKUP(Entity[ID-Modul],Modul[],3,FALSE)=0,VLOOKUP(Entity[ID-Modul],Modul[],2,FALSE),VLOOKUP(Entity[ID-Modul],Modul[],3,FALSE)),"unbekannt")</f>
        <v>IfcPresentationDimensioningResource</v>
      </c>
      <c r="F337" s="21" t="b">
        <v>1</v>
      </c>
      <c r="G337" s="21" t="b">
        <v>0</v>
      </c>
      <c r="H337" s="22" t="s">
        <v>941</v>
      </c>
      <c r="I337" s="19">
        <f>LEN(Entity[[#This Row],[IFC-Name]])</f>
        <v>29</v>
      </c>
      <c r="J337" s="7" t="s">
        <v>335</v>
      </c>
      <c r="K337" s="19">
        <f>LEN(Entity[[#This Row],[Klassen-Name]])</f>
        <v>29</v>
      </c>
      <c r="L337" s="7"/>
      <c r="M337" s="19" t="b">
        <f>IF(NOT(Entity[[#This Row],[Supertype]]),TRUE,AND(Entity[[#This Row],[Supertype]],Entity[[#This Row],[Subtype]]))</f>
        <v>1</v>
      </c>
      <c r="N337" s="28" t="s">
        <v>3284</v>
      </c>
      <c r="O337" s="29" t="s">
        <v>2173</v>
      </c>
    </row>
    <row r="338" spans="2:15" ht="20.100000000000001" customHeight="1" x14ac:dyDescent="0.25">
      <c r="B338" s="7" t="s">
        <v>351</v>
      </c>
      <c r="C338" s="7" t="str">
        <f>IF(Entity[[#This Row],[Link]]="","",HYPERLINK(HTMLDokuPath&amp;Entity[[#This Row],[Link]],"Doku"))</f>
        <v>Doku</v>
      </c>
      <c r="D338" s="6">
        <v>24</v>
      </c>
      <c r="E338" s="20" t="str">
        <f>IFERROR(IF(VLOOKUP(Entity[ID-Modul],Modul[],3,FALSE)=0,VLOOKUP(Entity[ID-Modul],Modul[],2,FALSE),VLOOKUP(Entity[ID-Modul],Modul[],3,FALSE)),"unbekannt")</f>
        <v>IfcPresentationDimensioningResource</v>
      </c>
      <c r="F338" s="21" t="b">
        <v>1</v>
      </c>
      <c r="G338" s="21" t="b">
        <v>0</v>
      </c>
      <c r="H338" s="22" t="s">
        <v>950</v>
      </c>
      <c r="I338" s="19">
        <f>LEN(Entity[[#This Row],[IFC-Name]])</f>
        <v>18</v>
      </c>
      <c r="J338" s="7" t="s">
        <v>351</v>
      </c>
      <c r="K338" s="19">
        <f>LEN(Entity[[#This Row],[Klassen-Name]])</f>
        <v>18</v>
      </c>
      <c r="L338" s="7"/>
      <c r="M338" s="19" t="b">
        <f>IF(NOT(Entity[[#This Row],[Supertype]]),TRUE,AND(Entity[[#This Row],[Supertype]],Entity[[#This Row],[Subtype]]))</f>
        <v>1</v>
      </c>
      <c r="N338" s="28" t="s">
        <v>3299</v>
      </c>
      <c r="O338" s="29" t="s">
        <v>2190</v>
      </c>
    </row>
    <row r="339" spans="2:15" ht="20.100000000000001" customHeight="1" x14ac:dyDescent="0.25">
      <c r="B339" s="7" t="s">
        <v>372</v>
      </c>
      <c r="C339" s="7" t="str">
        <f>IF(Entity[[#This Row],[Link]]="","",HYPERLINK(HTMLDokuPath&amp;Entity[[#This Row],[Link]],"Doku"))</f>
        <v>Doku</v>
      </c>
      <c r="D339" s="6">
        <v>24</v>
      </c>
      <c r="E339" s="20" t="str">
        <f>IFERROR(IF(VLOOKUP(Entity[ID-Modul],Modul[],3,FALSE)=0,VLOOKUP(Entity[ID-Modul],Modul[],2,FALSE),VLOOKUP(Entity[ID-Modul],Modul[],3,FALSE)),"unbekannt")</f>
        <v>IfcPresentationDimensioningResource</v>
      </c>
      <c r="F339" s="21" t="b">
        <v>1</v>
      </c>
      <c r="G339" s="21" t="b">
        <v>0</v>
      </c>
      <c r="H339" s="22" t="s">
        <v>971</v>
      </c>
      <c r="I339" s="19">
        <f>LEN(Entity[[#This Row],[IFC-Name]])</f>
        <v>18</v>
      </c>
      <c r="J339" s="7" t="s">
        <v>372</v>
      </c>
      <c r="K339" s="19">
        <f>LEN(Entity[[#This Row],[Klassen-Name]])</f>
        <v>18</v>
      </c>
      <c r="L339" s="7"/>
      <c r="M339" s="19" t="b">
        <f>IF(NOT(Entity[[#This Row],[Supertype]]),TRUE,AND(Entity[[#This Row],[Supertype]],Entity[[#This Row],[Subtype]]))</f>
        <v>1</v>
      </c>
      <c r="N339" s="28" t="s">
        <v>3325</v>
      </c>
      <c r="O339" s="29" t="s">
        <v>2214</v>
      </c>
    </row>
    <row r="340" spans="2:15" ht="20.100000000000001" customHeight="1" x14ac:dyDescent="0.25">
      <c r="B340" s="7" t="s">
        <v>514</v>
      </c>
      <c r="C340" s="7" t="str">
        <f>IF(Entity[[#This Row],[Link]]="","",HYPERLINK(HTMLDokuPath&amp;Entity[[#This Row],[Link]],"Doku"))</f>
        <v>Doku</v>
      </c>
      <c r="D340" s="6">
        <v>24</v>
      </c>
      <c r="E340" s="20" t="str">
        <f>IFERROR(IF(VLOOKUP(Entity[ID-Modul],Modul[],3,FALSE)=0,VLOOKUP(Entity[ID-Modul],Modul[],2,FALSE),VLOOKUP(Entity[ID-Modul],Modul[],3,FALSE)),"unbekannt")</f>
        <v>IfcPresentationDimensioningResource</v>
      </c>
      <c r="F340" s="21" t="b">
        <v>1</v>
      </c>
      <c r="G340" s="21" t="b">
        <v>0</v>
      </c>
      <c r="H340" s="22" t="s">
        <v>1081</v>
      </c>
      <c r="I340" s="19">
        <f>LEN(Entity[[#This Row],[IFC-Name]])</f>
        <v>29</v>
      </c>
      <c r="J340" s="7" t="s">
        <v>514</v>
      </c>
      <c r="K340" s="19">
        <f>LEN(Entity[[#This Row],[Klassen-Name]])</f>
        <v>29</v>
      </c>
      <c r="L340" s="7"/>
      <c r="M340" s="19" t="b">
        <f>IF(NOT(Entity[[#This Row],[Supertype]]),TRUE,AND(Entity[[#This Row],[Supertype]],Entity[[#This Row],[Subtype]]))</f>
        <v>1</v>
      </c>
      <c r="N340" s="28" t="s">
        <v>3474</v>
      </c>
      <c r="O340" s="29" t="s">
        <v>2363</v>
      </c>
    </row>
    <row r="341" spans="2:15" ht="20.100000000000001" customHeight="1" x14ac:dyDescent="0.25">
      <c r="B341" s="7" t="s">
        <v>541</v>
      </c>
      <c r="C341" s="7" t="str">
        <f>IF(Entity[[#This Row],[Link]]="","",HYPERLINK(HTMLDokuPath&amp;Entity[[#This Row],[Link]],"Doku"))</f>
        <v>Doku</v>
      </c>
      <c r="D341" s="6">
        <v>24</v>
      </c>
      <c r="E341" s="20" t="str">
        <f>IFERROR(IF(VLOOKUP(Entity[ID-Modul],Modul[],3,FALSE)=0,VLOOKUP(Entity[ID-Modul],Modul[],2,FALSE),VLOOKUP(Entity[ID-Modul],Modul[],3,FALSE)),"unbekannt")</f>
        <v>IfcPresentationDimensioningResource</v>
      </c>
      <c r="F341" s="21" t="b">
        <v>1</v>
      </c>
      <c r="G341" s="21" t="b">
        <v>1</v>
      </c>
      <c r="H341" s="22" t="s">
        <v>1447</v>
      </c>
      <c r="I341" s="19">
        <f>LEN(Entity[[#This Row],[IFC-Name]])</f>
        <v>19</v>
      </c>
      <c r="J341" s="7" t="s">
        <v>541</v>
      </c>
      <c r="K341" s="19">
        <f>LEN(Entity[[#This Row],[Klassen-Name]])</f>
        <v>19</v>
      </c>
      <c r="L341" s="7"/>
      <c r="M341" s="19" t="b">
        <f>IF(NOT(Entity[[#This Row],[Supertype]]),TRUE,AND(Entity[[#This Row],[Supertype]],Entity[[#This Row],[Subtype]]))</f>
        <v>1</v>
      </c>
      <c r="N341" s="28" t="s">
        <v>3505</v>
      </c>
      <c r="O341" s="29" t="s">
        <v>2395</v>
      </c>
    </row>
    <row r="342" spans="2:15" ht="20.100000000000001" customHeight="1" x14ac:dyDescent="0.25">
      <c r="B342" s="7" t="s">
        <v>620</v>
      </c>
      <c r="C342" s="7" t="str">
        <f>IF(Entity[[#This Row],[Link]]="","",HYPERLINK(HTMLDokuPath&amp;Entity[[#This Row],[Link]],"Doku"))</f>
        <v>Doku</v>
      </c>
      <c r="D342" s="6">
        <v>25</v>
      </c>
      <c r="E342" s="20" t="str">
        <f>IFERROR(IF(VLOOKUP(Entity[ID-Modul],Modul[],3,FALSE)=0,VLOOKUP(Entity[ID-Modul],Modul[],2,FALSE),VLOOKUP(Entity[ID-Modul],Modul[],3,FALSE)),"unbekannt")</f>
        <v>IfcPresentationOrganizationResource</v>
      </c>
      <c r="F342" s="21" t="b">
        <v>0</v>
      </c>
      <c r="G342" s="21" t="b">
        <v>0</v>
      </c>
      <c r="H342" s="22" t="s">
        <v>875</v>
      </c>
      <c r="I342" s="19">
        <f>LEN(Entity[[#This Row],[IFC-Name]])</f>
        <v>24</v>
      </c>
      <c r="J342" s="7" t="s">
        <v>620</v>
      </c>
      <c r="K342" s="19">
        <f>LEN(Entity[[#This Row],[Klassen-Name]])</f>
        <v>24</v>
      </c>
      <c r="L342" s="7"/>
      <c r="M342" s="19" t="b">
        <f>IF(NOT(Entity[[#This Row],[Supertype]]),TRUE,AND(Entity[[#This Row],[Supertype]],Entity[[#This Row],[Subtype]]))</f>
        <v>1</v>
      </c>
      <c r="N342" s="28" t="s">
        <v>3195</v>
      </c>
      <c r="O342" s="29" t="s">
        <v>2085</v>
      </c>
    </row>
    <row r="343" spans="2:15" ht="20.100000000000001" customHeight="1" x14ac:dyDescent="0.25">
      <c r="B343" s="7" t="s">
        <v>621</v>
      </c>
      <c r="C343" s="7" t="str">
        <f>IF(Entity[[#This Row],[Link]]="","",HYPERLINK(HTMLDokuPath&amp;Entity[[#This Row],[Link]],"Doku"))</f>
        <v>Doku</v>
      </c>
      <c r="D343" s="6">
        <v>25</v>
      </c>
      <c r="E343" s="20" t="str">
        <f>IFERROR(IF(VLOOKUP(Entity[ID-Modul],Modul[],3,FALSE)=0,VLOOKUP(Entity[ID-Modul],Modul[],2,FALSE),VLOOKUP(Entity[ID-Modul],Modul[],3,FALSE)),"unbekannt")</f>
        <v>IfcPresentationOrganizationResource</v>
      </c>
      <c r="F343" s="21" t="b">
        <v>0</v>
      </c>
      <c r="G343" s="21" t="b">
        <v>0</v>
      </c>
      <c r="H343" s="22" t="s">
        <v>877</v>
      </c>
      <c r="I343" s="19">
        <f>LEN(Entity[[#This Row],[IFC-Name]])</f>
        <v>29</v>
      </c>
      <c r="J343" s="7" t="s">
        <v>621</v>
      </c>
      <c r="K343" s="19">
        <f>LEN(Entity[[#This Row],[Klassen-Name]])</f>
        <v>29</v>
      </c>
      <c r="L343" s="7"/>
      <c r="M343" s="19" t="b">
        <f>IF(NOT(Entity[[#This Row],[Supertype]]),TRUE,AND(Entity[[#This Row],[Supertype]],Entity[[#This Row],[Subtype]]))</f>
        <v>1</v>
      </c>
      <c r="N343" s="28" t="s">
        <v>3197</v>
      </c>
      <c r="O343" s="29" t="s">
        <v>2087</v>
      </c>
    </row>
    <row r="344" spans="2:15" ht="20.100000000000001" customHeight="1" x14ac:dyDescent="0.25">
      <c r="B344" s="7" t="s">
        <v>264</v>
      </c>
      <c r="C344" s="7" t="str">
        <f>IF(Entity[[#This Row],[Link]]="","",HYPERLINK(HTMLDokuPath&amp;Entity[[#This Row],[Link]],"Doku"))</f>
        <v>Doku</v>
      </c>
      <c r="D344" s="6">
        <v>25</v>
      </c>
      <c r="E344" s="20" t="str">
        <f>IFERROR(IF(VLOOKUP(Entity[ID-Modul],Modul[],3,FALSE)=0,VLOOKUP(Entity[ID-Modul],Modul[],2,FALSE),VLOOKUP(Entity[ID-Modul],Modul[],3,FALSE)),"unbekannt")</f>
        <v>IfcPresentationOrganizationResource</v>
      </c>
      <c r="F344" s="21" t="b">
        <v>1</v>
      </c>
      <c r="G344" s="21" t="b">
        <v>1</v>
      </c>
      <c r="H344" s="22" t="s">
        <v>1366</v>
      </c>
      <c r="I344" s="19">
        <f>LEN(Entity[[#This Row],[IFC-Name]])</f>
        <v>14</v>
      </c>
      <c r="J344" s="7" t="s">
        <v>264</v>
      </c>
      <c r="K344" s="19">
        <f>LEN(Entity[[#This Row],[Klassen-Name]])</f>
        <v>14</v>
      </c>
      <c r="L344" s="7"/>
      <c r="M344" s="19" t="b">
        <f>IF(NOT(Entity[[#This Row],[Supertype]]),TRUE,AND(Entity[[#This Row],[Supertype]],Entity[[#This Row],[Subtype]]))</f>
        <v>1</v>
      </c>
      <c r="N344" s="28" t="s">
        <v>3198</v>
      </c>
      <c r="O344" s="29" t="s">
        <v>2088</v>
      </c>
    </row>
    <row r="345" spans="2:15" ht="20.100000000000001" customHeight="1" x14ac:dyDescent="0.25">
      <c r="B345" s="7" t="s">
        <v>265</v>
      </c>
      <c r="C345" s="7" t="str">
        <f>IF(Entity[[#This Row],[Link]]="","",HYPERLINK(HTMLDokuPath&amp;Entity[[#This Row],[Link]],"Doku"))</f>
        <v>Doku</v>
      </c>
      <c r="D345" s="6">
        <v>25</v>
      </c>
      <c r="E345" s="20" t="str">
        <f>IFERROR(IF(VLOOKUP(Entity[ID-Modul],Modul[],3,FALSE)=0,VLOOKUP(Entity[ID-Modul],Modul[],2,FALSE),VLOOKUP(Entity[ID-Modul],Modul[],3,FALSE)),"unbekannt")</f>
        <v>IfcPresentationOrganizationResource</v>
      </c>
      <c r="F345" s="21" t="b">
        <v>1</v>
      </c>
      <c r="G345" s="21" t="b">
        <v>0</v>
      </c>
      <c r="H345" s="22" t="s">
        <v>878</v>
      </c>
      <c r="I345" s="19">
        <f>LEN(Entity[[#This Row],[IFC-Name]])</f>
        <v>21</v>
      </c>
      <c r="J345" s="7" t="s">
        <v>265</v>
      </c>
      <c r="K345" s="19">
        <f>LEN(Entity[[#This Row],[Klassen-Name]])</f>
        <v>21</v>
      </c>
      <c r="L345" s="7"/>
      <c r="M345" s="19" t="b">
        <f>IF(NOT(Entity[[#This Row],[Supertype]]),TRUE,AND(Entity[[#This Row],[Supertype]],Entity[[#This Row],[Subtype]]))</f>
        <v>1</v>
      </c>
      <c r="N345" s="28" t="s">
        <v>3199</v>
      </c>
      <c r="O345" s="29" t="s">
        <v>2089</v>
      </c>
    </row>
    <row r="346" spans="2:15" ht="20.100000000000001" customHeight="1" x14ac:dyDescent="0.25">
      <c r="B346" s="7" t="s">
        <v>266</v>
      </c>
      <c r="C346" s="7" t="str">
        <f>IF(Entity[[#This Row],[Link]]="","",HYPERLINK(HTMLDokuPath&amp;Entity[[#This Row],[Link]],"Doku"))</f>
        <v>Doku</v>
      </c>
      <c r="D346" s="6">
        <v>25</v>
      </c>
      <c r="E346" s="20" t="str">
        <f>IFERROR(IF(VLOOKUP(Entity[ID-Modul],Modul[],3,FALSE)=0,VLOOKUP(Entity[ID-Modul],Modul[],2,FALSE),VLOOKUP(Entity[ID-Modul],Modul[],3,FALSE)),"unbekannt")</f>
        <v>IfcPresentationOrganizationResource</v>
      </c>
      <c r="F346" s="21" t="b">
        <v>1</v>
      </c>
      <c r="G346" s="21" t="b">
        <v>0</v>
      </c>
      <c r="H346" s="22" t="s">
        <v>879</v>
      </c>
      <c r="I346" s="19">
        <f>LEN(Entity[[#This Row],[IFC-Name]])</f>
        <v>25</v>
      </c>
      <c r="J346" s="7" t="s">
        <v>266</v>
      </c>
      <c r="K346" s="19">
        <f>LEN(Entity[[#This Row],[Klassen-Name]])</f>
        <v>25</v>
      </c>
      <c r="L346" s="7"/>
      <c r="M346" s="19" t="b">
        <f>IF(NOT(Entity[[#This Row],[Supertype]]),TRUE,AND(Entity[[#This Row],[Supertype]],Entity[[#This Row],[Subtype]]))</f>
        <v>1</v>
      </c>
      <c r="N346" s="28" t="s">
        <v>3200</v>
      </c>
      <c r="O346" s="29" t="s">
        <v>2090</v>
      </c>
    </row>
    <row r="347" spans="2:15" ht="20.100000000000001" customHeight="1" x14ac:dyDescent="0.25">
      <c r="B347" s="7" t="s">
        <v>267</v>
      </c>
      <c r="C347" s="7" t="str">
        <f>IF(Entity[[#This Row],[Link]]="","",HYPERLINK(HTMLDokuPath&amp;Entity[[#This Row],[Link]],"Doku"))</f>
        <v>Doku</v>
      </c>
      <c r="D347" s="6">
        <v>25</v>
      </c>
      <c r="E347" s="20" t="str">
        <f>IFERROR(IF(VLOOKUP(Entity[ID-Modul],Modul[],3,FALSE)=0,VLOOKUP(Entity[ID-Modul],Modul[],2,FALSE),VLOOKUP(Entity[ID-Modul],Modul[],3,FALSE)),"unbekannt")</f>
        <v>IfcPresentationOrganizationResource</v>
      </c>
      <c r="F347" s="21" t="b">
        <v>1</v>
      </c>
      <c r="G347" s="21" t="b">
        <v>0</v>
      </c>
      <c r="H347" s="22" t="s">
        <v>880</v>
      </c>
      <c r="I347" s="19">
        <f>LEN(Entity[[#This Row],[IFC-Name]])</f>
        <v>25</v>
      </c>
      <c r="J347" s="7" t="s">
        <v>267</v>
      </c>
      <c r="K347" s="19">
        <f>LEN(Entity[[#This Row],[Klassen-Name]])</f>
        <v>25</v>
      </c>
      <c r="L347" s="7"/>
      <c r="M347" s="19" t="b">
        <f>IF(NOT(Entity[[#This Row],[Supertype]]),TRUE,AND(Entity[[#This Row],[Supertype]],Entity[[#This Row],[Subtype]]))</f>
        <v>1</v>
      </c>
      <c r="N347" s="28" t="s">
        <v>3201</v>
      </c>
      <c r="O347" s="29" t="s">
        <v>2091</v>
      </c>
    </row>
    <row r="348" spans="2:15" ht="20.100000000000001" customHeight="1" x14ac:dyDescent="0.25">
      <c r="B348" s="7" t="s">
        <v>268</v>
      </c>
      <c r="C348" s="7" t="str">
        <f>IF(Entity[[#This Row],[Link]]="","",HYPERLINK(HTMLDokuPath&amp;Entity[[#This Row],[Link]],"Doku"))</f>
        <v>Doku</v>
      </c>
      <c r="D348" s="6">
        <v>25</v>
      </c>
      <c r="E348" s="20" t="str">
        <f>IFERROR(IF(VLOOKUP(Entity[ID-Modul],Modul[],3,FALSE)=0,VLOOKUP(Entity[ID-Modul],Modul[],2,FALSE),VLOOKUP(Entity[ID-Modul],Modul[],3,FALSE)),"unbekannt")</f>
        <v>IfcPresentationOrganizationResource</v>
      </c>
      <c r="F348" s="21" t="b">
        <v>1</v>
      </c>
      <c r="G348" s="21" t="b">
        <v>1</v>
      </c>
      <c r="H348" s="22" t="s">
        <v>1367</v>
      </c>
      <c r="I348" s="19">
        <f>LEN(Entity[[#This Row],[IFC-Name]])</f>
        <v>24</v>
      </c>
      <c r="J348" s="7" t="s">
        <v>268</v>
      </c>
      <c r="K348" s="19">
        <f>LEN(Entity[[#This Row],[Klassen-Name]])</f>
        <v>24</v>
      </c>
      <c r="L348" s="7"/>
      <c r="M348" s="19" t="b">
        <f>IF(NOT(Entity[[#This Row],[Supertype]]),TRUE,AND(Entity[[#This Row],[Supertype]],Entity[[#This Row],[Subtype]]))</f>
        <v>1</v>
      </c>
      <c r="N348" s="28" t="s">
        <v>3202</v>
      </c>
      <c r="O348" s="29" t="s">
        <v>2092</v>
      </c>
    </row>
    <row r="349" spans="2:15" ht="20.100000000000001" customHeight="1" x14ac:dyDescent="0.25">
      <c r="B349" s="7" t="s">
        <v>269</v>
      </c>
      <c r="C349" s="7" t="str">
        <f>IF(Entity[[#This Row],[Link]]="","",HYPERLINK(HTMLDokuPath&amp;Entity[[#This Row],[Link]],"Doku"))</f>
        <v>Doku</v>
      </c>
      <c r="D349" s="6">
        <v>25</v>
      </c>
      <c r="E349" s="20" t="str">
        <f>IFERROR(IF(VLOOKUP(Entity[ID-Modul],Modul[],3,FALSE)=0,VLOOKUP(Entity[ID-Modul],Modul[],2,FALSE),VLOOKUP(Entity[ID-Modul],Modul[],3,FALSE)),"unbekannt")</f>
        <v>IfcPresentationOrganizationResource</v>
      </c>
      <c r="F349" s="21" t="b">
        <v>1</v>
      </c>
      <c r="G349" s="21" t="b">
        <v>0</v>
      </c>
      <c r="H349" s="22" t="s">
        <v>881</v>
      </c>
      <c r="I349" s="19">
        <f>LEN(Entity[[#This Row],[IFC-Name]])</f>
        <v>18</v>
      </c>
      <c r="J349" s="7" t="s">
        <v>269</v>
      </c>
      <c r="K349" s="19">
        <f>LEN(Entity[[#This Row],[Klassen-Name]])</f>
        <v>18</v>
      </c>
      <c r="L349" s="7"/>
      <c r="M349" s="19" t="b">
        <f>IF(NOT(Entity[[#This Row],[Supertype]]),TRUE,AND(Entity[[#This Row],[Supertype]],Entity[[#This Row],[Subtype]]))</f>
        <v>1</v>
      </c>
      <c r="N349" s="28" t="s">
        <v>3203</v>
      </c>
      <c r="O349" s="29" t="s">
        <v>2093</v>
      </c>
    </row>
    <row r="350" spans="2:15" ht="20.100000000000001" customHeight="1" x14ac:dyDescent="0.25">
      <c r="B350" s="7" t="s">
        <v>337</v>
      </c>
      <c r="C350" s="7" t="str">
        <f>IF(Entity[[#This Row],[Link]]="","",HYPERLINK(HTMLDokuPath&amp;Entity[[#This Row],[Link]],"Doku"))</f>
        <v>Doku</v>
      </c>
      <c r="D350" s="6">
        <v>25</v>
      </c>
      <c r="E350" s="20" t="str">
        <f>IFERROR(IF(VLOOKUP(Entity[ID-Modul],Modul[],3,FALSE)=0,VLOOKUP(Entity[ID-Modul],Modul[],2,FALSE),VLOOKUP(Entity[ID-Modul],Modul[],3,FALSE)),"unbekannt")</f>
        <v>IfcPresentationOrganizationResource</v>
      </c>
      <c r="F350" s="21" t="b">
        <v>0</v>
      </c>
      <c r="G350" s="21" t="b">
        <v>1</v>
      </c>
      <c r="H350" s="22" t="s">
        <v>1389</v>
      </c>
      <c r="I350" s="19">
        <f>LEN(Entity[[#This Row],[IFC-Name]])</f>
        <v>30</v>
      </c>
      <c r="J350" s="7" t="s">
        <v>2859</v>
      </c>
      <c r="K350" s="19">
        <f>LEN(Entity[[#This Row],[Klassen-Name]])</f>
        <v>0</v>
      </c>
      <c r="L350" s="7"/>
      <c r="M350" s="19" t="b">
        <f>IF(NOT(Entity[[#This Row],[Supertype]]),TRUE,AND(Entity[[#This Row],[Supertype]],Entity[[#This Row],[Subtype]]))</f>
        <v>0</v>
      </c>
      <c r="N350" s="28" t="s">
        <v>3286</v>
      </c>
      <c r="O350" s="29" t="s">
        <v>2175</v>
      </c>
    </row>
    <row r="351" spans="2:15" ht="20.100000000000001" customHeight="1" x14ac:dyDescent="0.25">
      <c r="B351" s="7" t="s">
        <v>338</v>
      </c>
      <c r="C351" s="7" t="str">
        <f>IF(Entity[[#This Row],[Link]]="","",HYPERLINK(HTMLDokuPath&amp;Entity[[#This Row],[Link]],"Doku"))</f>
        <v>Doku</v>
      </c>
      <c r="D351" s="6">
        <v>25</v>
      </c>
      <c r="E351" s="20" t="str">
        <f>IFERROR(IF(VLOOKUP(Entity[ID-Modul],Modul[],3,FALSE)=0,VLOOKUP(Entity[ID-Modul],Modul[],2,FALSE),VLOOKUP(Entity[ID-Modul],Modul[],3,FALSE)),"unbekannt")</f>
        <v>IfcPresentationOrganizationResource</v>
      </c>
      <c r="F351" s="21" t="b">
        <v>1</v>
      </c>
      <c r="G351" s="21" t="b">
        <v>0</v>
      </c>
      <c r="H351" s="22" t="s">
        <v>942</v>
      </c>
      <c r="I351" s="19">
        <f>LEN(Entity[[#This Row],[IFC-Name]])</f>
        <v>29</v>
      </c>
      <c r="J351" s="7" t="s">
        <v>338</v>
      </c>
      <c r="K351" s="19">
        <f>LEN(Entity[[#This Row],[Klassen-Name]])</f>
        <v>29</v>
      </c>
      <c r="L351" s="7"/>
      <c r="M351" s="19" t="b">
        <f>IF(NOT(Entity[[#This Row],[Supertype]]),TRUE,AND(Entity[[#This Row],[Supertype]],Entity[[#This Row],[Subtype]]))</f>
        <v>1</v>
      </c>
      <c r="N351" s="28" t="s">
        <v>3287</v>
      </c>
      <c r="O351" s="29" t="s">
        <v>2176</v>
      </c>
    </row>
    <row r="352" spans="2:15" ht="20.100000000000001" customHeight="1" x14ac:dyDescent="0.25">
      <c r="B352" s="7" t="s">
        <v>78</v>
      </c>
      <c r="C352" s="7" t="str">
        <f>IF(Entity[[#This Row],[Link]]="","",HYPERLINK(HTMLDokuPath&amp;Entity[[#This Row],[Link]],"Doku"))</f>
        <v>Doku</v>
      </c>
      <c r="D352" s="6">
        <v>26</v>
      </c>
      <c r="E352" s="20" t="str">
        <f>IFERROR(IF(VLOOKUP(Entity[ID-Modul],Modul[],3,FALSE)=0,VLOOKUP(Entity[ID-Modul],Modul[],2,FALSE),VLOOKUP(Entity[ID-Modul],Modul[],3,FALSE)),"unbekannt")</f>
        <v>IfcPresentationResource</v>
      </c>
      <c r="F352" s="21" t="b">
        <v>1</v>
      </c>
      <c r="G352" s="21" t="b">
        <v>0</v>
      </c>
      <c r="H352" s="22" t="s">
        <v>725</v>
      </c>
      <c r="I352" s="19">
        <f>LEN(Entity[[#This Row],[IFC-Name]])</f>
        <v>12</v>
      </c>
      <c r="J352" s="7" t="s">
        <v>78</v>
      </c>
      <c r="K352" s="19">
        <f>LEN(Entity[[#This Row],[Klassen-Name]])</f>
        <v>12</v>
      </c>
      <c r="L352" s="7"/>
      <c r="M352" s="19" t="b">
        <f>IF(NOT(Entity[[#This Row],[Supertype]]),TRUE,AND(Entity[[#This Row],[Supertype]],Entity[[#This Row],[Subtype]]))</f>
        <v>1</v>
      </c>
      <c r="N352" s="28" t="s">
        <v>2992</v>
      </c>
      <c r="O352" s="29" t="s">
        <v>1882</v>
      </c>
    </row>
    <row r="353" spans="2:15" ht="20.100000000000001" customHeight="1" x14ac:dyDescent="0.25">
      <c r="B353" s="7" t="s">
        <v>79</v>
      </c>
      <c r="C353" s="7" t="str">
        <f>IF(Entity[[#This Row],[Link]]="","",HYPERLINK(HTMLDokuPath&amp;Entity[[#This Row],[Link]],"Doku"))</f>
        <v>Doku</v>
      </c>
      <c r="D353" s="6">
        <v>26</v>
      </c>
      <c r="E353" s="20" t="str">
        <f>IFERROR(IF(VLOOKUP(Entity[ID-Modul],Modul[],3,FALSE)=0,VLOOKUP(Entity[ID-Modul],Modul[],2,FALSE),VLOOKUP(Entity[ID-Modul],Modul[],3,FALSE)),"unbekannt")</f>
        <v>IfcPresentationResource</v>
      </c>
      <c r="F353" s="21" t="b">
        <v>0</v>
      </c>
      <c r="G353" s="21" t="b">
        <v>1</v>
      </c>
      <c r="H353" s="22" t="s">
        <v>1313</v>
      </c>
      <c r="I353" s="19">
        <f>LEN(Entity[[#This Row],[IFC-Name]])</f>
        <v>22</v>
      </c>
      <c r="J353" s="7" t="s">
        <v>2859</v>
      </c>
      <c r="K353" s="19">
        <f>LEN(Entity[[#This Row],[Klassen-Name]])</f>
        <v>0</v>
      </c>
      <c r="L353" s="7"/>
      <c r="M353" s="19" t="b">
        <f>IF(NOT(Entity[[#This Row],[Supertype]]),TRUE,AND(Entity[[#This Row],[Supertype]],Entity[[#This Row],[Subtype]]))</f>
        <v>0</v>
      </c>
      <c r="N353" s="28" t="s">
        <v>2993</v>
      </c>
      <c r="O353" s="29" t="s">
        <v>1883</v>
      </c>
    </row>
    <row r="354" spans="2:15" ht="20.100000000000001" customHeight="1" x14ac:dyDescent="0.25">
      <c r="B354" s="7" t="s">
        <v>152</v>
      </c>
      <c r="C354" s="7" t="str">
        <f>IF(Entity[[#This Row],[Link]]="","",HYPERLINK(HTMLDokuPath&amp;Entity[[#This Row],[Link]],"Doku"))</f>
        <v>Doku</v>
      </c>
      <c r="D354" s="6">
        <v>26</v>
      </c>
      <c r="E354" s="20" t="str">
        <f>IFERROR(IF(VLOOKUP(Entity[ID-Modul],Modul[],3,FALSE)=0,VLOOKUP(Entity[ID-Modul],Modul[],2,FALSE),VLOOKUP(Entity[ID-Modul],Modul[],3,FALSE)),"unbekannt")</f>
        <v>IfcPresentationResource</v>
      </c>
      <c r="F354" s="21" t="b">
        <v>1</v>
      </c>
      <c r="G354" s="21" t="b">
        <v>0</v>
      </c>
      <c r="H354" s="22" t="s">
        <v>794</v>
      </c>
      <c r="I354" s="19">
        <f>LEN(Entity[[#This Row],[IFC-Name]])</f>
        <v>29</v>
      </c>
      <c r="J354" s="7" t="s">
        <v>152</v>
      </c>
      <c r="K354" s="19">
        <f>LEN(Entity[[#This Row],[Klassen-Name]])</f>
        <v>29</v>
      </c>
      <c r="L354" s="7"/>
      <c r="M354" s="19" t="b">
        <f>IF(NOT(Entity[[#This Row],[Supertype]]),TRUE,AND(Entity[[#This Row],[Supertype]],Entity[[#This Row],[Subtype]]))</f>
        <v>1</v>
      </c>
      <c r="N354" s="28" t="s">
        <v>3082</v>
      </c>
      <c r="O354" s="29" t="s">
        <v>1971</v>
      </c>
    </row>
    <row r="355" spans="2:15" ht="20.100000000000001" customHeight="1" x14ac:dyDescent="0.25">
      <c r="B355" s="7" t="s">
        <v>154</v>
      </c>
      <c r="C355" s="7" t="str">
        <f>IF(Entity[[#This Row],[Link]]="","",HYPERLINK(HTMLDokuPath&amp;Entity[[#This Row],[Link]],"Doku"))</f>
        <v>Doku</v>
      </c>
      <c r="D355" s="6">
        <v>26</v>
      </c>
      <c r="E355" s="20" t="str">
        <f>IFERROR(IF(VLOOKUP(Entity[ID-Modul],Modul[],3,FALSE)=0,VLOOKUP(Entity[ID-Modul],Modul[],2,FALSE),VLOOKUP(Entity[ID-Modul],Modul[],3,FALSE)),"unbekannt")</f>
        <v>IfcPresentationResource</v>
      </c>
      <c r="F355" s="21" t="b">
        <v>1</v>
      </c>
      <c r="G355" s="21" t="b">
        <v>0</v>
      </c>
      <c r="H355" s="22" t="s">
        <v>796</v>
      </c>
      <c r="I355" s="19">
        <f>LEN(Entity[[#This Row],[IFC-Name]])</f>
        <v>31</v>
      </c>
      <c r="J355" s="7" t="s">
        <v>154</v>
      </c>
      <c r="K355" s="19">
        <f>LEN(Entity[[#This Row],[Klassen-Name]])</f>
        <v>31</v>
      </c>
      <c r="L355" s="7"/>
      <c r="M355" s="19" t="b">
        <f>IF(NOT(Entity[[#This Row],[Supertype]]),TRUE,AND(Entity[[#This Row],[Supertype]],Entity[[#This Row],[Subtype]]))</f>
        <v>1</v>
      </c>
      <c r="N355" s="28" t="s">
        <v>3084</v>
      </c>
      <c r="O355" s="29" t="s">
        <v>1973</v>
      </c>
    </row>
    <row r="356" spans="2:15" ht="20.100000000000001" customHeight="1" x14ac:dyDescent="0.25">
      <c r="B356" s="7" t="s">
        <v>194</v>
      </c>
      <c r="C356" s="7" t="str">
        <f>IF(Entity[[#This Row],[Link]]="","",HYPERLINK(HTMLDokuPath&amp;Entity[[#This Row],[Link]],"Doku"))</f>
        <v>Doku</v>
      </c>
      <c r="D356" s="6">
        <v>26</v>
      </c>
      <c r="E356" s="20" t="str">
        <f>IFERROR(IF(VLOOKUP(Entity[ID-Modul],Modul[],3,FALSE)=0,VLOOKUP(Entity[ID-Modul],Modul[],2,FALSE),VLOOKUP(Entity[ID-Modul],Modul[],3,FALSE)),"unbekannt")</f>
        <v>IfcPresentationResource</v>
      </c>
      <c r="F356" s="21" t="b">
        <v>1</v>
      </c>
      <c r="G356" s="21" t="b">
        <v>0</v>
      </c>
      <c r="H356" s="22" t="s">
        <v>826</v>
      </c>
      <c r="I356" s="19">
        <f>LEN(Entity[[#This Row],[IFC-Name]])</f>
        <v>28</v>
      </c>
      <c r="J356" s="7" t="s">
        <v>194</v>
      </c>
      <c r="K356" s="19">
        <f>LEN(Entity[[#This Row],[Klassen-Name]])</f>
        <v>28</v>
      </c>
      <c r="L356" s="7"/>
      <c r="M356" s="19" t="b">
        <f>IF(NOT(Entity[[#This Row],[Supertype]]),TRUE,AND(Entity[[#This Row],[Supertype]],Entity[[#This Row],[Subtype]]))</f>
        <v>1</v>
      </c>
      <c r="N356" s="28" t="s">
        <v>3123</v>
      </c>
      <c r="O356" s="29" t="s">
        <v>2013</v>
      </c>
    </row>
    <row r="357" spans="2:15" ht="20.100000000000001" customHeight="1" x14ac:dyDescent="0.25">
      <c r="B357" s="7" t="s">
        <v>316</v>
      </c>
      <c r="C357" s="7" t="str">
        <f>IF(Entity[[#This Row],[Link]]="","",HYPERLINK(HTMLDokuPath&amp;Entity[[#This Row],[Link]],"Doku"))</f>
        <v>Doku</v>
      </c>
      <c r="D357" s="6">
        <v>26</v>
      </c>
      <c r="E357" s="20" t="str">
        <f>IFERROR(IF(VLOOKUP(Entity[ID-Modul],Modul[],3,FALSE)=0,VLOOKUP(Entity[ID-Modul],Modul[],2,FALSE),VLOOKUP(Entity[ID-Modul],Modul[],3,FALSE)),"unbekannt")</f>
        <v>IfcPresentationResource</v>
      </c>
      <c r="F357" s="21" t="b">
        <v>1</v>
      </c>
      <c r="G357" s="21" t="b">
        <v>0</v>
      </c>
      <c r="H357" s="22" t="s">
        <v>929</v>
      </c>
      <c r="I357" s="19">
        <f>LEN(Entity[[#This Row],[IFC-Name]])</f>
        <v>12</v>
      </c>
      <c r="J357" s="7" t="s">
        <v>316</v>
      </c>
      <c r="K357" s="19">
        <f>LEN(Entity[[#This Row],[Klassen-Name]])</f>
        <v>12</v>
      </c>
      <c r="L357" s="7"/>
      <c r="M357" s="19" t="b">
        <f>IF(NOT(Entity[[#This Row],[Supertype]]),TRUE,AND(Entity[[#This Row],[Supertype]],Entity[[#This Row],[Subtype]]))</f>
        <v>1</v>
      </c>
      <c r="N357" s="28" t="s">
        <v>3265</v>
      </c>
      <c r="O357" s="29" t="s">
        <v>2154</v>
      </c>
    </row>
    <row r="358" spans="2:15" ht="20.100000000000001" customHeight="1" x14ac:dyDescent="0.25">
      <c r="B358" s="7" t="s">
        <v>317</v>
      </c>
      <c r="C358" s="7" t="str">
        <f>IF(Entity[[#This Row],[Link]]="","",HYPERLINK(HTMLDokuPath&amp;Entity[[#This Row],[Link]],"Doku"))</f>
        <v>Doku</v>
      </c>
      <c r="D358" s="6">
        <v>26</v>
      </c>
      <c r="E358" s="20" t="str">
        <f>IFERROR(IF(VLOOKUP(Entity[ID-Modul],Modul[],3,FALSE)=0,VLOOKUP(Entity[ID-Modul],Modul[],2,FALSE),VLOOKUP(Entity[ID-Modul],Modul[],3,FALSE)),"unbekannt")</f>
        <v>IfcPresentationResource</v>
      </c>
      <c r="F358" s="21" t="b">
        <v>1</v>
      </c>
      <c r="G358" s="21" t="b">
        <v>1</v>
      </c>
      <c r="H358" s="22" t="s">
        <v>1381</v>
      </c>
      <c r="I358" s="19">
        <f>LEN(Entity[[#This Row],[IFC-Name]])</f>
        <v>15</v>
      </c>
      <c r="J358" s="7" t="s">
        <v>317</v>
      </c>
      <c r="K358" s="19">
        <f>LEN(Entity[[#This Row],[Klassen-Name]])</f>
        <v>15</v>
      </c>
      <c r="L358" s="7"/>
      <c r="M358" s="19" t="b">
        <f>IF(NOT(Entity[[#This Row],[Supertype]]),TRUE,AND(Entity[[#This Row],[Supertype]],Entity[[#This Row],[Subtype]]))</f>
        <v>1</v>
      </c>
      <c r="N358" s="28" t="s">
        <v>3266</v>
      </c>
      <c r="O358" s="29" t="s">
        <v>2155</v>
      </c>
    </row>
    <row r="359" spans="2:15" ht="20.100000000000001" customHeight="1" x14ac:dyDescent="0.25">
      <c r="B359" s="7" t="s">
        <v>329</v>
      </c>
      <c r="C359" s="7" t="str">
        <f>IF(Entity[[#This Row],[Link]]="","",HYPERLINK(HTMLDokuPath&amp;Entity[[#This Row],[Link]],"Doku"))</f>
        <v>Doku</v>
      </c>
      <c r="D359" s="6">
        <v>26</v>
      </c>
      <c r="E359" s="20" t="str">
        <f>IFERROR(IF(VLOOKUP(Entity[ID-Modul],Modul[],3,FALSE)=0,VLOOKUP(Entity[ID-Modul],Modul[],2,FALSE),VLOOKUP(Entity[ID-Modul],Modul[],3,FALSE)),"unbekannt")</f>
        <v>IfcPresentationResource</v>
      </c>
      <c r="F359" s="21" t="b">
        <v>1</v>
      </c>
      <c r="G359" s="21" t="b">
        <v>1</v>
      </c>
      <c r="H359" s="22" t="s">
        <v>1384</v>
      </c>
      <c r="I359" s="19">
        <f>LEN(Entity[[#This Row],[IFC-Name]])</f>
        <v>19</v>
      </c>
      <c r="J359" s="7" t="s">
        <v>329</v>
      </c>
      <c r="K359" s="19">
        <f>LEN(Entity[[#This Row],[Klassen-Name]])</f>
        <v>19</v>
      </c>
      <c r="L359" s="7"/>
      <c r="M359" s="19" t="b">
        <f>IF(NOT(Entity[[#This Row],[Supertype]]),TRUE,AND(Entity[[#This Row],[Supertype]],Entity[[#This Row],[Subtype]]))</f>
        <v>1</v>
      </c>
      <c r="N359" s="28" t="s">
        <v>3278</v>
      </c>
      <c r="O359" s="29" t="s">
        <v>2167</v>
      </c>
    </row>
    <row r="360" spans="2:15" ht="20.100000000000001" customHeight="1" x14ac:dyDescent="0.25">
      <c r="B360" s="7" t="s">
        <v>332</v>
      </c>
      <c r="C360" s="7" t="str">
        <f>IF(Entity[[#This Row],[Link]]="","",HYPERLINK(HTMLDokuPath&amp;Entity[[#This Row],[Link]],"Doku"))</f>
        <v>Doku</v>
      </c>
      <c r="D360" s="6">
        <v>26</v>
      </c>
      <c r="E360" s="20" t="str">
        <f>IFERROR(IF(VLOOKUP(Entity[ID-Modul],Modul[],3,FALSE)=0,VLOOKUP(Entity[ID-Modul],Modul[],2,FALSE),VLOOKUP(Entity[ID-Modul],Modul[],3,FALSE)),"unbekannt")</f>
        <v>IfcPresentationResource</v>
      </c>
      <c r="F360" s="21" t="b">
        <v>0</v>
      </c>
      <c r="G360" s="21" t="b">
        <v>1</v>
      </c>
      <c r="H360" s="22" t="s">
        <v>1386</v>
      </c>
      <c r="I360" s="19">
        <f>LEN(Entity[[#This Row],[IFC-Name]])</f>
        <v>17</v>
      </c>
      <c r="J360" s="7" t="s">
        <v>2859</v>
      </c>
      <c r="K360" s="19">
        <f>LEN(Entity[[#This Row],[Klassen-Name]])</f>
        <v>0</v>
      </c>
      <c r="L360" s="7"/>
      <c r="M360" s="19" t="b">
        <f>IF(NOT(Entity[[#This Row],[Supertype]]),TRUE,AND(Entity[[#This Row],[Supertype]],Entity[[#This Row],[Subtype]]))</f>
        <v>0</v>
      </c>
      <c r="N360" s="28" t="s">
        <v>3281</v>
      </c>
      <c r="O360" s="29" t="s">
        <v>2170</v>
      </c>
    </row>
    <row r="361" spans="2:15" ht="20.100000000000001" customHeight="1" x14ac:dyDescent="0.25">
      <c r="B361" s="7" t="s">
        <v>336</v>
      </c>
      <c r="C361" s="7" t="str">
        <f>IF(Entity[[#This Row],[Link]]="","",HYPERLINK(HTMLDokuPath&amp;Entity[[#This Row],[Link]],"Doku"))</f>
        <v>Doku</v>
      </c>
      <c r="D361" s="6">
        <v>26</v>
      </c>
      <c r="E361" s="20" t="str">
        <f>IFERROR(IF(VLOOKUP(Entity[ID-Modul],Modul[],3,FALSE)=0,VLOOKUP(Entity[ID-Modul],Modul[],2,FALSE),VLOOKUP(Entity[ID-Modul],Modul[],3,FALSE)),"unbekannt")</f>
        <v>IfcPresentationResource</v>
      </c>
      <c r="F361" s="21" t="b">
        <v>1</v>
      </c>
      <c r="G361" s="21" t="b">
        <v>1</v>
      </c>
      <c r="H361" s="22" t="s">
        <v>1388</v>
      </c>
      <c r="I361" s="19">
        <f>LEN(Entity[[#This Row],[IFC-Name]])</f>
        <v>21</v>
      </c>
      <c r="J361" s="7" t="s">
        <v>336</v>
      </c>
      <c r="K361" s="19">
        <f>LEN(Entity[[#This Row],[Klassen-Name]])</f>
        <v>21</v>
      </c>
      <c r="L361" s="7"/>
      <c r="M361" s="19" t="b">
        <f>IF(NOT(Entity[[#This Row],[Supertype]]),TRUE,AND(Entity[[#This Row],[Supertype]],Entity[[#This Row],[Subtype]]))</f>
        <v>1</v>
      </c>
      <c r="N361" s="28" t="s">
        <v>3285</v>
      </c>
      <c r="O361" s="29" t="s">
        <v>2174</v>
      </c>
    </row>
    <row r="362" spans="2:15" ht="20.100000000000001" customHeight="1" x14ac:dyDescent="0.25">
      <c r="B362" s="7" t="s">
        <v>545</v>
      </c>
      <c r="C362" s="7" t="str">
        <f>IF(Entity[[#This Row],[Link]]="","",HYPERLINK(HTMLDokuPath&amp;Entity[[#This Row],[Link]],"Doku"))</f>
        <v>Doku</v>
      </c>
      <c r="D362" s="6">
        <v>26</v>
      </c>
      <c r="E362" s="20" t="str">
        <f>IFERROR(IF(VLOOKUP(Entity[ID-Modul],Modul[],3,FALSE)=0,VLOOKUP(Entity[ID-Modul],Modul[],2,FALSE),VLOOKUP(Entity[ID-Modul],Modul[],3,FALSE)),"unbekannt")</f>
        <v>IfcPresentationResource</v>
      </c>
      <c r="F362" s="21" t="b">
        <v>1</v>
      </c>
      <c r="G362" s="21" t="b">
        <v>0</v>
      </c>
      <c r="H362" s="22" t="s">
        <v>1106</v>
      </c>
      <c r="I362" s="19">
        <f>LEN(Entity[[#This Row],[IFC-Name]])</f>
        <v>21</v>
      </c>
      <c r="J362" s="7" t="s">
        <v>545</v>
      </c>
      <c r="K362" s="19">
        <f>LEN(Entity[[#This Row],[Klassen-Name]])</f>
        <v>21</v>
      </c>
      <c r="L362" s="7"/>
      <c r="M362" s="19" t="b">
        <f>IF(NOT(Entity[[#This Row],[Supertype]]),TRUE,AND(Entity[[#This Row],[Supertype]],Entity[[#This Row],[Subtype]]))</f>
        <v>1</v>
      </c>
      <c r="N362" s="28" t="s">
        <v>3509</v>
      </c>
      <c r="O362" s="29" t="s">
        <v>2399</v>
      </c>
    </row>
    <row r="363" spans="2:15" ht="20.100000000000001" customHeight="1" x14ac:dyDescent="0.25">
      <c r="B363" s="7" t="s">
        <v>340</v>
      </c>
      <c r="C363" s="7" t="str">
        <f>IF(Entity[[#This Row],[Link]]="","",HYPERLINK(HTMLDokuPath&amp;Entity[[#This Row],[Link]],"Doku"))</f>
        <v>Doku</v>
      </c>
      <c r="D363" s="6">
        <v>27</v>
      </c>
      <c r="E363" s="20" t="str">
        <f>IFERROR(IF(VLOOKUP(Entity[ID-Modul],Modul[],3,FALSE)=0,VLOOKUP(Entity[ID-Modul],Modul[],2,FALSE),VLOOKUP(Entity[ID-Modul],Modul[],3,FALSE)),"unbekannt")</f>
        <v>IfcProcessExtension</v>
      </c>
      <c r="F363" s="21" t="b">
        <v>1</v>
      </c>
      <c r="G363" s="21" t="b">
        <v>0</v>
      </c>
      <c r="H363" s="22" t="s">
        <v>944</v>
      </c>
      <c r="I363" s="19">
        <f>LEN(Entity[[#This Row],[IFC-Name]])</f>
        <v>12</v>
      </c>
      <c r="J363" s="7" t="s">
        <v>340</v>
      </c>
      <c r="K363" s="19">
        <f>LEN(Entity[[#This Row],[Klassen-Name]])</f>
        <v>12</v>
      </c>
      <c r="L363" s="7"/>
      <c r="M363" s="19" t="b">
        <f>IF(NOT(Entity[[#This Row],[Supertype]]),TRUE,AND(Entity[[#This Row],[Supertype]],Entity[[#This Row],[Subtype]]))</f>
        <v>1</v>
      </c>
      <c r="N363" s="28" t="s">
        <v>3290</v>
      </c>
      <c r="O363" s="29" t="s">
        <v>2179</v>
      </c>
    </row>
    <row r="364" spans="2:15" ht="20.100000000000001" customHeight="1" x14ac:dyDescent="0.25">
      <c r="B364" s="7" t="s">
        <v>390</v>
      </c>
      <c r="C364" s="7" t="str">
        <f>IF(Entity[[#This Row],[Link]]="","",HYPERLINK(HTMLDokuPath&amp;Entity[[#This Row],[Link]],"Doku"))</f>
        <v>Doku</v>
      </c>
      <c r="D364" s="6">
        <v>27</v>
      </c>
      <c r="E364" s="20" t="str">
        <f>IFERROR(IF(VLOOKUP(Entity[ID-Modul],Modul[],3,FALSE)=0,VLOOKUP(Entity[ID-Modul],Modul[],2,FALSE),VLOOKUP(Entity[ID-Modul],Modul[],3,FALSE)),"unbekannt")</f>
        <v>IfcProcessExtension</v>
      </c>
      <c r="F364" s="21" t="b">
        <v>1</v>
      </c>
      <c r="G364" s="21" t="b">
        <v>0</v>
      </c>
      <c r="H364" s="22" t="s">
        <v>988</v>
      </c>
      <c r="I364" s="19">
        <f>LEN(Entity[[#This Row],[IFC-Name]])</f>
        <v>18</v>
      </c>
      <c r="J364" s="7" t="s">
        <v>390</v>
      </c>
      <c r="K364" s="19">
        <f>LEN(Entity[[#This Row],[Klassen-Name]])</f>
        <v>18</v>
      </c>
      <c r="L364" s="7"/>
      <c r="M364" s="19" t="b">
        <f>IF(NOT(Entity[[#This Row],[Supertype]]),TRUE,AND(Entity[[#This Row],[Supertype]],Entity[[#This Row],[Subtype]]))</f>
        <v>1</v>
      </c>
      <c r="N364" s="28" t="s">
        <v>3345</v>
      </c>
      <c r="O364" s="29" t="s">
        <v>2234</v>
      </c>
    </row>
    <row r="365" spans="2:15" ht="20.100000000000001" customHeight="1" x14ac:dyDescent="0.25">
      <c r="B365" s="7" t="s">
        <v>452</v>
      </c>
      <c r="C365" s="7" t="str">
        <f>IF(Entity[[#This Row],[Link]]="","",HYPERLINK(HTMLDokuPath&amp;Entity[[#This Row],[Link]],"Doku"))</f>
        <v>Doku</v>
      </c>
      <c r="D365" s="6">
        <v>27</v>
      </c>
      <c r="E365" s="20" t="str">
        <f>IFERROR(IF(VLOOKUP(Entity[ID-Modul],Modul[],3,FALSE)=0,VLOOKUP(Entity[ID-Modul],Modul[],2,FALSE),VLOOKUP(Entity[ID-Modul],Modul[],3,FALSE)),"unbekannt")</f>
        <v>IfcProcessExtension</v>
      </c>
      <c r="F365" s="21" t="b">
        <v>1</v>
      </c>
      <c r="G365" s="21" t="b">
        <v>0</v>
      </c>
      <c r="H365" s="22" t="s">
        <v>1037</v>
      </c>
      <c r="I365" s="19">
        <f>LEN(Entity[[#This Row],[IFC-Name]])</f>
        <v>22</v>
      </c>
      <c r="J365" s="7" t="s">
        <v>452</v>
      </c>
      <c r="K365" s="19">
        <f>LEN(Entity[[#This Row],[Klassen-Name]])</f>
        <v>22</v>
      </c>
      <c r="L365" s="7"/>
      <c r="M365" s="19" t="b">
        <f>IF(NOT(Entity[[#This Row],[Supertype]]),TRUE,AND(Entity[[#This Row],[Supertype]],Entity[[#This Row],[Subtype]]))</f>
        <v>1</v>
      </c>
      <c r="N365" s="28" t="s">
        <v>3408</v>
      </c>
      <c r="O365" s="29" t="s">
        <v>2298</v>
      </c>
    </row>
    <row r="366" spans="2:15" ht="20.100000000000001" customHeight="1" x14ac:dyDescent="0.25">
      <c r="B366" s="7" t="s">
        <v>537</v>
      </c>
      <c r="C366" s="7" t="str">
        <f>IF(Entity[[#This Row],[Link]]="","",HYPERLINK(HTMLDokuPath&amp;Entity[[#This Row],[Link]],"Doku"))</f>
        <v>Doku</v>
      </c>
      <c r="D366" s="6">
        <v>27</v>
      </c>
      <c r="E366" s="20" t="str">
        <f>IFERROR(IF(VLOOKUP(Entity[ID-Modul],Modul[],3,FALSE)=0,VLOOKUP(Entity[ID-Modul],Modul[],2,FALSE),VLOOKUP(Entity[ID-Modul],Modul[],3,FALSE)),"unbekannt")</f>
        <v>IfcProcessExtension</v>
      </c>
      <c r="F366" s="21" t="b">
        <v>1</v>
      </c>
      <c r="G366" s="21" t="b">
        <v>1</v>
      </c>
      <c r="H366" s="22" t="s">
        <v>1446</v>
      </c>
      <c r="I366" s="19">
        <f>LEN(Entity[[#This Row],[IFC-Name]])</f>
        <v>7</v>
      </c>
      <c r="J366" s="7" t="s">
        <v>537</v>
      </c>
      <c r="K366" s="19">
        <f>LEN(Entity[[#This Row],[Klassen-Name]])</f>
        <v>7</v>
      </c>
      <c r="L366" s="7"/>
      <c r="M366" s="19" t="b">
        <f>IF(NOT(Entity[[#This Row],[Supertype]]),TRUE,AND(Entity[[#This Row],[Supertype]],Entity[[#This Row],[Subtype]]))</f>
        <v>1</v>
      </c>
      <c r="N366" s="28" t="s">
        <v>3501</v>
      </c>
      <c r="O366" s="29" t="s">
        <v>2391</v>
      </c>
    </row>
    <row r="367" spans="2:15" ht="20.100000000000001" customHeight="1" x14ac:dyDescent="0.25">
      <c r="B367" s="7" t="s">
        <v>581</v>
      </c>
      <c r="C367" s="7" t="str">
        <f>IF(Entity[[#This Row],[Link]]="","",HYPERLINK(HTMLDokuPath&amp;Entity[[#This Row],[Link]],"Doku"))</f>
        <v>Doku</v>
      </c>
      <c r="D367" s="6">
        <v>27</v>
      </c>
      <c r="E367" s="20" t="str">
        <f>IFERROR(IF(VLOOKUP(Entity[ID-Modul],Modul[],3,FALSE)=0,VLOOKUP(Entity[ID-Modul],Modul[],2,FALSE),VLOOKUP(Entity[ID-Modul],Modul[],3,FALSE)),"unbekannt")</f>
        <v>IfcProcessExtension</v>
      </c>
      <c r="F367" s="21" t="b">
        <v>1</v>
      </c>
      <c r="G367" s="21" t="b">
        <v>1</v>
      </c>
      <c r="H367" s="22" t="s">
        <v>1456</v>
      </c>
      <c r="I367" s="19">
        <f>LEN(Entity[[#This Row],[IFC-Name]])</f>
        <v>14</v>
      </c>
      <c r="J367" s="7" t="s">
        <v>581</v>
      </c>
      <c r="K367" s="19">
        <f>LEN(Entity[[#This Row],[Klassen-Name]])</f>
        <v>14</v>
      </c>
      <c r="L367" s="7"/>
      <c r="M367" s="19" t="b">
        <f>IF(NOT(Entity[[#This Row],[Supertype]]),TRUE,AND(Entity[[#This Row],[Supertype]],Entity[[#This Row],[Subtype]]))</f>
        <v>1</v>
      </c>
      <c r="N367" s="28" t="s">
        <v>3555</v>
      </c>
      <c r="O367" s="29" t="s">
        <v>2444</v>
      </c>
    </row>
    <row r="368" spans="2:15" ht="20.100000000000001" customHeight="1" x14ac:dyDescent="0.25">
      <c r="B368" s="7" t="s">
        <v>582</v>
      </c>
      <c r="C368" s="7" t="str">
        <f>IF(Entity[[#This Row],[Link]]="","",HYPERLINK(HTMLDokuPath&amp;Entity[[#This Row],[Link]],"Doku"))</f>
        <v>Doku</v>
      </c>
      <c r="D368" s="6">
        <v>27</v>
      </c>
      <c r="E368" s="20" t="str">
        <f>IFERROR(IF(VLOOKUP(Entity[ID-Modul],Modul[],3,FALSE)=0,VLOOKUP(Entity[ID-Modul],Modul[],2,FALSE),VLOOKUP(Entity[ID-Modul],Modul[],3,FALSE)),"unbekannt")</f>
        <v>IfcProcessExtension</v>
      </c>
      <c r="F368" s="21" t="b">
        <v>1</v>
      </c>
      <c r="G368" s="21" t="b">
        <v>0</v>
      </c>
      <c r="H368" s="22" t="s">
        <v>1144</v>
      </c>
      <c r="I368" s="19">
        <f>LEN(Entity[[#This Row],[IFC-Name]])</f>
        <v>11</v>
      </c>
      <c r="J368" s="7" t="s">
        <v>582</v>
      </c>
      <c r="K368" s="19">
        <f>LEN(Entity[[#This Row],[Klassen-Name]])</f>
        <v>11</v>
      </c>
      <c r="L368" s="7"/>
      <c r="M368" s="19" t="b">
        <f>IF(NOT(Entity[[#This Row],[Supertype]]),TRUE,AND(Entity[[#This Row],[Supertype]],Entity[[#This Row],[Subtype]]))</f>
        <v>1</v>
      </c>
      <c r="N368" s="28" t="s">
        <v>3556</v>
      </c>
      <c r="O368" s="29" t="s">
        <v>2445</v>
      </c>
    </row>
    <row r="369" spans="2:15" ht="20.100000000000001" customHeight="1" x14ac:dyDescent="0.25">
      <c r="B369" s="7" t="s">
        <v>583</v>
      </c>
      <c r="C369" s="7" t="str">
        <f>IF(Entity[[#This Row],[Link]]="","",HYPERLINK(HTMLDokuPath&amp;Entity[[#This Row],[Link]],"Doku"))</f>
        <v>Doku</v>
      </c>
      <c r="D369" s="6">
        <v>27</v>
      </c>
      <c r="E369" s="20" t="str">
        <f>IFERROR(IF(VLOOKUP(Entity[ID-Modul],Modul[],3,FALSE)=0,VLOOKUP(Entity[ID-Modul],Modul[],2,FALSE),VLOOKUP(Entity[ID-Modul],Modul[],3,FALSE)),"unbekannt")</f>
        <v>IfcProcessExtension</v>
      </c>
      <c r="F369" s="21" t="b">
        <v>1</v>
      </c>
      <c r="G369" s="21" t="b">
        <v>0</v>
      </c>
      <c r="H369" s="22" t="s">
        <v>1145</v>
      </c>
      <c r="I369" s="19">
        <f>LEN(Entity[[#This Row],[IFC-Name]])</f>
        <v>15</v>
      </c>
      <c r="J369" s="7" t="s">
        <v>583</v>
      </c>
      <c r="K369" s="19">
        <f>LEN(Entity[[#This Row],[Klassen-Name]])</f>
        <v>15</v>
      </c>
      <c r="L369" s="7"/>
      <c r="M369" s="19" t="b">
        <f>IF(NOT(Entity[[#This Row],[Supertype]]),TRUE,AND(Entity[[#This Row],[Supertype]],Entity[[#This Row],[Subtype]]))</f>
        <v>1</v>
      </c>
      <c r="N369" s="28" t="s">
        <v>3557</v>
      </c>
      <c r="O369" s="29" t="s">
        <v>2446</v>
      </c>
    </row>
    <row r="370" spans="2:15" ht="20.100000000000001" customHeight="1" x14ac:dyDescent="0.25">
      <c r="B370" s="7" t="s">
        <v>15</v>
      </c>
      <c r="C370" s="7" t="str">
        <f>IF(Entity[[#This Row],[Link]]="","",HYPERLINK(HTMLDokuPath&amp;Entity[[#This Row],[Link]],"Doku"))</f>
        <v>Doku</v>
      </c>
      <c r="D370" s="6">
        <v>28</v>
      </c>
      <c r="E370" s="20" t="str">
        <f>IFERROR(IF(VLOOKUP(Entity[ID-Modul],Modul[],3,FALSE)=0,VLOOKUP(Entity[ID-Modul],Modul[],2,FALSE),VLOOKUP(Entity[ID-Modul],Modul[],3,FALSE)),"unbekannt")</f>
        <v>IfcProductExtension</v>
      </c>
      <c r="F370" s="21" t="b">
        <v>1</v>
      </c>
      <c r="G370" s="21" t="b">
        <v>0</v>
      </c>
      <c r="H370" s="22" t="s">
        <v>670</v>
      </c>
      <c r="I370" s="19">
        <f>LEN(Entity[[#This Row],[IFC-Name]])</f>
        <v>13</v>
      </c>
      <c r="J370" s="7" t="s">
        <v>15</v>
      </c>
      <c r="K370" s="19">
        <f>LEN(Entity[[#This Row],[Klassen-Name]])</f>
        <v>13</v>
      </c>
      <c r="L370" s="7"/>
      <c r="M370" s="19" t="b">
        <f>IF(NOT(Entity[[#This Row],[Supertype]]),TRUE,AND(Entity[[#This Row],[Supertype]],Entity[[#This Row],[Subtype]]))</f>
        <v>1</v>
      </c>
      <c r="N370" s="28" t="s">
        <v>2918</v>
      </c>
      <c r="O370" s="29" t="s">
        <v>1807</v>
      </c>
    </row>
    <row r="371" spans="2:15" ht="20.100000000000001" customHeight="1" x14ac:dyDescent="0.25">
      <c r="B371" s="7" t="s">
        <v>51</v>
      </c>
      <c r="C371" s="7" t="str">
        <f>IF(Entity[[#This Row],[Link]]="","",HYPERLINK(HTMLDokuPath&amp;Entity[[#This Row],[Link]],"Doku"))</f>
        <v>Doku</v>
      </c>
      <c r="D371" s="6">
        <v>28</v>
      </c>
      <c r="E371" s="20" t="str">
        <f>IFERROR(IF(VLOOKUP(Entity[ID-Modul],Modul[],3,FALSE)=0,VLOOKUP(Entity[ID-Modul],Modul[],2,FALSE),VLOOKUP(Entity[ID-Modul],Modul[],3,FALSE)),"unbekannt")</f>
        <v>IfcProductExtension</v>
      </c>
      <c r="F371" s="21" t="b">
        <v>1</v>
      </c>
      <c r="G371" s="21" t="b">
        <v>0</v>
      </c>
      <c r="H371" s="22" t="s">
        <v>699</v>
      </c>
      <c r="I371" s="19">
        <f>LEN(Entity[[#This Row],[IFC-Name]])</f>
        <v>11</v>
      </c>
      <c r="J371" s="7" t="s">
        <v>51</v>
      </c>
      <c r="K371" s="19">
        <f>LEN(Entity[[#This Row],[Klassen-Name]])</f>
        <v>11</v>
      </c>
      <c r="L371" s="7"/>
      <c r="M371" s="19" t="b">
        <f>IF(NOT(Entity[[#This Row],[Supertype]]),TRUE,AND(Entity[[#This Row],[Supertype]],Entity[[#This Row],[Subtype]]))</f>
        <v>1</v>
      </c>
      <c r="N371" s="28" t="s">
        <v>2960</v>
      </c>
      <c r="O371" s="29" t="s">
        <v>1849</v>
      </c>
    </row>
    <row r="372" spans="2:15" ht="20.100000000000001" customHeight="1" x14ac:dyDescent="0.25">
      <c r="B372" s="7" t="s">
        <v>52</v>
      </c>
      <c r="C372" s="7" t="str">
        <f>IF(Entity[[#This Row],[Link]]="","",HYPERLINK(HTMLDokuPath&amp;Entity[[#This Row],[Link]],"Doku"))</f>
        <v>Doku</v>
      </c>
      <c r="D372" s="6">
        <v>28</v>
      </c>
      <c r="E372" s="20" t="str">
        <f>IFERROR(IF(VLOOKUP(Entity[ID-Modul],Modul[],3,FALSE)=0,VLOOKUP(Entity[ID-Modul],Modul[],2,FALSE),VLOOKUP(Entity[ID-Modul],Modul[],3,FALSE)),"unbekannt")</f>
        <v>IfcProductExtension</v>
      </c>
      <c r="F372" s="21" t="b">
        <v>1</v>
      </c>
      <c r="G372" s="21" t="b">
        <v>1</v>
      </c>
      <c r="H372" s="22" t="s">
        <v>1306</v>
      </c>
      <c r="I372" s="19">
        <f>LEN(Entity[[#This Row],[IFC-Name]])</f>
        <v>18</v>
      </c>
      <c r="J372" s="7" t="s">
        <v>52</v>
      </c>
      <c r="K372" s="19">
        <f>LEN(Entity[[#This Row],[Klassen-Name]])</f>
        <v>18</v>
      </c>
      <c r="L372" s="7"/>
      <c r="M372" s="19" t="b">
        <f>IF(NOT(Entity[[#This Row],[Supertype]]),TRUE,AND(Entity[[#This Row],[Supertype]],Entity[[#This Row],[Subtype]]))</f>
        <v>1</v>
      </c>
      <c r="N372" s="28" t="s">
        <v>2961</v>
      </c>
      <c r="O372" s="29" t="s">
        <v>1850</v>
      </c>
    </row>
    <row r="373" spans="2:15" ht="20.100000000000001" customHeight="1" x14ac:dyDescent="0.25">
      <c r="B373" s="7" t="s">
        <v>55</v>
      </c>
      <c r="C373" s="7" t="str">
        <f>IF(Entity[[#This Row],[Link]]="","",HYPERLINK(HTMLDokuPath&amp;Entity[[#This Row],[Link]],"Doku"))</f>
        <v>Doku</v>
      </c>
      <c r="D373" s="6">
        <v>28</v>
      </c>
      <c r="E373" s="20" t="str">
        <f>IFERROR(IF(VLOOKUP(Entity[ID-Modul],Modul[],3,FALSE)=0,VLOOKUP(Entity[ID-Modul],Modul[],2,FALSE),VLOOKUP(Entity[ID-Modul],Modul[],3,FALSE)),"unbekannt")</f>
        <v>IfcProductExtension</v>
      </c>
      <c r="F373" s="21" t="b">
        <v>1</v>
      </c>
      <c r="G373" s="21" t="b">
        <v>0</v>
      </c>
      <c r="H373" s="22" t="s">
        <v>701</v>
      </c>
      <c r="I373" s="19">
        <f>LEN(Entity[[#This Row],[IFC-Name]])</f>
        <v>23</v>
      </c>
      <c r="J373" s="7" t="s">
        <v>55</v>
      </c>
      <c r="K373" s="19">
        <f>LEN(Entity[[#This Row],[Klassen-Name]])</f>
        <v>23</v>
      </c>
      <c r="L373" s="7"/>
      <c r="M373" s="19" t="b">
        <f>IF(NOT(Entity[[#This Row],[Supertype]]),TRUE,AND(Entity[[#This Row],[Supertype]],Entity[[#This Row],[Subtype]]))</f>
        <v>1</v>
      </c>
      <c r="N373" s="28" t="s">
        <v>2964</v>
      </c>
      <c r="O373" s="29" t="s">
        <v>1853</v>
      </c>
    </row>
    <row r="374" spans="2:15" ht="20.100000000000001" customHeight="1" x14ac:dyDescent="0.25">
      <c r="B374" s="7" t="s">
        <v>56</v>
      </c>
      <c r="C374" s="7" t="str">
        <f>IF(Entity[[#This Row],[Link]]="","",HYPERLINK(HTMLDokuPath&amp;Entity[[#This Row],[Link]],"Doku"))</f>
        <v>Doku</v>
      </c>
      <c r="D374" s="6">
        <v>28</v>
      </c>
      <c r="E374" s="20" t="str">
        <f>IFERROR(IF(VLOOKUP(Entity[ID-Modul],Modul[],3,FALSE)=0,VLOOKUP(Entity[ID-Modul],Modul[],2,FALSE),VLOOKUP(Entity[ID-Modul],Modul[],3,FALSE)),"unbekannt")</f>
        <v>IfcProductExtension</v>
      </c>
      <c r="F374" s="21" t="b">
        <v>1</v>
      </c>
      <c r="G374" s="21" t="b">
        <v>0</v>
      </c>
      <c r="H374" s="22" t="s">
        <v>702</v>
      </c>
      <c r="I374" s="19">
        <f>LEN(Entity[[#This Row],[IFC-Name]])</f>
        <v>27</v>
      </c>
      <c r="J374" s="7" t="s">
        <v>56</v>
      </c>
      <c r="K374" s="19">
        <f>LEN(Entity[[#This Row],[Klassen-Name]])</f>
        <v>27</v>
      </c>
      <c r="L374" s="7"/>
      <c r="M374" s="19" t="b">
        <f>IF(NOT(Entity[[#This Row],[Supertype]]),TRUE,AND(Entity[[#This Row],[Supertype]],Entity[[#This Row],[Subtype]]))</f>
        <v>1</v>
      </c>
      <c r="N374" s="28" t="s">
        <v>2965</v>
      </c>
      <c r="O374" s="29" t="s">
        <v>1854</v>
      </c>
    </row>
    <row r="375" spans="2:15" ht="20.100000000000001" customHeight="1" x14ac:dyDescent="0.25">
      <c r="B375" s="7" t="s">
        <v>57</v>
      </c>
      <c r="C375" s="7" t="str">
        <f>IF(Entity[[#This Row],[Link]]="","",HYPERLINK(HTMLDokuPath&amp;Entity[[#This Row],[Link]],"Doku"))</f>
        <v>Doku</v>
      </c>
      <c r="D375" s="6">
        <v>28</v>
      </c>
      <c r="E375" s="20" t="str">
        <f>IFERROR(IF(VLOOKUP(Entity[ID-Modul],Modul[],3,FALSE)=0,VLOOKUP(Entity[ID-Modul],Modul[],2,FALSE),VLOOKUP(Entity[ID-Modul],Modul[],3,FALSE)),"unbekannt")</f>
        <v>IfcProductExtension</v>
      </c>
      <c r="F375" s="21" t="b">
        <v>1</v>
      </c>
      <c r="G375" s="21" t="b">
        <v>1</v>
      </c>
      <c r="H375" s="22" t="s">
        <v>1308</v>
      </c>
      <c r="I375" s="19">
        <f>LEN(Entity[[#This Row],[IFC-Name]])</f>
        <v>22</v>
      </c>
      <c r="J375" s="7" t="s">
        <v>57</v>
      </c>
      <c r="K375" s="19">
        <f>LEN(Entity[[#This Row],[Klassen-Name]])</f>
        <v>22</v>
      </c>
      <c r="L375" s="7"/>
      <c r="M375" s="19" t="b">
        <f>IF(NOT(Entity[[#This Row],[Supertype]]),TRUE,AND(Entity[[#This Row],[Supertype]],Entity[[#This Row],[Subtype]]))</f>
        <v>1</v>
      </c>
      <c r="N375" s="28" t="s">
        <v>2966</v>
      </c>
      <c r="O375" s="29" t="s">
        <v>1855</v>
      </c>
    </row>
    <row r="376" spans="2:15" ht="20.100000000000001" customHeight="1" x14ac:dyDescent="0.25">
      <c r="B376" s="7" t="s">
        <v>58</v>
      </c>
      <c r="C376" s="7" t="str">
        <f>IF(Entity[[#This Row],[Link]]="","",HYPERLINK(HTMLDokuPath&amp;Entity[[#This Row],[Link]],"Doku"))</f>
        <v>Doku</v>
      </c>
      <c r="D376" s="6">
        <v>28</v>
      </c>
      <c r="E376" s="20" t="str">
        <f>IFERROR(IF(VLOOKUP(Entity[ID-Modul],Modul[],3,FALSE)=0,VLOOKUP(Entity[ID-Modul],Modul[],2,FALSE),VLOOKUP(Entity[ID-Modul],Modul[],3,FALSE)),"unbekannt")</f>
        <v>IfcProductExtension</v>
      </c>
      <c r="F376" s="21" t="b">
        <v>1</v>
      </c>
      <c r="G376" s="21" t="b">
        <v>0</v>
      </c>
      <c r="H376" s="22" t="s">
        <v>703</v>
      </c>
      <c r="I376" s="19">
        <f>LEN(Entity[[#This Row],[IFC-Name]])</f>
        <v>17</v>
      </c>
      <c r="J376" s="7" t="s">
        <v>58</v>
      </c>
      <c r="K376" s="19">
        <f>LEN(Entity[[#This Row],[Klassen-Name]])</f>
        <v>17</v>
      </c>
      <c r="L376" s="7"/>
      <c r="M376" s="19" t="b">
        <f>IF(NOT(Entity[[#This Row],[Supertype]]),TRUE,AND(Entity[[#This Row],[Supertype]],Entity[[#This Row],[Subtype]]))</f>
        <v>1</v>
      </c>
      <c r="N376" s="28" t="s">
        <v>2967</v>
      </c>
      <c r="O376" s="29" t="s">
        <v>1856</v>
      </c>
    </row>
    <row r="377" spans="2:15" ht="20.100000000000001" customHeight="1" x14ac:dyDescent="0.25">
      <c r="B377" s="7" t="s">
        <v>112</v>
      </c>
      <c r="C377" s="7" t="str">
        <f>IF(Entity[[#This Row],[Link]]="","",HYPERLINK(HTMLDokuPath&amp;Entity[[#This Row],[Link]],"Doku"))</f>
        <v>Doku</v>
      </c>
      <c r="D377" s="6">
        <v>28</v>
      </c>
      <c r="E377" s="20" t="str">
        <f>IFERROR(IF(VLOOKUP(Entity[ID-Modul],Modul[],3,FALSE)=0,VLOOKUP(Entity[ID-Modul],Modul[],2,FALSE),VLOOKUP(Entity[ID-Modul],Modul[],3,FALSE)),"unbekannt")</f>
        <v>IfcProductExtension</v>
      </c>
      <c r="F377" s="21" t="b">
        <v>1</v>
      </c>
      <c r="G377" s="21" t="b">
        <v>0</v>
      </c>
      <c r="H377" s="22" t="s">
        <v>754</v>
      </c>
      <c r="I377" s="19">
        <f>LEN(Entity[[#This Row],[IFC-Name]])</f>
        <v>11</v>
      </c>
      <c r="J377" s="7" t="s">
        <v>112</v>
      </c>
      <c r="K377" s="19">
        <f>LEN(Entity[[#This Row],[Klassen-Name]])</f>
        <v>11</v>
      </c>
      <c r="L377" s="7"/>
      <c r="M377" s="19" t="b">
        <f>IF(NOT(Entity[[#This Row],[Supertype]]),TRUE,AND(Entity[[#This Row],[Supertype]],Entity[[#This Row],[Subtype]]))</f>
        <v>1</v>
      </c>
      <c r="N377" s="28" t="s">
        <v>3030</v>
      </c>
      <c r="O377" s="29" t="s">
        <v>1920</v>
      </c>
    </row>
    <row r="378" spans="2:15" ht="20.100000000000001" customHeight="1" x14ac:dyDescent="0.25">
      <c r="B378" s="7" t="s">
        <v>113</v>
      </c>
      <c r="C378" s="7" t="str">
        <f>IF(Entity[[#This Row],[Link]]="","",HYPERLINK(HTMLDokuPath&amp;Entity[[#This Row],[Link]],"Doku"))</f>
        <v>Doku</v>
      </c>
      <c r="D378" s="6">
        <v>28</v>
      </c>
      <c r="E378" s="20" t="str">
        <f>IFERROR(IF(VLOOKUP(Entity[ID-Modul],Modul[],3,FALSE)=0,VLOOKUP(Entity[ID-Modul],Modul[],2,FALSE),VLOOKUP(Entity[ID-Modul],Modul[],3,FALSE)),"unbekannt")</f>
        <v>IfcProductExtension</v>
      </c>
      <c r="F378" s="21" t="b">
        <v>1</v>
      </c>
      <c r="G378" s="21" t="b">
        <v>0</v>
      </c>
      <c r="H378" s="22" t="s">
        <v>755</v>
      </c>
      <c r="I378" s="19">
        <f>LEN(Entity[[#This Row],[IFC-Name]])</f>
        <v>15</v>
      </c>
      <c r="J378" s="7" t="s">
        <v>113</v>
      </c>
      <c r="K378" s="19">
        <f>LEN(Entity[[#This Row],[Klassen-Name]])</f>
        <v>15</v>
      </c>
      <c r="L378" s="7"/>
      <c r="M378" s="19" t="b">
        <f>IF(NOT(Entity[[#This Row],[Supertype]]),TRUE,AND(Entity[[#This Row],[Supertype]],Entity[[#This Row],[Subtype]]))</f>
        <v>1</v>
      </c>
      <c r="N378" s="28" t="s">
        <v>3031</v>
      </c>
      <c r="O378" s="29" t="s">
        <v>1921</v>
      </c>
    </row>
    <row r="379" spans="2:15" ht="20.100000000000001" customHeight="1" x14ac:dyDescent="0.25">
      <c r="B379" s="7" t="s">
        <v>140</v>
      </c>
      <c r="C379" s="7" t="str">
        <f>IF(Entity[[#This Row],[Link]]="","",HYPERLINK(HTMLDokuPath&amp;Entity[[#This Row],[Link]],"Doku"))</f>
        <v>Doku</v>
      </c>
      <c r="D379" s="6">
        <v>28</v>
      </c>
      <c r="E379" s="20" t="str">
        <f>IFERROR(IF(VLOOKUP(Entity[ID-Modul],Modul[],3,FALSE)=0,VLOOKUP(Entity[ID-Modul],Modul[],2,FALSE),VLOOKUP(Entity[ID-Modul],Modul[],3,FALSE)),"unbekannt")</f>
        <v>IfcProductExtension</v>
      </c>
      <c r="F379" s="21" t="b">
        <v>1</v>
      </c>
      <c r="G379" s="21" t="b">
        <v>1</v>
      </c>
      <c r="H379" s="22" t="s">
        <v>1327</v>
      </c>
      <c r="I379" s="19">
        <f>LEN(Entity[[#This Row],[IFC-Name]])</f>
        <v>22</v>
      </c>
      <c r="J379" s="7" t="s">
        <v>140</v>
      </c>
      <c r="K379" s="19">
        <f>LEN(Entity[[#This Row],[Klassen-Name]])</f>
        <v>22</v>
      </c>
      <c r="L379" s="7"/>
      <c r="M379" s="19" t="b">
        <f>IF(NOT(Entity[[#This Row],[Supertype]]),TRUE,AND(Entity[[#This Row],[Supertype]],Entity[[#This Row],[Subtype]]))</f>
        <v>1</v>
      </c>
      <c r="N379" s="28" t="s">
        <v>3067</v>
      </c>
      <c r="O379" s="29" t="s">
        <v>1956</v>
      </c>
    </row>
    <row r="380" spans="2:15" ht="20.100000000000001" customHeight="1" x14ac:dyDescent="0.25">
      <c r="B380" s="7" t="s">
        <v>141</v>
      </c>
      <c r="C380" s="7" t="str">
        <f>IF(Entity[[#This Row],[Link]]="","",HYPERLINK(HTMLDokuPath&amp;Entity[[#This Row],[Link]],"Doku"))</f>
        <v>Doku</v>
      </c>
      <c r="D380" s="6">
        <v>28</v>
      </c>
      <c r="E380" s="20" t="str">
        <f>IFERROR(IF(VLOOKUP(Entity[ID-Modul],Modul[],3,FALSE)=0,VLOOKUP(Entity[ID-Modul],Modul[],2,FALSE),VLOOKUP(Entity[ID-Modul],Modul[],3,FALSE)),"unbekannt")</f>
        <v>IfcProductExtension</v>
      </c>
      <c r="F380" s="21" t="b">
        <v>1</v>
      </c>
      <c r="G380" s="21" t="b">
        <v>1</v>
      </c>
      <c r="H380" s="22" t="s">
        <v>1328</v>
      </c>
      <c r="I380" s="19">
        <f>LEN(Entity[[#This Row],[IFC-Name]])</f>
        <v>26</v>
      </c>
      <c r="J380" s="7" t="s">
        <v>141</v>
      </c>
      <c r="K380" s="19">
        <f>LEN(Entity[[#This Row],[Klassen-Name]])</f>
        <v>26</v>
      </c>
      <c r="L380" s="7"/>
      <c r="M380" s="19" t="b">
        <f>IF(NOT(Entity[[#This Row],[Supertype]]),TRUE,AND(Entity[[#This Row],[Supertype]],Entity[[#This Row],[Subtype]]))</f>
        <v>1</v>
      </c>
      <c r="N380" s="28" t="s">
        <v>3068</v>
      </c>
      <c r="O380" s="29" t="s">
        <v>1957</v>
      </c>
    </row>
    <row r="381" spans="2:15" ht="20.100000000000001" customHeight="1" x14ac:dyDescent="0.25">
      <c r="B381" s="7" t="s">
        <v>171</v>
      </c>
      <c r="C381" s="7" t="str">
        <f>IF(Entity[[#This Row],[Link]]="","",HYPERLINK(HTMLDokuPath&amp;Entity[[#This Row],[Link]],"Doku"))</f>
        <v>Doku</v>
      </c>
      <c r="D381" s="6">
        <v>28</v>
      </c>
      <c r="E381" s="20" t="str">
        <f>IFERROR(IF(VLOOKUP(Entity[ID-Modul],Modul[],3,FALSE)=0,VLOOKUP(Entity[ID-Modul],Modul[],2,FALSE),VLOOKUP(Entity[ID-Modul],Modul[],3,FALSE)),"unbekannt")</f>
        <v>IfcProductExtension</v>
      </c>
      <c r="F381" s="21" t="b">
        <v>1</v>
      </c>
      <c r="G381" s="21" t="b">
        <v>0</v>
      </c>
      <c r="H381" s="22" t="s">
        <v>811</v>
      </c>
      <c r="I381" s="19">
        <f>LEN(Entity[[#This Row],[IFC-Name]])</f>
        <v>20</v>
      </c>
      <c r="J381" s="7" t="s">
        <v>171</v>
      </c>
      <c r="K381" s="19">
        <f>LEN(Entity[[#This Row],[Klassen-Name]])</f>
        <v>20</v>
      </c>
      <c r="L381" s="7"/>
      <c r="M381" s="19" t="b">
        <f>IF(NOT(Entity[[#This Row],[Supertype]]),TRUE,AND(Entity[[#This Row],[Supertype]],Entity[[#This Row],[Subtype]]))</f>
        <v>1</v>
      </c>
      <c r="N381" s="28" t="s">
        <v>3094</v>
      </c>
      <c r="O381" s="29" t="s">
        <v>1990</v>
      </c>
    </row>
    <row r="382" spans="2:15" ht="20.100000000000001" customHeight="1" x14ac:dyDescent="0.25">
      <c r="B382" s="7" t="s">
        <v>172</v>
      </c>
      <c r="C382" s="7" t="str">
        <f>IF(Entity[[#This Row],[Link]]="","",HYPERLINK(HTMLDokuPath&amp;Entity[[#This Row],[Link]],"Doku"))</f>
        <v>Doku</v>
      </c>
      <c r="D382" s="6">
        <v>28</v>
      </c>
      <c r="E382" s="20" t="str">
        <f>IFERROR(IF(VLOOKUP(Entity[ID-Modul],Modul[],3,FALSE)=0,VLOOKUP(Entity[ID-Modul],Modul[],2,FALSE),VLOOKUP(Entity[ID-Modul],Modul[],3,FALSE)),"unbekannt")</f>
        <v>IfcProductExtension</v>
      </c>
      <c r="F382" s="21" t="b">
        <v>1</v>
      </c>
      <c r="G382" s="21" t="b">
        <v>1</v>
      </c>
      <c r="H382" s="22" t="s">
        <v>1335</v>
      </c>
      <c r="I382" s="19">
        <f>LEN(Entity[[#This Row],[IFC-Name]])</f>
        <v>10</v>
      </c>
      <c r="J382" s="7" t="s">
        <v>172</v>
      </c>
      <c r="K382" s="19">
        <f>LEN(Entity[[#This Row],[Klassen-Name]])</f>
        <v>10</v>
      </c>
      <c r="L382" s="7"/>
      <c r="M382" s="19" t="b">
        <f>IF(NOT(Entity[[#This Row],[Supertype]]),TRUE,AND(Entity[[#This Row],[Supertype]],Entity[[#This Row],[Subtype]]))</f>
        <v>1</v>
      </c>
      <c r="N382" s="28" t="s">
        <v>3102</v>
      </c>
      <c r="O382" s="29" t="s">
        <v>1991</v>
      </c>
    </row>
    <row r="383" spans="2:15" ht="20.100000000000001" customHeight="1" x14ac:dyDescent="0.25">
      <c r="B383" s="7" t="s">
        <v>173</v>
      </c>
      <c r="C383" s="7" t="str">
        <f>IF(Entity[[#This Row],[Link]]="","",HYPERLINK(HTMLDokuPath&amp;Entity[[#This Row],[Link]],"Doku"))</f>
        <v>Doku</v>
      </c>
      <c r="D383" s="6">
        <v>28</v>
      </c>
      <c r="E383" s="20" t="str">
        <f>IFERROR(IF(VLOOKUP(Entity[ID-Modul],Modul[],3,FALSE)=0,VLOOKUP(Entity[ID-Modul],Modul[],2,FALSE),VLOOKUP(Entity[ID-Modul],Modul[],3,FALSE)),"unbekannt")</f>
        <v>IfcProductExtension</v>
      </c>
      <c r="F383" s="21" t="b">
        <v>1</v>
      </c>
      <c r="G383" s="21" t="b">
        <v>0</v>
      </c>
      <c r="H383" s="22" t="s">
        <v>812</v>
      </c>
      <c r="I383" s="19">
        <f>LEN(Entity[[#This Row],[IFC-Name]])</f>
        <v>18</v>
      </c>
      <c r="J383" s="7" t="s">
        <v>173</v>
      </c>
      <c r="K383" s="19">
        <f>LEN(Entity[[#This Row],[Klassen-Name]])</f>
        <v>18</v>
      </c>
      <c r="L383" s="7"/>
      <c r="M383" s="19" t="b">
        <f>IF(NOT(Entity[[#This Row],[Supertype]]),TRUE,AND(Entity[[#This Row],[Supertype]],Entity[[#This Row],[Subtype]]))</f>
        <v>1</v>
      </c>
      <c r="N383" s="28" t="s">
        <v>3104</v>
      </c>
      <c r="O383" s="29" t="s">
        <v>1992</v>
      </c>
    </row>
    <row r="384" spans="2:15" ht="20.100000000000001" customHeight="1" x14ac:dyDescent="0.25">
      <c r="B384" s="7" t="s">
        <v>176</v>
      </c>
      <c r="C384" s="7" t="str">
        <f>IF(Entity[[#This Row],[Link]]="","",HYPERLINK(HTMLDokuPath&amp;Entity[[#This Row],[Link]],"Doku"))</f>
        <v>Doku</v>
      </c>
      <c r="D384" s="6">
        <v>28</v>
      </c>
      <c r="E384" s="20" t="str">
        <f>IFERROR(IF(VLOOKUP(Entity[ID-Modul],Modul[],3,FALSE)=0,VLOOKUP(Entity[ID-Modul],Modul[],2,FALSE),VLOOKUP(Entity[ID-Modul],Modul[],3,FALSE)),"unbekannt")</f>
        <v>IfcProductExtension</v>
      </c>
      <c r="F384" s="21" t="b">
        <v>1</v>
      </c>
      <c r="G384" s="21" t="b">
        <v>0</v>
      </c>
      <c r="H384" s="22" t="s">
        <v>813</v>
      </c>
      <c r="I384" s="19">
        <f>LEN(Entity[[#This Row],[IFC-Name]])</f>
        <v>18</v>
      </c>
      <c r="J384" s="7" t="s">
        <v>176</v>
      </c>
      <c r="K384" s="19">
        <f>LEN(Entity[[#This Row],[Klassen-Name]])</f>
        <v>18</v>
      </c>
      <c r="L384" s="7"/>
      <c r="M384" s="19" t="b">
        <f>IF(NOT(Entity[[#This Row],[Supertype]]),TRUE,AND(Entity[[#This Row],[Supertype]],Entity[[#This Row],[Subtype]]))</f>
        <v>1</v>
      </c>
      <c r="N384" s="28" t="s">
        <v>3107</v>
      </c>
      <c r="O384" s="29" t="s">
        <v>1995</v>
      </c>
    </row>
    <row r="385" spans="2:15" ht="20.100000000000001" customHeight="1" x14ac:dyDescent="0.25">
      <c r="B385" s="7" t="s">
        <v>177</v>
      </c>
      <c r="C385" s="7" t="str">
        <f>IF(Entity[[#This Row],[Link]]="","",HYPERLINK(HTMLDokuPath&amp;Entity[[#This Row],[Link]],"Doku"))</f>
        <v>Doku</v>
      </c>
      <c r="D385" s="6">
        <v>28</v>
      </c>
      <c r="E385" s="20" t="str">
        <f>IFERROR(IF(VLOOKUP(Entity[ID-Modul],Modul[],3,FALSE)=0,VLOOKUP(Entity[ID-Modul],Modul[],2,FALSE),VLOOKUP(Entity[ID-Modul],Modul[],3,FALSE)),"unbekannt")</f>
        <v>IfcProductExtension</v>
      </c>
      <c r="F385" s="21" t="b">
        <v>1</v>
      </c>
      <c r="G385" s="21" t="b">
        <v>1</v>
      </c>
      <c r="H385" s="22" t="s">
        <v>1338</v>
      </c>
      <c r="I385" s="19">
        <f>LEN(Entity[[#This Row],[IFC-Name]])</f>
        <v>14</v>
      </c>
      <c r="J385" s="7" t="s">
        <v>177</v>
      </c>
      <c r="K385" s="19">
        <f>LEN(Entity[[#This Row],[Klassen-Name]])</f>
        <v>14</v>
      </c>
      <c r="L385" s="7"/>
      <c r="M385" s="19" t="b">
        <f>IF(NOT(Entity[[#This Row],[Supertype]]),TRUE,AND(Entity[[#This Row],[Supertype]],Entity[[#This Row],[Subtype]]))</f>
        <v>1</v>
      </c>
      <c r="N385" s="28" t="s">
        <v>3108</v>
      </c>
      <c r="O385" s="29" t="s">
        <v>1996</v>
      </c>
    </row>
    <row r="386" spans="2:15" ht="20.100000000000001" customHeight="1" x14ac:dyDescent="0.25">
      <c r="B386" s="7" t="s">
        <v>185</v>
      </c>
      <c r="C386" s="7" t="str">
        <f>IF(Entity[[#This Row],[Link]]="","",HYPERLINK(HTMLDokuPath&amp;Entity[[#This Row],[Link]],"Doku"))</f>
        <v>Doku</v>
      </c>
      <c r="D386" s="6">
        <v>28</v>
      </c>
      <c r="E386" s="20" t="str">
        <f>IFERROR(IF(VLOOKUP(Entity[ID-Modul],Modul[],3,FALSE)=0,VLOOKUP(Entity[ID-Modul],Modul[],2,FALSE),VLOOKUP(Entity[ID-Modul],Modul[],3,FALSE)),"unbekannt")</f>
        <v>IfcProductExtension</v>
      </c>
      <c r="F386" s="21" t="b">
        <v>1</v>
      </c>
      <c r="G386" s="21" t="b">
        <v>0</v>
      </c>
      <c r="H386" s="22" t="s">
        <v>818</v>
      </c>
      <c r="I386" s="19">
        <f>LEN(Entity[[#This Row],[IFC-Name]])</f>
        <v>19</v>
      </c>
      <c r="J386" s="7" t="s">
        <v>185</v>
      </c>
      <c r="K386" s="19">
        <f>LEN(Entity[[#This Row],[Klassen-Name]])</f>
        <v>19</v>
      </c>
      <c r="L386" s="7"/>
      <c r="M386" s="19" t="b">
        <f>IF(NOT(Entity[[#This Row],[Supertype]]),TRUE,AND(Entity[[#This Row],[Supertype]],Entity[[#This Row],[Subtype]]))</f>
        <v>1</v>
      </c>
      <c r="N386" s="28" t="s">
        <v>3115</v>
      </c>
      <c r="O386" s="29" t="s">
        <v>2004</v>
      </c>
    </row>
    <row r="387" spans="2:15" ht="20.100000000000001" customHeight="1" x14ac:dyDescent="0.25">
      <c r="B387" s="7" t="s">
        <v>207</v>
      </c>
      <c r="C387" s="7" t="str">
        <f>IF(Entity[[#This Row],[Link]]="","",HYPERLINK(HTMLDokuPath&amp;Entity[[#This Row],[Link]],"Doku"))</f>
        <v>Doku</v>
      </c>
      <c r="D387" s="6">
        <v>28</v>
      </c>
      <c r="E387" s="20" t="str">
        <f>IFERROR(IF(VLOOKUP(Entity[ID-Modul],Modul[],3,FALSE)=0,VLOOKUP(Entity[ID-Modul],Modul[],2,FALSE),VLOOKUP(Entity[ID-Modul],Modul[],3,FALSE)),"unbekannt")</f>
        <v>IfcProductExtension</v>
      </c>
      <c r="F387" s="21" t="b">
        <v>1</v>
      </c>
      <c r="G387" s="21" t="b">
        <v>1</v>
      </c>
      <c r="H387" s="22" t="s">
        <v>1347</v>
      </c>
      <c r="I387" s="19">
        <f>LEN(Entity[[#This Row],[IFC-Name]])</f>
        <v>17</v>
      </c>
      <c r="J387" s="7" t="s">
        <v>207</v>
      </c>
      <c r="K387" s="19">
        <f>LEN(Entity[[#This Row],[Klassen-Name]])</f>
        <v>17</v>
      </c>
      <c r="L387" s="7"/>
      <c r="M387" s="19" t="b">
        <f>IF(NOT(Entity[[#This Row],[Supertype]]),TRUE,AND(Entity[[#This Row],[Supertype]],Entity[[#This Row],[Subtype]]))</f>
        <v>1</v>
      </c>
      <c r="N387" s="28" t="s">
        <v>3137</v>
      </c>
      <c r="O387" s="29" t="s">
        <v>2026</v>
      </c>
    </row>
    <row r="388" spans="2:15" ht="20.100000000000001" customHeight="1" x14ac:dyDescent="0.25">
      <c r="B388" s="7" t="s">
        <v>208</v>
      </c>
      <c r="C388" s="7" t="str">
        <f>IF(Entity[[#This Row],[Link]]="","",HYPERLINK(HTMLDokuPath&amp;Entity[[#This Row],[Link]],"Doku"))</f>
        <v>Doku</v>
      </c>
      <c r="D388" s="6">
        <v>28</v>
      </c>
      <c r="E388" s="20" t="str">
        <f>IFERROR(IF(VLOOKUP(Entity[ID-Modul],Modul[],3,FALSE)=0,VLOOKUP(Entity[ID-Modul],Modul[],2,FALSE),VLOOKUP(Entity[ID-Modul],Modul[],3,FALSE)),"unbekannt")</f>
        <v>IfcProductExtension</v>
      </c>
      <c r="F388" s="21" t="b">
        <v>1</v>
      </c>
      <c r="G388" s="21" t="b">
        <v>1</v>
      </c>
      <c r="H388" s="22" t="s">
        <v>1348</v>
      </c>
      <c r="I388" s="19">
        <f>LEN(Entity[[#This Row],[IFC-Name]])</f>
        <v>25</v>
      </c>
      <c r="J388" s="7" t="s">
        <v>208</v>
      </c>
      <c r="K388" s="19">
        <f>LEN(Entity[[#This Row],[Klassen-Name]])</f>
        <v>25</v>
      </c>
      <c r="L388" s="7"/>
      <c r="M388" s="19" t="b">
        <f>IF(NOT(Entity[[#This Row],[Supertype]]),TRUE,AND(Entity[[#This Row],[Supertype]],Entity[[#This Row],[Subtype]]))</f>
        <v>1</v>
      </c>
      <c r="N388" s="28" t="s">
        <v>3138</v>
      </c>
      <c r="O388" s="29" t="s">
        <v>2027</v>
      </c>
    </row>
    <row r="389" spans="2:15" ht="20.100000000000001" customHeight="1" x14ac:dyDescent="0.25">
      <c r="B389" s="7" t="s">
        <v>209</v>
      </c>
      <c r="C389" s="7" t="str">
        <f>IF(Entity[[#This Row],[Link]]="","",HYPERLINK(HTMLDokuPath&amp;Entity[[#This Row],[Link]],"Doku"))</f>
        <v>Doku</v>
      </c>
      <c r="D389" s="6">
        <v>28</v>
      </c>
      <c r="E389" s="20" t="str">
        <f>IFERROR(IF(VLOOKUP(Entity[ID-Modul],Modul[],3,FALSE)=0,VLOOKUP(Entity[ID-Modul],Modul[],2,FALSE),VLOOKUP(Entity[ID-Modul],Modul[],3,FALSE)),"unbekannt")</f>
        <v>IfcProductExtension</v>
      </c>
      <c r="F389" s="21" t="b">
        <v>1</v>
      </c>
      <c r="G389" s="21" t="b">
        <v>1</v>
      </c>
      <c r="H389" s="22" t="s">
        <v>1349</v>
      </c>
      <c r="I389" s="19">
        <f>LEN(Entity[[#This Row],[IFC-Name]])</f>
        <v>28</v>
      </c>
      <c r="J389" s="7" t="s">
        <v>209</v>
      </c>
      <c r="K389" s="19">
        <f>LEN(Entity[[#This Row],[Klassen-Name]])</f>
        <v>28</v>
      </c>
      <c r="L389" s="7"/>
      <c r="M389" s="19" t="b">
        <f>IF(NOT(Entity[[#This Row],[Supertype]]),TRUE,AND(Entity[[#This Row],[Supertype]],Entity[[#This Row],[Subtype]]))</f>
        <v>1</v>
      </c>
      <c r="N389" s="28" t="s">
        <v>3139</v>
      </c>
      <c r="O389" s="29" t="s">
        <v>2028</v>
      </c>
    </row>
    <row r="390" spans="2:15" ht="20.100000000000001" customHeight="1" x14ac:dyDescent="0.25">
      <c r="B390" s="7" t="s">
        <v>235</v>
      </c>
      <c r="C390" s="7" t="str">
        <f>IF(Entity[[#This Row],[Link]]="","",HYPERLINK(HTMLDokuPath&amp;Entity[[#This Row],[Link]],"Doku"))</f>
        <v>Doku</v>
      </c>
      <c r="D390" s="6">
        <v>28</v>
      </c>
      <c r="E390" s="20" t="str">
        <f>IFERROR(IF(VLOOKUP(Entity[ID-Modul],Modul[],3,FALSE)=0,VLOOKUP(Entity[ID-Modul],Modul[],2,FALSE),VLOOKUP(Entity[ID-Modul],Modul[],3,FALSE)),"unbekannt")</f>
        <v>IfcProductExtension</v>
      </c>
      <c r="F390" s="21" t="b">
        <v>1</v>
      </c>
      <c r="G390" s="21" t="b">
        <v>0</v>
      </c>
      <c r="H390" s="22" t="s">
        <v>852</v>
      </c>
      <c r="I390" s="19">
        <f>LEN(Entity[[#This Row],[IFC-Name]])</f>
        <v>20</v>
      </c>
      <c r="J390" s="7" t="s">
        <v>235</v>
      </c>
      <c r="K390" s="19">
        <f>LEN(Entity[[#This Row],[Klassen-Name]])</f>
        <v>20</v>
      </c>
      <c r="L390" s="7"/>
      <c r="M390" s="19" t="b">
        <f>IF(NOT(Entity[[#This Row],[Supertype]]),TRUE,AND(Entity[[#This Row],[Supertype]],Entity[[#This Row],[Subtype]]))</f>
        <v>1</v>
      </c>
      <c r="N390" s="28" t="s">
        <v>3165</v>
      </c>
      <c r="O390" s="29" t="s">
        <v>2054</v>
      </c>
    </row>
    <row r="391" spans="2:15" ht="20.100000000000001" customHeight="1" x14ac:dyDescent="0.25">
      <c r="B391" s="7" t="s">
        <v>236</v>
      </c>
      <c r="C391" s="7" t="str">
        <f>IF(Entity[[#This Row],[Link]]="","",HYPERLINK(HTMLDokuPath&amp;Entity[[#This Row],[Link]],"Doku"))</f>
        <v>Doku</v>
      </c>
      <c r="D391" s="6">
        <v>28</v>
      </c>
      <c r="E391" s="20" t="str">
        <f>IFERROR(IF(VLOOKUP(Entity[ID-Modul],Modul[],3,FALSE)=0,VLOOKUP(Entity[ID-Modul],Modul[],2,FALSE),VLOOKUP(Entity[ID-Modul],Modul[],3,FALSE)),"unbekannt")</f>
        <v>IfcProductExtension</v>
      </c>
      <c r="F391" s="21" t="b">
        <v>1</v>
      </c>
      <c r="G391" s="21" t="b">
        <v>1</v>
      </c>
      <c r="H391" s="22" t="s">
        <v>1358</v>
      </c>
      <c r="I391" s="19">
        <f>LEN(Entity[[#This Row],[IFC-Name]])</f>
        <v>24</v>
      </c>
      <c r="J391" s="7" t="s">
        <v>236</v>
      </c>
      <c r="K391" s="19">
        <f>LEN(Entity[[#This Row],[Klassen-Name]])</f>
        <v>24</v>
      </c>
      <c r="L391" s="7"/>
      <c r="M391" s="19" t="b">
        <f>IF(NOT(Entity[[#This Row],[Supertype]]),TRUE,AND(Entity[[#This Row],[Supertype]],Entity[[#This Row],[Subtype]]))</f>
        <v>1</v>
      </c>
      <c r="N391" s="28" t="s">
        <v>3166</v>
      </c>
      <c r="O391" s="29" t="s">
        <v>2055</v>
      </c>
    </row>
    <row r="392" spans="2:15" ht="20.100000000000001" customHeight="1" x14ac:dyDescent="0.25">
      <c r="B392" s="7" t="s">
        <v>247</v>
      </c>
      <c r="C392" s="7" t="str">
        <f>IF(Entity[[#This Row],[Link]]="","",HYPERLINK(HTMLDokuPath&amp;Entity[[#This Row],[Link]],"Doku"))</f>
        <v>Doku</v>
      </c>
      <c r="D392" s="6">
        <v>28</v>
      </c>
      <c r="E392" s="20" t="str">
        <f>IFERROR(IF(VLOOKUP(Entity[ID-Modul],Modul[],3,FALSE)=0,VLOOKUP(Entity[ID-Modul],Modul[],2,FALSE),VLOOKUP(Entity[ID-Modul],Modul[],3,FALSE)),"unbekannt")</f>
        <v>IfcProductExtension</v>
      </c>
      <c r="F392" s="21" t="b">
        <v>1</v>
      </c>
      <c r="G392" s="21" t="b">
        <v>0</v>
      </c>
      <c r="H392" s="22" t="s">
        <v>859</v>
      </c>
      <c r="I392" s="19">
        <f>LEN(Entity[[#This Row],[IFC-Name]])</f>
        <v>7</v>
      </c>
      <c r="J392" s="7" t="s">
        <v>247</v>
      </c>
      <c r="K392" s="19">
        <f>LEN(Entity[[#This Row],[Klassen-Name]])</f>
        <v>7</v>
      </c>
      <c r="L392" s="7"/>
      <c r="M392" s="19" t="b">
        <f>IF(NOT(Entity[[#This Row],[Supertype]]),TRUE,AND(Entity[[#This Row],[Supertype]],Entity[[#This Row],[Subtype]]))</f>
        <v>1</v>
      </c>
      <c r="N392" s="28" t="s">
        <v>3177</v>
      </c>
      <c r="O392" s="29" t="s">
        <v>2066</v>
      </c>
    </row>
    <row r="393" spans="2:15" ht="20.100000000000001" customHeight="1" x14ac:dyDescent="0.25">
      <c r="B393" s="7" t="s">
        <v>298</v>
      </c>
      <c r="C393" s="7" t="str">
        <f>IF(Entity[[#This Row],[Link]]="","",HYPERLINK(HTMLDokuPath&amp;Entity[[#This Row],[Link]],"Doku"))</f>
        <v>Doku</v>
      </c>
      <c r="D393" s="6">
        <v>28</v>
      </c>
      <c r="E393" s="20" t="str">
        <f>IFERROR(IF(VLOOKUP(Entity[ID-Modul],Modul[],3,FALSE)=0,VLOOKUP(Entity[ID-Modul],Modul[],2,FALSE),VLOOKUP(Entity[ID-Modul],Modul[],3,FALSE)),"unbekannt")</f>
        <v>IfcProductExtension</v>
      </c>
      <c r="F393" s="21" t="b">
        <v>1</v>
      </c>
      <c r="G393" s="21" t="b">
        <v>0</v>
      </c>
      <c r="H393" s="22" t="s">
        <v>910</v>
      </c>
      <c r="I393" s="19">
        <f>LEN(Entity[[#This Row],[IFC-Name]])</f>
        <v>17</v>
      </c>
      <c r="J393" s="7" t="s">
        <v>298</v>
      </c>
      <c r="K393" s="19">
        <f>LEN(Entity[[#This Row],[Klassen-Name]])</f>
        <v>17</v>
      </c>
      <c r="L393" s="7"/>
      <c r="M393" s="19" t="b">
        <f>IF(NOT(Entity[[#This Row],[Supertype]]),TRUE,AND(Entity[[#This Row],[Supertype]],Entity[[#This Row],[Subtype]]))</f>
        <v>1</v>
      </c>
      <c r="N393" s="28" t="s">
        <v>3241</v>
      </c>
      <c r="O393" s="29" t="s">
        <v>2131</v>
      </c>
    </row>
    <row r="394" spans="2:15" ht="20.100000000000001" customHeight="1" x14ac:dyDescent="0.25">
      <c r="B394" s="7" t="s">
        <v>327</v>
      </c>
      <c r="C394" s="7" t="str">
        <f>IF(Entity[[#This Row],[Link]]="","",HYPERLINK(HTMLDokuPath&amp;Entity[[#This Row],[Link]],"Doku"))</f>
        <v>Doku</v>
      </c>
      <c r="D394" s="6">
        <v>28</v>
      </c>
      <c r="E394" s="20" t="str">
        <f>IFERROR(IF(VLOOKUP(Entity[ID-Modul],Modul[],3,FALSE)=0,VLOOKUP(Entity[ID-Modul],Modul[],2,FALSE),VLOOKUP(Entity[ID-Modul],Modul[],3,FALSE)),"unbekannt")</f>
        <v>IfcProductExtension</v>
      </c>
      <c r="F394" s="21" t="b">
        <v>1</v>
      </c>
      <c r="G394" s="21" t="b">
        <v>1</v>
      </c>
      <c r="H394" s="22" t="s">
        <v>1383</v>
      </c>
      <c r="I394" s="19">
        <f>LEN(Entity[[#This Row],[IFC-Name]])</f>
        <v>7</v>
      </c>
      <c r="J394" s="7" t="s">
        <v>327</v>
      </c>
      <c r="K394" s="19">
        <f>LEN(Entity[[#This Row],[Klassen-Name]])</f>
        <v>7</v>
      </c>
      <c r="L394" s="7"/>
      <c r="M394" s="19" t="b">
        <f>IF(NOT(Entity[[#This Row],[Supertype]]),TRUE,AND(Entity[[#This Row],[Supertype]],Entity[[#This Row],[Subtype]]))</f>
        <v>1</v>
      </c>
      <c r="N394" s="28" t="s">
        <v>3276</v>
      </c>
      <c r="O394" s="29" t="s">
        <v>2165</v>
      </c>
    </row>
    <row r="395" spans="2:15" ht="20.100000000000001" customHeight="1" x14ac:dyDescent="0.25">
      <c r="B395" s="7" t="s">
        <v>352</v>
      </c>
      <c r="C395" s="7" t="str">
        <f>IF(Entity[[#This Row],[Link]]="","",HYPERLINK(HTMLDokuPath&amp;Entity[[#This Row],[Link]],"Doku"))</f>
        <v>Doku</v>
      </c>
      <c r="D395" s="6">
        <v>28</v>
      </c>
      <c r="E395" s="20" t="str">
        <f>IFERROR(IF(VLOOKUP(Entity[ID-Modul],Modul[],3,FALSE)=0,VLOOKUP(Entity[ID-Modul],Modul[],2,FALSE),VLOOKUP(Entity[ID-Modul],Modul[],3,FALSE)),"unbekannt")</f>
        <v>IfcProductExtension</v>
      </c>
      <c r="F395" s="21" t="b">
        <v>1</v>
      </c>
      <c r="G395" s="21" t="b">
        <v>0</v>
      </c>
      <c r="H395" s="22" t="s">
        <v>951</v>
      </c>
      <c r="I395" s="19">
        <f>LEN(Entity[[#This Row],[IFC-Name]])</f>
        <v>20</v>
      </c>
      <c r="J395" s="7" t="s">
        <v>352</v>
      </c>
      <c r="K395" s="19">
        <f>LEN(Entity[[#This Row],[Klassen-Name]])</f>
        <v>20</v>
      </c>
      <c r="L395" s="7"/>
      <c r="M395" s="19" t="b">
        <f>IF(NOT(Entity[[#This Row],[Supertype]]),TRUE,AND(Entity[[#This Row],[Supertype]],Entity[[#This Row],[Subtype]]))</f>
        <v>1</v>
      </c>
      <c r="N395" s="28" t="s">
        <v>3300</v>
      </c>
      <c r="O395" s="29" t="s">
        <v>2191</v>
      </c>
    </row>
    <row r="396" spans="2:15" ht="20.100000000000001" customHeight="1" x14ac:dyDescent="0.25">
      <c r="B396" s="7" t="s">
        <v>405</v>
      </c>
      <c r="C396" s="7" t="str">
        <f>IF(Entity[[#This Row],[Link]]="","",HYPERLINK(HTMLDokuPath&amp;Entity[[#This Row],[Link]],"Doku"))</f>
        <v>Doku</v>
      </c>
      <c r="D396" s="6">
        <v>28</v>
      </c>
      <c r="E396" s="20" t="str">
        <f>IFERROR(IF(VLOOKUP(Entity[ID-Modul],Modul[],3,FALSE)=0,VLOOKUP(Entity[ID-Modul],Modul[],2,FALSE),VLOOKUP(Entity[ID-Modul],Modul[],3,FALSE)),"unbekannt")</f>
        <v>IfcProductExtension</v>
      </c>
      <c r="F396" s="21" t="b">
        <v>1</v>
      </c>
      <c r="G396" s="21" t="b">
        <v>0</v>
      </c>
      <c r="H396" s="22" t="s">
        <v>1000</v>
      </c>
      <c r="I396" s="19">
        <f>LEN(Entity[[#This Row],[IFC-Name]])</f>
        <v>24</v>
      </c>
      <c r="J396" s="7" t="s">
        <v>405</v>
      </c>
      <c r="K396" s="19">
        <f>LEN(Entity[[#This Row],[Klassen-Name]])</f>
        <v>24</v>
      </c>
      <c r="L396" s="7"/>
      <c r="M396" s="19" t="b">
        <f>IF(NOT(Entity[[#This Row],[Supertype]]),TRUE,AND(Entity[[#This Row],[Supertype]],Entity[[#This Row],[Subtype]]))</f>
        <v>1</v>
      </c>
      <c r="N396" s="28" t="s">
        <v>3360</v>
      </c>
      <c r="O396" s="29" t="s">
        <v>2249</v>
      </c>
    </row>
    <row r="397" spans="2:15" ht="20.100000000000001" customHeight="1" x14ac:dyDescent="0.25">
      <c r="B397" s="7" t="s">
        <v>408</v>
      </c>
      <c r="C397" s="7" t="str">
        <f>IF(Entity[[#This Row],[Link]]="","",HYPERLINK(HTMLDokuPath&amp;Entity[[#This Row],[Link]],"Doku"))</f>
        <v>Doku</v>
      </c>
      <c r="D397" s="6">
        <v>28</v>
      </c>
      <c r="E397" s="20" t="str">
        <f>IFERROR(IF(VLOOKUP(Entity[ID-Modul],Modul[],3,FALSE)=0,VLOOKUP(Entity[ID-Modul],Modul[],2,FALSE),VLOOKUP(Entity[ID-Modul],Modul[],3,FALSE)),"unbekannt")</f>
        <v>IfcProductExtension</v>
      </c>
      <c r="F397" s="21" t="b">
        <v>1</v>
      </c>
      <c r="G397" s="21" t="b">
        <v>1</v>
      </c>
      <c r="H397" s="22" t="s">
        <v>1406</v>
      </c>
      <c r="I397" s="19">
        <f>LEN(Entity[[#This Row],[IFC-Name]])</f>
        <v>22</v>
      </c>
      <c r="J397" s="7" t="s">
        <v>408</v>
      </c>
      <c r="K397" s="19">
        <f>LEN(Entity[[#This Row],[Klassen-Name]])</f>
        <v>22</v>
      </c>
      <c r="L397" s="7"/>
      <c r="M397" s="19" t="b">
        <f>IF(NOT(Entity[[#This Row],[Supertype]]),TRUE,AND(Entity[[#This Row],[Supertype]],Entity[[#This Row],[Subtype]]))</f>
        <v>1</v>
      </c>
      <c r="N397" s="28" t="s">
        <v>3365</v>
      </c>
      <c r="O397" s="29" t="s">
        <v>2252</v>
      </c>
    </row>
    <row r="398" spans="2:15" ht="20.100000000000001" customHeight="1" x14ac:dyDescent="0.25">
      <c r="B398" s="7" t="s">
        <v>411</v>
      </c>
      <c r="C398" s="7" t="str">
        <f>IF(Entity[[#This Row],[Link]]="","",HYPERLINK(HTMLDokuPath&amp;Entity[[#This Row],[Link]],"Doku"))</f>
        <v>Doku</v>
      </c>
      <c r="D398" s="6">
        <v>28</v>
      </c>
      <c r="E398" s="20" t="str">
        <f>IFERROR(IF(VLOOKUP(Entity[ID-Modul],Modul[],3,FALSE)=0,VLOOKUP(Entity[ID-Modul],Modul[],2,FALSE),VLOOKUP(Entity[ID-Modul],Modul[],3,FALSE)),"unbekannt")</f>
        <v>IfcProductExtension</v>
      </c>
      <c r="F398" s="21" t="b">
        <v>1</v>
      </c>
      <c r="G398" s="21" t="b">
        <v>0</v>
      </c>
      <c r="H398" s="22" t="s">
        <v>1004</v>
      </c>
      <c r="I398" s="19">
        <f>LEN(Entity[[#This Row],[IFC-Name]])</f>
        <v>19</v>
      </c>
      <c r="J398" s="7" t="s">
        <v>411</v>
      </c>
      <c r="K398" s="19">
        <f>LEN(Entity[[#This Row],[Klassen-Name]])</f>
        <v>19</v>
      </c>
      <c r="L398" s="7"/>
      <c r="M398" s="19" t="b">
        <f>IF(NOT(Entity[[#This Row],[Supertype]]),TRUE,AND(Entity[[#This Row],[Supertype]],Entity[[#This Row],[Subtype]]))</f>
        <v>1</v>
      </c>
      <c r="N398" s="28" t="s">
        <v>3367</v>
      </c>
      <c r="O398" s="29" t="s">
        <v>2255</v>
      </c>
    </row>
    <row r="399" spans="2:15" ht="20.100000000000001" customHeight="1" x14ac:dyDescent="0.25">
      <c r="B399" s="7" t="s">
        <v>410</v>
      </c>
      <c r="C399" s="7" t="str">
        <f>IF(Entity[[#This Row],[Link]]="","",HYPERLINK(HTMLDokuPath&amp;Entity[[#This Row],[Link]],"Doku"))</f>
        <v>Doku</v>
      </c>
      <c r="D399" s="6">
        <v>28</v>
      </c>
      <c r="E399" s="20" t="str">
        <f>IFERROR(IF(VLOOKUP(Entity[ID-Modul],Modul[],3,FALSE)=0,VLOOKUP(Entity[ID-Modul],Modul[],2,FALSE),VLOOKUP(Entity[ID-Modul],Modul[],3,FALSE)),"unbekannt")</f>
        <v>IfcProductExtension</v>
      </c>
      <c r="F399" s="21" t="b">
        <v>1</v>
      </c>
      <c r="G399" s="21" t="b">
        <v>0</v>
      </c>
      <c r="H399" s="22" t="s">
        <v>1003</v>
      </c>
      <c r="I399" s="19">
        <f>LEN(Entity[[#This Row],[IFC-Name]])</f>
        <v>27</v>
      </c>
      <c r="J399" s="7" t="s">
        <v>410</v>
      </c>
      <c r="K399" s="19">
        <f>LEN(Entity[[#This Row],[Klassen-Name]])</f>
        <v>27</v>
      </c>
      <c r="L399" s="7"/>
      <c r="M399" s="19" t="b">
        <f>IF(NOT(Entity[[#This Row],[Supertype]]),TRUE,AND(Entity[[#This Row],[Supertype]],Entity[[#This Row],[Subtype]]))</f>
        <v>1</v>
      </c>
      <c r="N399" s="28" t="s">
        <v>3368</v>
      </c>
      <c r="O399" s="29" t="s">
        <v>2254</v>
      </c>
    </row>
    <row r="400" spans="2:15" ht="20.100000000000001" customHeight="1" x14ac:dyDescent="0.25">
      <c r="B400" s="7" t="s">
        <v>416</v>
      </c>
      <c r="C400" s="7" t="str">
        <f>IF(Entity[[#This Row],[Link]]="","",HYPERLINK(HTMLDokuPath&amp;Entity[[#This Row],[Link]],"Doku"))</f>
        <v>Doku</v>
      </c>
      <c r="D400" s="6">
        <v>28</v>
      </c>
      <c r="E400" s="20" t="str">
        <f>IFERROR(IF(VLOOKUP(Entity[ID-Modul],Modul[],3,FALSE)=0,VLOOKUP(Entity[ID-Modul],Modul[],2,FALSE),VLOOKUP(Entity[ID-Modul],Modul[],3,FALSE)),"unbekannt")</f>
        <v>IfcProductExtension</v>
      </c>
      <c r="F400" s="21" t="b">
        <v>1</v>
      </c>
      <c r="G400" s="21" t="b">
        <v>0</v>
      </c>
      <c r="H400" s="22" t="s">
        <v>1008</v>
      </c>
      <c r="I400" s="19">
        <f>LEN(Entity[[#This Row],[IFC-Name]])</f>
        <v>35</v>
      </c>
      <c r="J400" s="1" t="s">
        <v>2884</v>
      </c>
      <c r="K400" s="19">
        <f>LEN(Entity[[#This Row],[Klassen-Name]])</f>
        <v>30</v>
      </c>
      <c r="L400" s="7"/>
      <c r="M400" s="19" t="b">
        <f>IF(NOT(Entity[[#This Row],[Supertype]]),TRUE,AND(Entity[[#This Row],[Supertype]],Entity[[#This Row],[Subtype]]))</f>
        <v>1</v>
      </c>
      <c r="N400" s="28" t="s">
        <v>3373</v>
      </c>
      <c r="O400" s="29" t="s">
        <v>2260</v>
      </c>
    </row>
    <row r="401" spans="2:15" ht="20.100000000000001" customHeight="1" x14ac:dyDescent="0.25">
      <c r="B401" s="7" t="s">
        <v>417</v>
      </c>
      <c r="C401" s="7" t="str">
        <f>IF(Entity[[#This Row],[Link]]="","",HYPERLINK(HTMLDokuPath&amp;Entity[[#This Row],[Link]],"Doku"))</f>
        <v>Doku</v>
      </c>
      <c r="D401" s="6">
        <v>28</v>
      </c>
      <c r="E401" s="20" t="str">
        <f>IFERROR(IF(VLOOKUP(Entity[ID-Modul],Modul[],3,FALSE)=0,VLOOKUP(Entity[ID-Modul],Modul[],2,FALSE),VLOOKUP(Entity[ID-Modul],Modul[],3,FALSE)),"unbekannt")</f>
        <v>IfcProductExtension</v>
      </c>
      <c r="F401" s="21" t="b">
        <v>1</v>
      </c>
      <c r="G401" s="21" t="b">
        <v>0</v>
      </c>
      <c r="H401" s="22" t="s">
        <v>1009</v>
      </c>
      <c r="I401" s="19">
        <f>LEN(Entity[[#This Row],[IFC-Name]])</f>
        <v>33</v>
      </c>
      <c r="J401" s="1" t="s">
        <v>2885</v>
      </c>
      <c r="K401" s="19">
        <f>LEN(Entity[[#This Row],[Klassen-Name]])</f>
        <v>30</v>
      </c>
      <c r="L401" s="7"/>
      <c r="M401" s="19" t="b">
        <f>IF(NOT(Entity[[#This Row],[Supertype]]),TRUE,AND(Entity[[#This Row],[Supertype]],Entity[[#This Row],[Subtype]]))</f>
        <v>1</v>
      </c>
      <c r="N401" s="28" t="s">
        <v>3374</v>
      </c>
      <c r="O401" s="29" t="s">
        <v>2261</v>
      </c>
    </row>
    <row r="402" spans="2:15" ht="20.100000000000001" customHeight="1" x14ac:dyDescent="0.25">
      <c r="B402" s="7" t="s">
        <v>418</v>
      </c>
      <c r="C402" s="7" t="str">
        <f>IF(Entity[[#This Row],[Link]]="","",HYPERLINK(HTMLDokuPath&amp;Entity[[#This Row],[Link]],"Doku"))</f>
        <v>Doku</v>
      </c>
      <c r="D402" s="6">
        <v>28</v>
      </c>
      <c r="E402" s="20" t="str">
        <f>IFERROR(IF(VLOOKUP(Entity[ID-Modul],Modul[],3,FALSE)=0,VLOOKUP(Entity[ID-Modul],Modul[],2,FALSE),VLOOKUP(Entity[ID-Modul],Modul[],3,FALSE)),"unbekannt")</f>
        <v>IfcProductExtension</v>
      </c>
      <c r="F402" s="21" t="b">
        <v>1</v>
      </c>
      <c r="G402" s="21" t="b">
        <v>0</v>
      </c>
      <c r="H402" s="22" t="s">
        <v>1010</v>
      </c>
      <c r="I402" s="19">
        <f>LEN(Entity[[#This Row],[IFC-Name]])</f>
        <v>24</v>
      </c>
      <c r="J402" s="7" t="s">
        <v>418</v>
      </c>
      <c r="K402" s="19">
        <f>LEN(Entity[[#This Row],[Klassen-Name]])</f>
        <v>24</v>
      </c>
      <c r="L402" s="7"/>
      <c r="M402" s="19" t="b">
        <f>IF(NOT(Entity[[#This Row],[Supertype]]),TRUE,AND(Entity[[#This Row],[Supertype]],Entity[[#This Row],[Subtype]]))</f>
        <v>1</v>
      </c>
      <c r="N402" s="28" t="s">
        <v>3375</v>
      </c>
      <c r="O402" s="29" t="s">
        <v>2262</v>
      </c>
    </row>
    <row r="403" spans="2:15" ht="20.100000000000001" customHeight="1" x14ac:dyDescent="0.25">
      <c r="B403" s="7" t="s">
        <v>419</v>
      </c>
      <c r="C403" s="7" t="str">
        <f>IF(Entity[[#This Row],[Link]]="","",HYPERLINK(HTMLDokuPath&amp;Entity[[#This Row],[Link]],"Doku"))</f>
        <v>Doku</v>
      </c>
      <c r="D403" s="6">
        <v>28</v>
      </c>
      <c r="E403" s="20" t="str">
        <f>IFERROR(IF(VLOOKUP(Entity[ID-Modul],Modul[],3,FALSE)=0,VLOOKUP(Entity[ID-Modul],Modul[],2,FALSE),VLOOKUP(Entity[ID-Modul],Modul[],3,FALSE)),"unbekannt")</f>
        <v>IfcProductExtension</v>
      </c>
      <c r="F403" s="21" t="b">
        <v>1</v>
      </c>
      <c r="G403" s="21" t="b">
        <v>0</v>
      </c>
      <c r="H403" s="22" t="s">
        <v>1011</v>
      </c>
      <c r="I403" s="19">
        <f>LEN(Entity[[#This Row],[IFC-Name]])</f>
        <v>18</v>
      </c>
      <c r="J403" s="7" t="s">
        <v>419</v>
      </c>
      <c r="K403" s="19">
        <f>LEN(Entity[[#This Row],[Klassen-Name]])</f>
        <v>18</v>
      </c>
      <c r="L403" s="7"/>
      <c r="M403" s="19" t="b">
        <f>IF(NOT(Entity[[#This Row],[Supertype]]),TRUE,AND(Entity[[#This Row],[Supertype]],Entity[[#This Row],[Subtype]]))</f>
        <v>1</v>
      </c>
      <c r="N403" s="28" t="s">
        <v>3376</v>
      </c>
      <c r="O403" s="29" t="s">
        <v>2263</v>
      </c>
    </row>
    <row r="404" spans="2:15" ht="20.100000000000001" customHeight="1" x14ac:dyDescent="0.25">
      <c r="B404" s="7" t="s">
        <v>424</v>
      </c>
      <c r="C404" s="7" t="str">
        <f>IF(Entity[[#This Row],[Link]]="","",HYPERLINK(HTMLDokuPath&amp;Entity[[#This Row],[Link]],"Doku"))</f>
        <v>Doku</v>
      </c>
      <c r="D404" s="6">
        <v>28</v>
      </c>
      <c r="E404" s="20" t="str">
        <f>IFERROR(IF(VLOOKUP(Entity[ID-Modul],Modul[],3,FALSE)=0,VLOOKUP(Entity[ID-Modul],Modul[],2,FALSE),VLOOKUP(Entity[ID-Modul],Modul[],3,FALSE)),"unbekannt")</f>
        <v>IfcProductExtension</v>
      </c>
      <c r="F404" s="21" t="b">
        <v>1</v>
      </c>
      <c r="G404" s="21" t="b">
        <v>0</v>
      </c>
      <c r="H404" s="22" t="s">
        <v>1013</v>
      </c>
      <c r="I404" s="19">
        <f>LEN(Entity[[#This Row],[IFC-Name]])</f>
        <v>18</v>
      </c>
      <c r="J404" s="7" t="s">
        <v>424</v>
      </c>
      <c r="K404" s="19">
        <f>LEN(Entity[[#This Row],[Klassen-Name]])</f>
        <v>18</v>
      </c>
      <c r="L404" s="7"/>
      <c r="M404" s="19" t="b">
        <f>IF(NOT(Entity[[#This Row],[Supertype]]),TRUE,AND(Entity[[#This Row],[Supertype]],Entity[[#This Row],[Subtype]]))</f>
        <v>1</v>
      </c>
      <c r="N404" s="28" t="s">
        <v>3381</v>
      </c>
      <c r="O404" s="29" t="s">
        <v>2268</v>
      </c>
    </row>
    <row r="405" spans="2:15" ht="20.100000000000001" customHeight="1" x14ac:dyDescent="0.25">
      <c r="B405" s="7" t="s">
        <v>430</v>
      </c>
      <c r="C405" s="7" t="str">
        <f>IF(Entity[[#This Row],[Link]]="","",HYPERLINK(HTMLDokuPath&amp;Entity[[#This Row],[Link]],"Doku"))</f>
        <v>Doku</v>
      </c>
      <c r="D405" s="6">
        <v>28</v>
      </c>
      <c r="E405" s="20" t="str">
        <f>IFERROR(IF(VLOOKUP(Entity[ID-Modul],Modul[],3,FALSE)=0,VLOOKUP(Entity[ID-Modul],Modul[],2,FALSE),VLOOKUP(Entity[ID-Modul],Modul[],3,FALSE)),"unbekannt")</f>
        <v>IfcProductExtension</v>
      </c>
      <c r="F405" s="21" t="b">
        <v>1</v>
      </c>
      <c r="G405" s="21" t="b">
        <v>0</v>
      </c>
      <c r="H405" s="22" t="s">
        <v>1019</v>
      </c>
      <c r="I405" s="19">
        <f>LEN(Entity[[#This Row],[IFC-Name]])</f>
        <v>21</v>
      </c>
      <c r="J405" s="7" t="s">
        <v>430</v>
      </c>
      <c r="K405" s="19">
        <f>LEN(Entity[[#This Row],[Klassen-Name]])</f>
        <v>21</v>
      </c>
      <c r="L405" s="7"/>
      <c r="M405" s="19" t="b">
        <f>IF(NOT(Entity[[#This Row],[Supertype]]),TRUE,AND(Entity[[#This Row],[Supertype]],Entity[[#This Row],[Subtype]]))</f>
        <v>1</v>
      </c>
      <c r="N405" s="28" t="s">
        <v>3387</v>
      </c>
      <c r="O405" s="29" t="s">
        <v>2274</v>
      </c>
    </row>
    <row r="406" spans="2:15" ht="20.100000000000001" customHeight="1" x14ac:dyDescent="0.25">
      <c r="B406" s="7" t="s">
        <v>431</v>
      </c>
      <c r="C406" s="7" t="str">
        <f>IF(Entity[[#This Row],[Link]]="","",HYPERLINK(HTMLDokuPath&amp;Entity[[#This Row],[Link]],"Doku"))</f>
        <v>Doku</v>
      </c>
      <c r="D406" s="6">
        <v>28</v>
      </c>
      <c r="E406" s="20" t="str">
        <f>IFERROR(IF(VLOOKUP(Entity[ID-Modul],Modul[],3,FALSE)=0,VLOOKUP(Entity[ID-Modul],Modul[],2,FALSE),VLOOKUP(Entity[ID-Modul],Modul[],3,FALSE)),"unbekannt")</f>
        <v>IfcProductExtension</v>
      </c>
      <c r="F406" s="21" t="b">
        <v>1</v>
      </c>
      <c r="G406" s="21" t="b">
        <v>0</v>
      </c>
      <c r="H406" s="22" t="s">
        <v>1020</v>
      </c>
      <c r="I406" s="19">
        <f>LEN(Entity[[#This Row],[IFC-Name]])</f>
        <v>34</v>
      </c>
      <c r="J406" s="1" t="s">
        <v>2886</v>
      </c>
      <c r="K406" s="19">
        <f>LEN(Entity[[#This Row],[Klassen-Name]])</f>
        <v>31</v>
      </c>
      <c r="L406" s="7"/>
      <c r="M406" s="19" t="b">
        <f>IF(NOT(Entity[[#This Row],[Supertype]]),TRUE,AND(Entity[[#This Row],[Supertype]],Entity[[#This Row],[Subtype]]))</f>
        <v>1</v>
      </c>
      <c r="N406" s="28" t="s">
        <v>3388</v>
      </c>
      <c r="O406" s="29" t="s">
        <v>2275</v>
      </c>
    </row>
    <row r="407" spans="2:15" ht="20.100000000000001" customHeight="1" x14ac:dyDescent="0.25">
      <c r="B407" s="7" t="s">
        <v>434</v>
      </c>
      <c r="C407" s="7" t="str">
        <f>IF(Entity[[#This Row],[Link]]="","",HYPERLINK(HTMLDokuPath&amp;Entity[[#This Row],[Link]],"Doku"))</f>
        <v>Doku</v>
      </c>
      <c r="D407" s="6">
        <v>28</v>
      </c>
      <c r="E407" s="20" t="str">
        <f>IFERROR(IF(VLOOKUP(Entity[ID-Modul],Modul[],3,FALSE)=0,VLOOKUP(Entity[ID-Modul],Modul[],2,FALSE),VLOOKUP(Entity[ID-Modul],Modul[],3,FALSE)),"unbekannt")</f>
        <v>IfcProductExtension</v>
      </c>
      <c r="F407" s="21" t="b">
        <v>1</v>
      </c>
      <c r="G407" s="21" t="b">
        <v>0</v>
      </c>
      <c r="H407" s="22" t="s">
        <v>1023</v>
      </c>
      <c r="I407" s="19">
        <f>LEN(Entity[[#This Row],[IFC-Name]])</f>
        <v>23</v>
      </c>
      <c r="J407" s="7" t="s">
        <v>434</v>
      </c>
      <c r="K407" s="19">
        <f>LEN(Entity[[#This Row],[Klassen-Name]])</f>
        <v>23</v>
      </c>
      <c r="L407" s="7"/>
      <c r="M407" s="19" t="b">
        <f>IF(NOT(Entity[[#This Row],[Supertype]]),TRUE,AND(Entity[[#This Row],[Supertype]],Entity[[#This Row],[Subtype]]))</f>
        <v>1</v>
      </c>
      <c r="N407" s="28" t="s">
        <v>3391</v>
      </c>
      <c r="O407" s="29" t="s">
        <v>2278</v>
      </c>
    </row>
    <row r="408" spans="2:15" ht="20.100000000000001" customHeight="1" x14ac:dyDescent="0.25">
      <c r="B408" s="7" t="s">
        <v>435</v>
      </c>
      <c r="C408" s="7" t="str">
        <f>IF(Entity[[#This Row],[Link]]="","",HYPERLINK(HTMLDokuPath&amp;Entity[[#This Row],[Link]],"Doku"))</f>
        <v>Doku</v>
      </c>
      <c r="D408" s="6">
        <v>28</v>
      </c>
      <c r="E408" s="20" t="str">
        <f>IFERROR(IF(VLOOKUP(Entity[ID-Modul],Modul[],3,FALSE)=0,VLOOKUP(Entity[ID-Modul],Modul[],2,FALSE),VLOOKUP(Entity[ID-Modul],Modul[],3,FALSE)),"unbekannt")</f>
        <v>IfcProductExtension</v>
      </c>
      <c r="F408" s="21" t="b">
        <v>1</v>
      </c>
      <c r="G408" s="21" t="b">
        <v>0</v>
      </c>
      <c r="H408" s="22" t="s">
        <v>1024</v>
      </c>
      <c r="I408" s="19">
        <f>LEN(Entity[[#This Row],[IFC-Name]])</f>
        <v>19</v>
      </c>
      <c r="J408" s="7" t="s">
        <v>435</v>
      </c>
      <c r="K408" s="19">
        <f>LEN(Entity[[#This Row],[Klassen-Name]])</f>
        <v>19</v>
      </c>
      <c r="L408" s="7"/>
      <c r="M408" s="19" t="b">
        <f>IF(NOT(Entity[[#This Row],[Supertype]]),TRUE,AND(Entity[[#This Row],[Supertype]],Entity[[#This Row],[Subtype]]))</f>
        <v>1</v>
      </c>
      <c r="N408" s="28" t="s">
        <v>3392</v>
      </c>
      <c r="O408" s="29" t="s">
        <v>2279</v>
      </c>
    </row>
    <row r="409" spans="2:15" ht="20.100000000000001" customHeight="1" x14ac:dyDescent="0.25">
      <c r="B409" s="7" t="s">
        <v>436</v>
      </c>
      <c r="C409" s="7" t="str">
        <f>IF(Entity[[#This Row],[Link]]="","",HYPERLINK(HTMLDokuPath&amp;Entity[[#This Row],[Link]],"Doku"))</f>
        <v>Doku</v>
      </c>
      <c r="D409" s="6">
        <v>28</v>
      </c>
      <c r="E409" s="20" t="str">
        <f>IFERROR(IF(VLOOKUP(Entity[ID-Modul],Modul[],3,FALSE)=0,VLOOKUP(Entity[ID-Modul],Modul[],2,FALSE),VLOOKUP(Entity[ID-Modul],Modul[],3,FALSE)),"unbekannt")</f>
        <v>IfcProductExtension</v>
      </c>
      <c r="F409" s="21" t="b">
        <v>1</v>
      </c>
      <c r="G409" s="21" t="b">
        <v>0</v>
      </c>
      <c r="H409" s="22" t="s">
        <v>1025</v>
      </c>
      <c r="I409" s="19">
        <f>LEN(Entity[[#This Row],[IFC-Name]])</f>
        <v>18</v>
      </c>
      <c r="J409" s="7" t="s">
        <v>436</v>
      </c>
      <c r="K409" s="19">
        <f>LEN(Entity[[#This Row],[Klassen-Name]])</f>
        <v>18</v>
      </c>
      <c r="L409" s="7"/>
      <c r="M409" s="19" t="b">
        <f>IF(NOT(Entity[[#This Row],[Supertype]]),TRUE,AND(Entity[[#This Row],[Supertype]],Entity[[#This Row],[Subtype]]))</f>
        <v>1</v>
      </c>
      <c r="N409" s="28" t="s">
        <v>3393</v>
      </c>
      <c r="O409" s="29" t="s">
        <v>2280</v>
      </c>
    </row>
    <row r="410" spans="2:15" ht="20.100000000000001" customHeight="1" x14ac:dyDescent="0.25">
      <c r="B410" s="7" t="s">
        <v>461</v>
      </c>
      <c r="C410" s="7" t="str">
        <f>IF(Entity[[#This Row],[Link]]="","",HYPERLINK(HTMLDokuPath&amp;Entity[[#This Row],[Link]],"Doku"))</f>
        <v>Doku</v>
      </c>
      <c r="D410" s="6">
        <v>28</v>
      </c>
      <c r="E410" s="20" t="str">
        <f>IFERROR(IF(VLOOKUP(Entity[ID-Modul],Modul[],3,FALSE)=0,VLOOKUP(Entity[ID-Modul],Modul[],2,FALSE),VLOOKUP(Entity[ID-Modul],Modul[],3,FALSE)),"unbekannt")</f>
        <v>IfcProductExtension</v>
      </c>
      <c r="F410" s="21" t="b">
        <v>1</v>
      </c>
      <c r="G410" s="21" t="b">
        <v>0</v>
      </c>
      <c r="H410" s="22" t="s">
        <v>1047</v>
      </c>
      <c r="I410" s="19">
        <f>LEN(Entity[[#This Row],[IFC-Name]])</f>
        <v>7</v>
      </c>
      <c r="J410" s="7" t="s">
        <v>461</v>
      </c>
      <c r="K410" s="19">
        <f>LEN(Entity[[#This Row],[Klassen-Name]])</f>
        <v>7</v>
      </c>
      <c r="L410" s="7"/>
      <c r="M410" s="19" t="b">
        <f>IF(NOT(Entity[[#This Row],[Supertype]]),TRUE,AND(Entity[[#This Row],[Supertype]],Entity[[#This Row],[Subtype]]))</f>
        <v>1</v>
      </c>
      <c r="N410" s="28" t="s">
        <v>3420</v>
      </c>
      <c r="O410" s="29" t="s">
        <v>2310</v>
      </c>
    </row>
    <row r="411" spans="2:15" ht="20.100000000000001" customHeight="1" x14ac:dyDescent="0.25">
      <c r="B411" s="7" t="s">
        <v>468</v>
      </c>
      <c r="C411" s="7" t="str">
        <f>IF(Entity[[#This Row],[Link]]="","",HYPERLINK(HTMLDokuPath&amp;Entity[[#This Row],[Link]],"Doku"))</f>
        <v>Doku</v>
      </c>
      <c r="D411" s="6">
        <v>28</v>
      </c>
      <c r="E411" s="20" t="str">
        <f>IFERROR(IF(VLOOKUP(Entity[ID-Modul],Modul[],3,FALSE)=0,VLOOKUP(Entity[ID-Modul],Modul[],2,FALSE),VLOOKUP(Entity[ID-Modul],Modul[],3,FALSE)),"unbekannt")</f>
        <v>IfcProductExtension</v>
      </c>
      <c r="F411" s="21" t="b">
        <v>1</v>
      </c>
      <c r="G411" s="21" t="b">
        <v>0</v>
      </c>
      <c r="H411" s="22" t="s">
        <v>1053</v>
      </c>
      <c r="I411" s="19">
        <f>LEN(Entity[[#This Row],[IFC-Name]])</f>
        <v>8</v>
      </c>
      <c r="J411" s="7" t="s">
        <v>468</v>
      </c>
      <c r="K411" s="19">
        <f>LEN(Entity[[#This Row],[Klassen-Name]])</f>
        <v>8</v>
      </c>
      <c r="L411" s="7"/>
      <c r="M411" s="19" t="b">
        <f>IF(NOT(Entity[[#This Row],[Supertype]]),TRUE,AND(Entity[[#This Row],[Supertype]],Entity[[#This Row],[Subtype]]))</f>
        <v>1</v>
      </c>
      <c r="N411" s="28" t="s">
        <v>3428</v>
      </c>
      <c r="O411" s="29" t="s">
        <v>2317</v>
      </c>
    </row>
    <row r="412" spans="2:15" ht="20.100000000000001" customHeight="1" x14ac:dyDescent="0.25">
      <c r="B412" s="7" t="s">
        <v>472</v>
      </c>
      <c r="C412" s="7" t="str">
        <f>IF(Entity[[#This Row],[Link]]="","",HYPERLINK(HTMLDokuPath&amp;Entity[[#This Row],[Link]],"Doku"))</f>
        <v>Doku</v>
      </c>
      <c r="D412" s="6">
        <v>28</v>
      </c>
      <c r="E412" s="20" t="str">
        <f>IFERROR(IF(VLOOKUP(Entity[ID-Modul],Modul[],3,FALSE)=0,VLOOKUP(Entity[ID-Modul],Modul[],2,FALSE),VLOOKUP(Entity[ID-Modul],Modul[],3,FALSE)),"unbekannt")</f>
        <v>IfcProductExtension</v>
      </c>
      <c r="F412" s="21" t="b">
        <v>1</v>
      </c>
      <c r="G412" s="21" t="b">
        <v>0</v>
      </c>
      <c r="H412" s="22" t="s">
        <v>1057</v>
      </c>
      <c r="I412" s="19">
        <f>LEN(Entity[[#This Row],[IFC-Name]])</f>
        <v>12</v>
      </c>
      <c r="J412" s="7" t="s">
        <v>472</v>
      </c>
      <c r="K412" s="19">
        <f>LEN(Entity[[#This Row],[Klassen-Name]])</f>
        <v>12</v>
      </c>
      <c r="L412" s="7"/>
      <c r="M412" s="19" t="b">
        <f>IF(NOT(Entity[[#This Row],[Supertype]]),TRUE,AND(Entity[[#This Row],[Supertype]],Entity[[#This Row],[Subtype]]))</f>
        <v>1</v>
      </c>
      <c r="N412" s="28" t="s">
        <v>3432</v>
      </c>
      <c r="O412" s="29" t="s">
        <v>2321</v>
      </c>
    </row>
    <row r="413" spans="2:15" ht="20.100000000000001" customHeight="1" x14ac:dyDescent="0.25">
      <c r="B413" s="7" t="s">
        <v>473</v>
      </c>
      <c r="C413" s="7" t="str">
        <f>IF(Entity[[#This Row],[Link]]="","",HYPERLINK(HTMLDokuPath&amp;Entity[[#This Row],[Link]],"Doku"))</f>
        <v>Doku</v>
      </c>
      <c r="D413" s="6">
        <v>28</v>
      </c>
      <c r="E413" s="20" t="str">
        <f>IFERROR(IF(VLOOKUP(Entity[ID-Modul],Modul[],3,FALSE)=0,VLOOKUP(Entity[ID-Modul],Modul[],2,FALSE),VLOOKUP(Entity[ID-Modul],Modul[],3,FALSE)),"unbekannt")</f>
        <v>IfcProductExtension</v>
      </c>
      <c r="F413" s="21" t="b">
        <v>1</v>
      </c>
      <c r="G413" s="21" t="b">
        <v>1</v>
      </c>
      <c r="H413" s="22" t="s">
        <v>1420</v>
      </c>
      <c r="I413" s="19">
        <f>LEN(Entity[[#This Row],[IFC-Name]])</f>
        <v>26</v>
      </c>
      <c r="J413" s="7" t="s">
        <v>473</v>
      </c>
      <c r="K413" s="19">
        <f>LEN(Entity[[#This Row],[Klassen-Name]])</f>
        <v>26</v>
      </c>
      <c r="L413" s="7"/>
      <c r="M413" s="19" t="b">
        <f>IF(NOT(Entity[[#This Row],[Supertype]]),TRUE,AND(Entity[[#This Row],[Supertype]],Entity[[#This Row],[Subtype]]))</f>
        <v>1</v>
      </c>
      <c r="N413" s="28" t="s">
        <v>3433</v>
      </c>
      <c r="O413" s="29" t="s">
        <v>2322</v>
      </c>
    </row>
    <row r="414" spans="2:15" ht="20.100000000000001" customHeight="1" x14ac:dyDescent="0.25">
      <c r="B414" s="7" t="s">
        <v>474</v>
      </c>
      <c r="C414" s="7" t="str">
        <f>IF(Entity[[#This Row],[Link]]="","",HYPERLINK(HTMLDokuPath&amp;Entity[[#This Row],[Link]],"Doku"))</f>
        <v>Doku</v>
      </c>
      <c r="D414" s="6">
        <v>28</v>
      </c>
      <c r="E414" s="20" t="str">
        <f>IFERROR(IF(VLOOKUP(Entity[ID-Modul],Modul[],3,FALSE)=0,VLOOKUP(Entity[ID-Modul],Modul[],2,FALSE),VLOOKUP(Entity[ID-Modul],Modul[],3,FALSE)),"unbekannt")</f>
        <v>IfcProductExtension</v>
      </c>
      <c r="F414" s="21" t="b">
        <v>1</v>
      </c>
      <c r="G414" s="21" t="b">
        <v>1</v>
      </c>
      <c r="H414" s="22" t="s">
        <v>1421</v>
      </c>
      <c r="I414" s="19">
        <f>LEN(Entity[[#This Row],[IFC-Name]])</f>
        <v>30</v>
      </c>
      <c r="J414" s="7" t="s">
        <v>474</v>
      </c>
      <c r="K414" s="19">
        <f>LEN(Entity[[#This Row],[Klassen-Name]])</f>
        <v>30</v>
      </c>
      <c r="L414" s="7"/>
      <c r="M414" s="19" t="b">
        <f>IF(NOT(Entity[[#This Row],[Supertype]]),TRUE,AND(Entity[[#This Row],[Supertype]],Entity[[#This Row],[Subtype]]))</f>
        <v>1</v>
      </c>
      <c r="N414" s="28" t="s">
        <v>3434</v>
      </c>
      <c r="O414" s="29" t="s">
        <v>2323</v>
      </c>
    </row>
    <row r="415" spans="2:15" ht="20.100000000000001" customHeight="1" x14ac:dyDescent="0.25">
      <c r="B415" s="7" t="s">
        <v>533</v>
      </c>
      <c r="C415" s="7" t="str">
        <f>IF(Entity[[#This Row],[Link]]="","",HYPERLINK(HTMLDokuPath&amp;Entity[[#This Row],[Link]],"Doku"))</f>
        <v>Doku</v>
      </c>
      <c r="D415" s="6">
        <v>28</v>
      </c>
      <c r="E415" s="20" t="str">
        <f>IFERROR(IF(VLOOKUP(Entity[ID-Modul],Modul[],3,FALSE)=0,VLOOKUP(Entity[ID-Modul],Modul[],2,FALSE),VLOOKUP(Entity[ID-Modul],Modul[],3,FALSE)),"unbekannt")</f>
        <v>IfcProductExtension</v>
      </c>
      <c r="F415" s="21" t="b">
        <v>1</v>
      </c>
      <c r="G415" s="21" t="b">
        <v>1</v>
      </c>
      <c r="H415" s="22" t="s">
        <v>1445</v>
      </c>
      <c r="I415" s="19">
        <f>LEN(Entity[[#This Row],[IFC-Name]])</f>
        <v>9</v>
      </c>
      <c r="J415" s="7" t="s">
        <v>533</v>
      </c>
      <c r="K415" s="19">
        <f>LEN(Entity[[#This Row],[Klassen-Name]])</f>
        <v>9</v>
      </c>
      <c r="L415" s="7"/>
      <c r="M415" s="19" t="b">
        <f>IF(NOT(Entity[[#This Row],[Supertype]]),TRUE,AND(Entity[[#This Row],[Supertype]],Entity[[#This Row],[Subtype]]))</f>
        <v>1</v>
      </c>
      <c r="N415" s="28" t="s">
        <v>3496</v>
      </c>
      <c r="O415" s="29" t="s">
        <v>2385</v>
      </c>
    </row>
    <row r="416" spans="2:15" ht="20.100000000000001" customHeight="1" x14ac:dyDescent="0.25">
      <c r="B416" s="7" t="s">
        <v>555</v>
      </c>
      <c r="C416" s="7" t="str">
        <f>IF(Entity[[#This Row],[Link]]="","",HYPERLINK(HTMLDokuPath&amp;Entity[[#This Row],[Link]],"Doku"))</f>
        <v>Doku</v>
      </c>
      <c r="D416" s="6">
        <v>28</v>
      </c>
      <c r="E416" s="20" t="str">
        <f>IFERROR(IF(VLOOKUP(Entity[ID-Modul],Modul[],3,FALSE)=0,VLOOKUP(Entity[ID-Modul],Modul[],2,FALSE),VLOOKUP(Entity[ID-Modul],Modul[],3,FALSE)),"unbekannt")</f>
        <v>IfcProductExtension</v>
      </c>
      <c r="F416" s="21" t="b">
        <v>1</v>
      </c>
      <c r="G416" s="21" t="b">
        <v>0</v>
      </c>
      <c r="H416" s="22" t="s">
        <v>1119</v>
      </c>
      <c r="I416" s="19">
        <f>LEN(Entity[[#This Row],[IFC-Name]])</f>
        <v>19</v>
      </c>
      <c r="J416" s="7" t="s">
        <v>555</v>
      </c>
      <c r="K416" s="19">
        <f>LEN(Entity[[#This Row],[Klassen-Name]])</f>
        <v>19</v>
      </c>
      <c r="L416" s="7"/>
      <c r="M416" s="19" t="b">
        <f>IF(NOT(Entity[[#This Row],[Supertype]]),TRUE,AND(Entity[[#This Row],[Supertype]],Entity[[#This Row],[Subtype]]))</f>
        <v>1</v>
      </c>
      <c r="N416" s="28" t="s">
        <v>3525</v>
      </c>
      <c r="O416" s="29" t="s">
        <v>2415</v>
      </c>
    </row>
    <row r="417" spans="2:15" ht="20.100000000000001" customHeight="1" x14ac:dyDescent="0.25">
      <c r="B417" s="7" t="s">
        <v>556</v>
      </c>
      <c r="C417" s="7" t="str">
        <f>IF(Entity[[#This Row],[Link]]="","",HYPERLINK(HTMLDokuPath&amp;Entity[[#This Row],[Link]],"Doku"))</f>
        <v>Doku</v>
      </c>
      <c r="D417" s="6">
        <v>28</v>
      </c>
      <c r="E417" s="20" t="str">
        <f>IFERROR(IF(VLOOKUP(Entity[ID-Modul],Modul[],3,FALSE)=0,VLOOKUP(Entity[ID-Modul],Modul[],2,FALSE),VLOOKUP(Entity[ID-Modul],Modul[],3,FALSE)),"unbekannt")</f>
        <v>IfcProductExtension</v>
      </c>
      <c r="F417" s="21" t="b">
        <v>1</v>
      </c>
      <c r="G417" s="21" t="b">
        <v>0</v>
      </c>
      <c r="H417" s="22" t="s">
        <v>1120</v>
      </c>
      <c r="I417" s="19">
        <f>LEN(Entity[[#This Row],[IFC-Name]])</f>
        <v>23</v>
      </c>
      <c r="J417" s="7" t="s">
        <v>556</v>
      </c>
      <c r="K417" s="19">
        <f>LEN(Entity[[#This Row],[Klassen-Name]])</f>
        <v>23</v>
      </c>
      <c r="L417" s="7"/>
      <c r="M417" s="19" t="b">
        <f>IF(NOT(Entity[[#This Row],[Supertype]]),TRUE,AND(Entity[[#This Row],[Supertype]],Entity[[#This Row],[Subtype]]))</f>
        <v>1</v>
      </c>
      <c r="N417" s="28" t="s">
        <v>3526</v>
      </c>
      <c r="O417" s="29" t="s">
        <v>2416</v>
      </c>
    </row>
    <row r="418" spans="2:15" ht="20.100000000000001" customHeight="1" x14ac:dyDescent="0.25">
      <c r="B418" s="7" t="s">
        <v>571</v>
      </c>
      <c r="C418" s="7" t="str">
        <f>IF(Entity[[#This Row],[Link]]="","",HYPERLINK(HTMLDokuPath&amp;Entity[[#This Row],[Link]],"Doku"))</f>
        <v>Doku</v>
      </c>
      <c r="D418" s="6">
        <v>28</v>
      </c>
      <c r="E418" s="20" t="str">
        <f>IFERROR(IF(VLOOKUP(Entity[ID-Modul],Modul[],3,FALSE)=0,VLOOKUP(Entity[ID-Modul],Modul[],2,FALSE),VLOOKUP(Entity[ID-Modul],Modul[],3,FALSE)),"unbekannt")</f>
        <v>IfcProductExtension</v>
      </c>
      <c r="F418" s="21" t="b">
        <v>1</v>
      </c>
      <c r="G418" s="21" t="b">
        <v>0</v>
      </c>
      <c r="H418" s="22" t="s">
        <v>1134</v>
      </c>
      <c r="I418" s="19">
        <f>LEN(Entity[[#This Row],[IFC-Name]])</f>
        <v>17</v>
      </c>
      <c r="J418" s="7" t="s">
        <v>571</v>
      </c>
      <c r="K418" s="19">
        <f>LEN(Entity[[#This Row],[Klassen-Name]])</f>
        <v>17</v>
      </c>
      <c r="L418" s="7"/>
      <c r="M418" s="19" t="b">
        <f>IF(NOT(Entity[[#This Row],[Supertype]]),TRUE,AND(Entity[[#This Row],[Supertype]],Entity[[#This Row],[Subtype]]))</f>
        <v>1</v>
      </c>
      <c r="N418" s="28" t="s">
        <v>3544</v>
      </c>
      <c r="O418" s="29" t="s">
        <v>2433</v>
      </c>
    </row>
    <row r="419" spans="2:15" ht="20.100000000000001" customHeight="1" x14ac:dyDescent="0.25">
      <c r="B419" s="7" t="s">
        <v>585</v>
      </c>
      <c r="C419" s="7" t="str">
        <f>IF(Entity[[#This Row],[Link]]="","",HYPERLINK(HTMLDokuPath&amp;Entity[[#This Row],[Link]],"Doku"))</f>
        <v>Doku</v>
      </c>
      <c r="D419" s="6">
        <v>28</v>
      </c>
      <c r="E419" s="20" t="str">
        <f>IFERROR(IF(VLOOKUP(Entity[ID-Modul],Modul[],3,FALSE)=0,VLOOKUP(Entity[ID-Modul],Modul[],2,FALSE),VLOOKUP(Entity[ID-Modul],Modul[],3,FALSE)),"unbekannt")</f>
        <v>IfcProductExtension</v>
      </c>
      <c r="F419" s="21" t="b">
        <v>1</v>
      </c>
      <c r="G419" s="21" t="b">
        <v>0</v>
      </c>
      <c r="H419" s="22" t="s">
        <v>1147</v>
      </c>
      <c r="I419" s="19">
        <f>LEN(Entity[[#This Row],[IFC-Name]])</f>
        <v>7</v>
      </c>
      <c r="J419" s="7" t="s">
        <v>585</v>
      </c>
      <c r="K419" s="19">
        <f>LEN(Entity[[#This Row],[Klassen-Name]])</f>
        <v>7</v>
      </c>
      <c r="L419" s="7"/>
      <c r="M419" s="19" t="b">
        <f>IF(NOT(Entity[[#This Row],[Supertype]]),TRUE,AND(Entity[[#This Row],[Supertype]],Entity[[#This Row],[Subtype]]))</f>
        <v>1</v>
      </c>
      <c r="N419" s="28" t="s">
        <v>3558</v>
      </c>
      <c r="O419" s="29" t="s">
        <v>2448</v>
      </c>
    </row>
    <row r="420" spans="2:15" ht="20.100000000000001" customHeight="1" x14ac:dyDescent="0.25">
      <c r="B420" s="7" t="s">
        <v>241</v>
      </c>
      <c r="C420" s="7" t="str">
        <f>IF(Entity[[#This Row],[Link]]="","",HYPERLINK(HTMLDokuPath&amp;Entity[[#This Row],[Link]],"Doku"))</f>
        <v>Doku</v>
      </c>
      <c r="D420" s="6">
        <v>29</v>
      </c>
      <c r="E420" s="20" t="str">
        <f>IFERROR(IF(VLOOKUP(Entity[ID-Modul],Modul[],3,FALSE)=0,VLOOKUP(Entity[ID-Modul],Modul[],2,FALSE),VLOOKUP(Entity[ID-Modul],Modul[],3,FALSE)),"unbekannt")</f>
        <v>IfcProfilePropertyResource</v>
      </c>
      <c r="F420" s="21" t="b">
        <v>1</v>
      </c>
      <c r="G420" s="21" t="b">
        <v>1</v>
      </c>
      <c r="H420" s="22" t="s">
        <v>1359</v>
      </c>
      <c r="I420" s="19">
        <f>LEN(Entity[[#This Row],[IFC-Name]])</f>
        <v>27</v>
      </c>
      <c r="J420" s="7" t="s">
        <v>241</v>
      </c>
      <c r="K420" s="19">
        <f>LEN(Entity[[#This Row],[Klassen-Name]])</f>
        <v>27</v>
      </c>
      <c r="L420" s="7"/>
      <c r="M420" s="19" t="b">
        <f>IF(NOT(Entity[[#This Row],[Supertype]]),TRUE,AND(Entity[[#This Row],[Supertype]],Entity[[#This Row],[Subtype]]))</f>
        <v>1</v>
      </c>
      <c r="N420" s="28" t="s">
        <v>3171</v>
      </c>
      <c r="O420" s="29" t="s">
        <v>2060</v>
      </c>
    </row>
    <row r="421" spans="2:15" ht="20.100000000000001" customHeight="1" x14ac:dyDescent="0.25">
      <c r="B421" s="7" t="s">
        <v>347</v>
      </c>
      <c r="C421" s="7" t="str">
        <f>IF(Entity[[#This Row],[Link]]="","",HYPERLINK(HTMLDokuPath&amp;Entity[[#This Row],[Link]],"Doku"))</f>
        <v>Doku</v>
      </c>
      <c r="D421" s="6">
        <v>29</v>
      </c>
      <c r="E421" s="20" t="str">
        <f>IFERROR(IF(VLOOKUP(Entity[ID-Modul],Modul[],3,FALSE)=0,VLOOKUP(Entity[ID-Modul],Modul[],2,FALSE),VLOOKUP(Entity[ID-Modul],Modul[],3,FALSE)),"unbekannt")</f>
        <v>IfcProfilePropertyResource</v>
      </c>
      <c r="F421" s="21" t="b">
        <v>0</v>
      </c>
      <c r="G421" s="21" t="b">
        <v>1</v>
      </c>
      <c r="H421" s="22" t="s">
        <v>1395</v>
      </c>
      <c r="I421" s="19">
        <f>LEN(Entity[[#This Row],[IFC-Name]])</f>
        <v>20</v>
      </c>
      <c r="J421" s="7" t="s">
        <v>2859</v>
      </c>
      <c r="K421" s="19">
        <f>LEN(Entity[[#This Row],[Klassen-Name]])</f>
        <v>0</v>
      </c>
      <c r="L421" s="7"/>
      <c r="M421" s="19" t="b">
        <f>IF(NOT(Entity[[#This Row],[Supertype]]),TRUE,AND(Entity[[#This Row],[Supertype]],Entity[[#This Row],[Subtype]]))</f>
        <v>0</v>
      </c>
      <c r="N421" s="28" t="s">
        <v>3297</v>
      </c>
      <c r="O421" s="29" t="s">
        <v>2186</v>
      </c>
    </row>
    <row r="422" spans="2:15" ht="20.100000000000001" customHeight="1" x14ac:dyDescent="0.25">
      <c r="B422" s="7" t="s">
        <v>641</v>
      </c>
      <c r="C422" s="7" t="str">
        <f>IF(Entity[[#This Row],[Link]]="","",HYPERLINK(HTMLDokuPath&amp;Entity[[#This Row],[Link]],"Doku"))</f>
        <v>Doku</v>
      </c>
      <c r="D422" s="6">
        <v>29</v>
      </c>
      <c r="E422" s="20" t="str">
        <f>IFERROR(IF(VLOOKUP(Entity[ID-Modul],Modul[],3,FALSE)=0,VLOOKUP(Entity[ID-Modul],Modul[],2,FALSE),VLOOKUP(Entity[ID-Modul],Modul[],3,FALSE)),"unbekannt")</f>
        <v>IfcProfilePropertyResource</v>
      </c>
      <c r="F422" s="21" t="b">
        <v>0</v>
      </c>
      <c r="G422" s="21" t="b">
        <v>0</v>
      </c>
      <c r="H422" s="22" t="s">
        <v>983</v>
      </c>
      <c r="I422" s="19">
        <f>LEN(Entity[[#This Row],[IFC-Name]])</f>
        <v>29</v>
      </c>
      <c r="J422" s="7" t="s">
        <v>641</v>
      </c>
      <c r="K422" s="19">
        <f>LEN(Entity[[#This Row],[Klassen-Name]])</f>
        <v>29</v>
      </c>
      <c r="L422" s="7"/>
      <c r="M422" s="19" t="b">
        <f>IF(NOT(Entity[[#This Row],[Supertype]]),TRUE,AND(Entity[[#This Row],[Supertype]],Entity[[#This Row],[Subtype]]))</f>
        <v>1</v>
      </c>
      <c r="N422" s="28" t="s">
        <v>3338</v>
      </c>
      <c r="O422" s="29" t="s">
        <v>2227</v>
      </c>
    </row>
    <row r="423" spans="2:15" ht="20.100000000000001" customHeight="1" x14ac:dyDescent="0.25">
      <c r="B423" s="7" t="s">
        <v>443</v>
      </c>
      <c r="C423" s="7" t="str">
        <f>IF(Entity[[#This Row],[Link]]="","",HYPERLINK(HTMLDokuPath&amp;Entity[[#This Row],[Link]],"Doku"))</f>
        <v>Doku</v>
      </c>
      <c r="D423" s="6">
        <v>29</v>
      </c>
      <c r="E423" s="20" t="str">
        <f>IFERROR(IF(VLOOKUP(Entity[ID-Modul],Modul[],3,FALSE)=0,VLOOKUP(Entity[ID-Modul],Modul[],2,FALSE),VLOOKUP(Entity[ID-Modul],Modul[],3,FALSE)),"unbekannt")</f>
        <v>IfcProfilePropertyResource</v>
      </c>
      <c r="F423" s="21" t="b">
        <v>1</v>
      </c>
      <c r="G423" s="21" t="b">
        <v>0</v>
      </c>
      <c r="H423" s="22" t="s">
        <v>1029</v>
      </c>
      <c r="I423" s="19">
        <f>LEN(Entity[[#This Row],[IFC-Name]])</f>
        <v>28</v>
      </c>
      <c r="J423" s="7" t="s">
        <v>443</v>
      </c>
      <c r="K423" s="19">
        <f>LEN(Entity[[#This Row],[Klassen-Name]])</f>
        <v>28</v>
      </c>
      <c r="L423" s="7"/>
      <c r="M423" s="19" t="b">
        <f>IF(NOT(Entity[[#This Row],[Supertype]]),TRUE,AND(Entity[[#This Row],[Supertype]],Entity[[#This Row],[Subtype]]))</f>
        <v>1</v>
      </c>
      <c r="N423" s="28" t="s">
        <v>3400</v>
      </c>
      <c r="O423" s="29" t="s">
        <v>2289</v>
      </c>
    </row>
    <row r="424" spans="2:15" ht="20.100000000000001" customHeight="1" x14ac:dyDescent="0.25">
      <c r="B424" s="7" t="s">
        <v>644</v>
      </c>
      <c r="C424" s="7" t="str">
        <f>IF(Entity[[#This Row],[Link]]="","",HYPERLINK(HTMLDokuPath&amp;Entity[[#This Row],[Link]],"Doku"))</f>
        <v>Doku</v>
      </c>
      <c r="D424" s="6">
        <v>29</v>
      </c>
      <c r="E424" s="20" t="str">
        <f>IFERROR(IF(VLOOKUP(Entity[ID-Modul],Modul[],3,FALSE)=0,VLOOKUP(Entity[ID-Modul],Modul[],2,FALSE),VLOOKUP(Entity[ID-Modul],Modul[],3,FALSE)),"unbekannt")</f>
        <v>IfcProfilePropertyResource</v>
      </c>
      <c r="F424" s="21" t="b">
        <v>0</v>
      </c>
      <c r="G424" s="21" t="b">
        <v>0</v>
      </c>
      <c r="H424" s="22" t="s">
        <v>1038</v>
      </c>
      <c r="I424" s="19">
        <f>LEN(Entity[[#This Row],[IFC-Name]])</f>
        <v>20</v>
      </c>
      <c r="J424" s="7" t="s">
        <v>644</v>
      </c>
      <c r="K424" s="19">
        <f>LEN(Entity[[#This Row],[Klassen-Name]])</f>
        <v>20</v>
      </c>
      <c r="L424" s="7"/>
      <c r="M424" s="19" t="b">
        <f>IF(NOT(Entity[[#This Row],[Supertype]]),TRUE,AND(Entity[[#This Row],[Supertype]],Entity[[#This Row],[Subtype]]))</f>
        <v>1</v>
      </c>
      <c r="N424" s="28" t="s">
        <v>3410</v>
      </c>
      <c r="O424" s="29" t="s">
        <v>2299</v>
      </c>
    </row>
    <row r="425" spans="2:15" ht="20.100000000000001" customHeight="1" x14ac:dyDescent="0.25">
      <c r="B425" s="7" t="s">
        <v>645</v>
      </c>
      <c r="C425" s="7" t="str">
        <f>IF(Entity[[#This Row],[Link]]="","",HYPERLINK(HTMLDokuPath&amp;Entity[[#This Row],[Link]],"Doku"))</f>
        <v>Doku</v>
      </c>
      <c r="D425" s="6">
        <v>29</v>
      </c>
      <c r="E425" s="20" t="str">
        <f>IFERROR(IF(VLOOKUP(Entity[ID-Modul],Modul[],3,FALSE)=0,VLOOKUP(Entity[ID-Modul],Modul[],2,FALSE),VLOOKUP(Entity[ID-Modul],Modul[],3,FALSE)),"unbekannt")</f>
        <v>IfcProfilePropertyResource</v>
      </c>
      <c r="F425" s="21" t="b">
        <v>0</v>
      </c>
      <c r="G425" s="21" t="b">
        <v>0</v>
      </c>
      <c r="H425" s="22" t="s">
        <v>1039</v>
      </c>
      <c r="I425" s="19">
        <f>LEN(Entity[[#This Row],[IFC-Name]])</f>
        <v>33</v>
      </c>
      <c r="J425" s="1" t="s">
        <v>2887</v>
      </c>
      <c r="K425" s="19">
        <f>LEN(Entity[[#This Row],[Klassen-Name]])</f>
        <v>27</v>
      </c>
      <c r="L425" s="7"/>
      <c r="M425" s="19" t="b">
        <f>IF(NOT(Entity[[#This Row],[Supertype]]),TRUE,AND(Entity[[#This Row],[Supertype]],Entity[[#This Row],[Subtype]]))</f>
        <v>1</v>
      </c>
      <c r="N425" s="28" t="s">
        <v>3411</v>
      </c>
      <c r="O425" s="29" t="s">
        <v>2300</v>
      </c>
    </row>
    <row r="426" spans="2:15" ht="20.100000000000001" customHeight="1" x14ac:dyDescent="0.25">
      <c r="B426" s="7" t="s">
        <v>507</v>
      </c>
      <c r="C426" s="7" t="str">
        <f>IF(Entity[[#This Row],[Link]]="","",HYPERLINK(HTMLDokuPath&amp;Entity[[#This Row],[Link]],"Doku"))</f>
        <v>Doku</v>
      </c>
      <c r="D426" s="6">
        <v>29</v>
      </c>
      <c r="E426" s="20" t="str">
        <f>IFERROR(IF(VLOOKUP(Entity[ID-Modul],Modul[],3,FALSE)=0,VLOOKUP(Entity[ID-Modul],Modul[],2,FALSE),VLOOKUP(Entity[ID-Modul],Modul[],3,FALSE)),"unbekannt")</f>
        <v>IfcProfilePropertyResource</v>
      </c>
      <c r="F426" s="21" t="b">
        <v>1</v>
      </c>
      <c r="G426" s="21" t="b">
        <v>1</v>
      </c>
      <c r="H426" s="22" t="s">
        <v>1435</v>
      </c>
      <c r="I426" s="19">
        <f>LEN(Entity[[#This Row],[IFC-Name]])</f>
        <v>30</v>
      </c>
      <c r="J426" s="7" t="s">
        <v>507</v>
      </c>
      <c r="K426" s="19">
        <f>LEN(Entity[[#This Row],[Klassen-Name]])</f>
        <v>30</v>
      </c>
      <c r="L426" s="7"/>
      <c r="M426" s="19" t="b">
        <f>IF(NOT(Entity[[#This Row],[Supertype]]),TRUE,AND(Entity[[#This Row],[Supertype]],Entity[[#This Row],[Subtype]]))</f>
        <v>1</v>
      </c>
      <c r="N426" s="28" t="s">
        <v>3467</v>
      </c>
      <c r="O426" s="29" t="s">
        <v>2356</v>
      </c>
    </row>
    <row r="427" spans="2:15" ht="20.100000000000001" customHeight="1" x14ac:dyDescent="0.25">
      <c r="B427" s="7" t="s">
        <v>510</v>
      </c>
      <c r="C427" s="7" t="str">
        <f>IF(Entity[[#This Row],[Link]]="","",HYPERLINK(HTMLDokuPath&amp;Entity[[#This Row],[Link]],"Doku"))</f>
        <v>Doku</v>
      </c>
      <c r="D427" s="6">
        <v>29</v>
      </c>
      <c r="E427" s="20" t="str">
        <f>IFERROR(IF(VLOOKUP(Entity[ID-Modul],Modul[],3,FALSE)=0,VLOOKUP(Entity[ID-Modul],Modul[],2,FALSE),VLOOKUP(Entity[ID-Modul],Modul[],3,FALSE)),"unbekannt")</f>
        <v>IfcProfilePropertyResource</v>
      </c>
      <c r="F427" s="21" t="b">
        <v>1</v>
      </c>
      <c r="G427" s="21" t="b">
        <v>0</v>
      </c>
      <c r="H427" s="22" t="s">
        <v>1078</v>
      </c>
      <c r="I427" s="19">
        <f>LEN(Entity[[#This Row],[IFC-Name]])</f>
        <v>35</v>
      </c>
      <c r="J427" s="1" t="s">
        <v>2888</v>
      </c>
      <c r="K427" s="19">
        <f>LEN(Entity[[#This Row],[Klassen-Name]])</f>
        <v>29</v>
      </c>
      <c r="L427" s="7"/>
      <c r="M427" s="19" t="b">
        <f>IF(NOT(Entity[[#This Row],[Supertype]]),TRUE,AND(Entity[[#This Row],[Supertype]],Entity[[#This Row],[Subtype]]))</f>
        <v>1</v>
      </c>
      <c r="N427" s="28" t="s">
        <v>3470</v>
      </c>
      <c r="O427" s="29" t="s">
        <v>2359</v>
      </c>
    </row>
    <row r="428" spans="2:15" ht="20.100000000000001" customHeight="1" x14ac:dyDescent="0.25">
      <c r="B428" s="7" t="s">
        <v>25</v>
      </c>
      <c r="C428" s="7" t="str">
        <f>IF(Entity[[#This Row],[Link]]="","",HYPERLINK(HTMLDokuPath&amp;Entity[[#This Row],[Link]],"Doku"))</f>
        <v>Doku</v>
      </c>
      <c r="D428" s="6">
        <v>30</v>
      </c>
      <c r="E428" s="20" t="str">
        <f>IFERROR(IF(VLOOKUP(Entity[ID-Modul],Modul[],3,FALSE)=0,VLOOKUP(Entity[ID-Modul],Modul[],2,FALSE),VLOOKUP(Entity[ID-Modul],Modul[],3,FALSE)),"unbekannt")</f>
        <v>IfcProfileResource</v>
      </c>
      <c r="F428" s="21" t="b">
        <v>1</v>
      </c>
      <c r="G428" s="21" t="b">
        <v>1</v>
      </c>
      <c r="H428" s="22" t="s">
        <v>1297</v>
      </c>
      <c r="I428" s="19">
        <f>LEN(Entity[[#This Row],[IFC-Name]])</f>
        <v>28</v>
      </c>
      <c r="J428" s="7" t="s">
        <v>25</v>
      </c>
      <c r="K428" s="19">
        <f>LEN(Entity[[#This Row],[Klassen-Name]])</f>
        <v>28</v>
      </c>
      <c r="L428" s="7"/>
      <c r="M428" s="19" t="b">
        <f>IF(NOT(Entity[[#This Row],[Supertype]]),TRUE,AND(Entity[[#This Row],[Supertype]],Entity[[#This Row],[Subtype]]))</f>
        <v>1</v>
      </c>
      <c r="N428" s="28" t="s">
        <v>2934</v>
      </c>
      <c r="O428" s="29" t="s">
        <v>1823</v>
      </c>
    </row>
    <row r="429" spans="2:15" ht="20.100000000000001" customHeight="1" x14ac:dyDescent="0.25">
      <c r="B429" s="7" t="s">
        <v>26</v>
      </c>
      <c r="C429" s="7" t="str">
        <f>IF(Entity[[#This Row],[Link]]="","",HYPERLINK(HTMLDokuPath&amp;Entity[[#This Row],[Link]],"Doku"))</f>
        <v>Doku</v>
      </c>
      <c r="D429" s="6">
        <v>30</v>
      </c>
      <c r="E429" s="20" t="str">
        <f>IFERROR(IF(VLOOKUP(Entity[ID-Modul],Modul[],3,FALSE)=0,VLOOKUP(Entity[ID-Modul],Modul[],2,FALSE),VLOOKUP(Entity[ID-Modul],Modul[],3,FALSE)),"unbekannt")</f>
        <v>IfcProfileResource</v>
      </c>
      <c r="F429" s="21" t="b">
        <v>1</v>
      </c>
      <c r="G429" s="21" t="b">
        <v>1</v>
      </c>
      <c r="H429" s="22" t="s">
        <v>1298</v>
      </c>
      <c r="I429" s="19">
        <f>LEN(Entity[[#This Row],[IFC-Name]])</f>
        <v>26</v>
      </c>
      <c r="J429" s="7" t="s">
        <v>26</v>
      </c>
      <c r="K429" s="19">
        <f>LEN(Entity[[#This Row],[Klassen-Name]])</f>
        <v>26</v>
      </c>
      <c r="L429" s="7"/>
      <c r="M429" s="19" t="b">
        <f>IF(NOT(Entity[[#This Row],[Supertype]]),TRUE,AND(Entity[[#This Row],[Supertype]],Entity[[#This Row],[Subtype]]))</f>
        <v>1</v>
      </c>
      <c r="N429" s="28" t="s">
        <v>2935</v>
      </c>
      <c r="O429" s="29" t="s">
        <v>1824</v>
      </c>
    </row>
    <row r="430" spans="2:15" ht="20.100000000000001" customHeight="1" x14ac:dyDescent="0.25">
      <c r="B430" s="7" t="s">
        <v>27</v>
      </c>
      <c r="C430" s="7" t="str">
        <f>IF(Entity[[#This Row],[Link]]="","",HYPERLINK(HTMLDokuPath&amp;Entity[[#This Row],[Link]],"Doku"))</f>
        <v>Doku</v>
      </c>
      <c r="D430" s="6">
        <v>30</v>
      </c>
      <c r="E430" s="20" t="str">
        <f>IFERROR(IF(VLOOKUP(Entity[ID-Modul],Modul[],3,FALSE)=0,VLOOKUP(Entity[ID-Modul],Modul[],2,FALSE),VLOOKUP(Entity[ID-Modul],Modul[],3,FALSE)),"unbekannt")</f>
        <v>IfcProfileResource</v>
      </c>
      <c r="F430" s="21" t="b">
        <v>1</v>
      </c>
      <c r="G430" s="21" t="b">
        <v>0</v>
      </c>
      <c r="H430" s="22" t="s">
        <v>682</v>
      </c>
      <c r="I430" s="19">
        <f>LEN(Entity[[#This Row],[IFC-Name]])</f>
        <v>31</v>
      </c>
      <c r="J430" s="7" t="s">
        <v>27</v>
      </c>
      <c r="K430" s="19">
        <f>LEN(Entity[[#This Row],[Klassen-Name]])</f>
        <v>31</v>
      </c>
      <c r="L430" s="7"/>
      <c r="M430" s="19" t="b">
        <f>IF(NOT(Entity[[#This Row],[Supertype]]),TRUE,AND(Entity[[#This Row],[Supertype]],Entity[[#This Row],[Subtype]]))</f>
        <v>1</v>
      </c>
      <c r="N430" s="28" t="s">
        <v>2936</v>
      </c>
      <c r="O430" s="29" t="s">
        <v>1825</v>
      </c>
    </row>
    <row r="431" spans="2:15" ht="20.100000000000001" customHeight="1" x14ac:dyDescent="0.25">
      <c r="B431" s="7" t="s">
        <v>29</v>
      </c>
      <c r="C431" s="7" t="str">
        <f>IF(Entity[[#This Row],[Link]]="","",HYPERLINK(HTMLDokuPath&amp;Entity[[#This Row],[Link]],"Doku"))</f>
        <v>Doku</v>
      </c>
      <c r="D431" s="6">
        <v>30</v>
      </c>
      <c r="E431" s="20" t="str">
        <f>IFERROR(IF(VLOOKUP(Entity[ID-Modul],Modul[],3,FALSE)=0,VLOOKUP(Entity[ID-Modul],Modul[],2,FALSE),VLOOKUP(Entity[ID-Modul],Modul[],3,FALSE)),"unbekannt")</f>
        <v>IfcProfileResource</v>
      </c>
      <c r="F431" s="21" t="b">
        <v>1</v>
      </c>
      <c r="G431" s="21" t="b">
        <v>0</v>
      </c>
      <c r="H431" s="22" t="s">
        <v>684</v>
      </c>
      <c r="I431" s="19">
        <f>LEN(Entity[[#This Row],[IFC-Name]])</f>
        <v>29</v>
      </c>
      <c r="J431" s="7" t="s">
        <v>29</v>
      </c>
      <c r="K431" s="19">
        <f>LEN(Entity[[#This Row],[Klassen-Name]])</f>
        <v>29</v>
      </c>
      <c r="L431" s="7"/>
      <c r="M431" s="19" t="b">
        <f>IF(NOT(Entity[[#This Row],[Supertype]]),TRUE,AND(Entity[[#This Row],[Supertype]],Entity[[#This Row],[Subtype]]))</f>
        <v>1</v>
      </c>
      <c r="N431" s="28" t="s">
        <v>2938</v>
      </c>
      <c r="O431" s="29" t="s">
        <v>1827</v>
      </c>
    </row>
    <row r="432" spans="2:15" ht="20.100000000000001" customHeight="1" x14ac:dyDescent="0.25">
      <c r="B432" s="7" t="s">
        <v>69</v>
      </c>
      <c r="C432" s="7" t="str">
        <f>IF(Entity[[#This Row],[Link]]="","",HYPERLINK(HTMLDokuPath&amp;Entity[[#This Row],[Link]],"Doku"))</f>
        <v>Doku</v>
      </c>
      <c r="D432" s="6">
        <v>30</v>
      </c>
      <c r="E432" s="20" t="str">
        <f>IFERROR(IF(VLOOKUP(Entity[ID-Modul],Modul[],3,FALSE)=0,VLOOKUP(Entity[ID-Modul],Modul[],2,FALSE),VLOOKUP(Entity[ID-Modul],Modul[],3,FALSE)),"unbekannt")</f>
        <v>IfcProfileResource</v>
      </c>
      <c r="F432" s="21" t="b">
        <v>1</v>
      </c>
      <c r="G432" s="21" t="b">
        <v>0</v>
      </c>
      <c r="H432" s="22" t="s">
        <v>712</v>
      </c>
      <c r="I432" s="19">
        <f>LEN(Entity[[#This Row],[IFC-Name]])</f>
        <v>23</v>
      </c>
      <c r="J432" s="7" t="s">
        <v>69</v>
      </c>
      <c r="K432" s="19">
        <f>LEN(Entity[[#This Row],[Klassen-Name]])</f>
        <v>23</v>
      </c>
      <c r="L432" s="7"/>
      <c r="M432" s="19" t="b">
        <f>IF(NOT(Entity[[#This Row],[Supertype]]),TRUE,AND(Entity[[#This Row],[Supertype]],Entity[[#This Row],[Subtype]]))</f>
        <v>1</v>
      </c>
      <c r="N432" s="28" t="s">
        <v>2978</v>
      </c>
      <c r="O432" s="29" t="s">
        <v>1868</v>
      </c>
    </row>
    <row r="433" spans="2:15" ht="20.100000000000001" customHeight="1" x14ac:dyDescent="0.25">
      <c r="B433" s="7" t="s">
        <v>73</v>
      </c>
      <c r="C433" s="7" t="str">
        <f>IF(Entity[[#This Row],[Link]]="","",HYPERLINK(HTMLDokuPath&amp;Entity[[#This Row],[Link]],"Doku"))</f>
        <v>Doku</v>
      </c>
      <c r="D433" s="6">
        <v>30</v>
      </c>
      <c r="E433" s="20" t="str">
        <f>IFERROR(IF(VLOOKUP(Entity[ID-Modul],Modul[],3,FALSE)=0,VLOOKUP(Entity[ID-Modul],Modul[],2,FALSE),VLOOKUP(Entity[ID-Modul],Modul[],3,FALSE)),"unbekannt")</f>
        <v>IfcProfileResource</v>
      </c>
      <c r="F433" s="21" t="b">
        <v>1</v>
      </c>
      <c r="G433" s="21" t="b">
        <v>0</v>
      </c>
      <c r="H433" s="22" t="s">
        <v>716</v>
      </c>
      <c r="I433" s="19">
        <f>LEN(Entity[[#This Row],[IFC-Name]])</f>
        <v>25</v>
      </c>
      <c r="J433" s="7" t="s">
        <v>73</v>
      </c>
      <c r="K433" s="19">
        <f>LEN(Entity[[#This Row],[Klassen-Name]])</f>
        <v>25</v>
      </c>
      <c r="L433" s="7"/>
      <c r="M433" s="19" t="b">
        <f>IF(NOT(Entity[[#This Row],[Supertype]]),TRUE,AND(Entity[[#This Row],[Supertype]],Entity[[#This Row],[Subtype]]))</f>
        <v>1</v>
      </c>
      <c r="N433" s="28" t="s">
        <v>2982</v>
      </c>
      <c r="O433" s="29" t="s">
        <v>1872</v>
      </c>
    </row>
    <row r="434" spans="2:15" ht="20.100000000000001" customHeight="1" x14ac:dyDescent="0.25">
      <c r="B434" s="7" t="s">
        <v>74</v>
      </c>
      <c r="C434" s="7" t="str">
        <f>IF(Entity[[#This Row],[Link]]="","",HYPERLINK(HTMLDokuPath&amp;Entity[[#This Row],[Link]],"Doku"))</f>
        <v>Doku</v>
      </c>
      <c r="D434" s="6">
        <v>30</v>
      </c>
      <c r="E434" s="20" t="str">
        <f>IFERROR(IF(VLOOKUP(Entity[ID-Modul],Modul[],3,FALSE)=0,VLOOKUP(Entity[ID-Modul],Modul[],2,FALSE),VLOOKUP(Entity[ID-Modul],Modul[],3,FALSE)),"unbekannt")</f>
        <v>IfcProfileResource</v>
      </c>
      <c r="F434" s="21" t="b">
        <v>1</v>
      </c>
      <c r="G434" s="21" t="b">
        <v>1</v>
      </c>
      <c r="H434" s="22" t="s">
        <v>1312</v>
      </c>
      <c r="I434" s="19">
        <f>LEN(Entity[[#This Row],[IFC-Name]])</f>
        <v>19</v>
      </c>
      <c r="J434" s="7" t="s">
        <v>74</v>
      </c>
      <c r="K434" s="19">
        <f>LEN(Entity[[#This Row],[Klassen-Name]])</f>
        <v>19</v>
      </c>
      <c r="L434" s="7"/>
      <c r="M434" s="19" t="b">
        <f>IF(NOT(Entity[[#This Row],[Supertype]]),TRUE,AND(Entity[[#This Row],[Supertype]],Entity[[#This Row],[Subtype]]))</f>
        <v>1</v>
      </c>
      <c r="N434" s="28" t="s">
        <v>2983</v>
      </c>
      <c r="O434" s="29" t="s">
        <v>1873</v>
      </c>
    </row>
    <row r="435" spans="2:15" ht="20.100000000000001" customHeight="1" x14ac:dyDescent="0.25">
      <c r="B435" s="7" t="s">
        <v>85</v>
      </c>
      <c r="C435" s="7" t="str">
        <f>IF(Entity[[#This Row],[Link]]="","",HYPERLINK(HTMLDokuPath&amp;Entity[[#This Row],[Link]],"Doku"))</f>
        <v>Doku</v>
      </c>
      <c r="D435" s="6">
        <v>30</v>
      </c>
      <c r="E435" s="20" t="str">
        <f>IFERROR(IF(VLOOKUP(Entity[ID-Modul],Modul[],3,FALSE)=0,VLOOKUP(Entity[ID-Modul],Modul[],2,FALSE),VLOOKUP(Entity[ID-Modul],Modul[],3,FALSE)),"unbekannt")</f>
        <v>IfcProfileResource</v>
      </c>
      <c r="F435" s="21" t="b">
        <v>1</v>
      </c>
      <c r="G435" s="21" t="b">
        <v>0</v>
      </c>
      <c r="H435" s="22" t="s">
        <v>730</v>
      </c>
      <c r="I435" s="19">
        <f>LEN(Entity[[#This Row],[IFC-Name]])</f>
        <v>22</v>
      </c>
      <c r="J435" s="7" t="s">
        <v>85</v>
      </c>
      <c r="K435" s="19">
        <f>LEN(Entity[[#This Row],[Klassen-Name]])</f>
        <v>22</v>
      </c>
      <c r="L435" s="7"/>
      <c r="M435" s="19" t="b">
        <f>IF(NOT(Entity[[#This Row],[Supertype]]),TRUE,AND(Entity[[#This Row],[Supertype]],Entity[[#This Row],[Subtype]]))</f>
        <v>1</v>
      </c>
      <c r="N435" s="28" t="s">
        <v>2999</v>
      </c>
      <c r="O435" s="29" t="s">
        <v>1889</v>
      </c>
    </row>
    <row r="436" spans="2:15" ht="20.100000000000001" customHeight="1" x14ac:dyDescent="0.25">
      <c r="B436" s="7" t="s">
        <v>114</v>
      </c>
      <c r="C436" s="7" t="str">
        <f>IF(Entity[[#This Row],[Link]]="","",HYPERLINK(HTMLDokuPath&amp;Entity[[#This Row],[Link]],"Doku"))</f>
        <v>Doku</v>
      </c>
      <c r="D436" s="6">
        <v>30</v>
      </c>
      <c r="E436" s="20" t="str">
        <f>IFERROR(IF(VLOOKUP(Entity[ID-Modul],Modul[],3,FALSE)=0,VLOOKUP(Entity[ID-Modul],Modul[],2,FALSE),VLOOKUP(Entity[ID-Modul],Modul[],3,FALSE)),"unbekannt")</f>
        <v>IfcProfileResource</v>
      </c>
      <c r="F436" s="21" t="b">
        <v>1</v>
      </c>
      <c r="G436" s="21" t="b">
        <v>0</v>
      </c>
      <c r="H436" s="22" t="s">
        <v>756</v>
      </c>
      <c r="I436" s="19">
        <f>LEN(Entity[[#This Row],[IFC-Name]])</f>
        <v>28</v>
      </c>
      <c r="J436" s="7" t="s">
        <v>114</v>
      </c>
      <c r="K436" s="19">
        <f>LEN(Entity[[#This Row],[Klassen-Name]])</f>
        <v>28</v>
      </c>
      <c r="L436" s="7"/>
      <c r="M436" s="19" t="b">
        <f>IF(NOT(Entity[[#This Row],[Supertype]]),TRUE,AND(Entity[[#This Row],[Supertype]],Entity[[#This Row],[Subtype]]))</f>
        <v>1</v>
      </c>
      <c r="N436" s="28" t="s">
        <v>3032</v>
      </c>
      <c r="O436" s="29" t="s">
        <v>1922</v>
      </c>
    </row>
    <row r="437" spans="2:15" ht="20.100000000000001" customHeight="1" x14ac:dyDescent="0.25">
      <c r="B437" s="7" t="s">
        <v>115</v>
      </c>
      <c r="C437" s="7" t="str">
        <f>IF(Entity[[#This Row],[Link]]="","",HYPERLINK(HTMLDokuPath&amp;Entity[[#This Row],[Link]],"Doku"))</f>
        <v>Doku</v>
      </c>
      <c r="D437" s="6">
        <v>30</v>
      </c>
      <c r="E437" s="20" t="str">
        <f>IFERROR(IF(VLOOKUP(Entity[ID-Modul],Modul[],3,FALSE)=0,VLOOKUP(Entity[ID-Modul],Modul[],2,FALSE),VLOOKUP(Entity[ID-Modul],Modul[],3,FALSE)),"unbekannt")</f>
        <v>IfcProfileResource</v>
      </c>
      <c r="F437" s="21" t="b">
        <v>1</v>
      </c>
      <c r="G437" s="21" t="b">
        <v>0</v>
      </c>
      <c r="H437" s="22" t="s">
        <v>757</v>
      </c>
      <c r="I437" s="19">
        <f>LEN(Entity[[#This Row],[IFC-Name]])</f>
        <v>28</v>
      </c>
      <c r="J437" s="7" t="s">
        <v>115</v>
      </c>
      <c r="K437" s="19">
        <f>LEN(Entity[[#This Row],[Klassen-Name]])</f>
        <v>28</v>
      </c>
      <c r="L437" s="7"/>
      <c r="M437" s="19" t="b">
        <f>IF(NOT(Entity[[#This Row],[Supertype]]),TRUE,AND(Entity[[#This Row],[Supertype]],Entity[[#This Row],[Subtype]]))</f>
        <v>1</v>
      </c>
      <c r="N437" s="28" t="s">
        <v>3033</v>
      </c>
      <c r="O437" s="29" t="s">
        <v>1923</v>
      </c>
    </row>
    <row r="438" spans="2:15" ht="20.100000000000001" customHeight="1" x14ac:dyDescent="0.25">
      <c r="B438" s="7" t="s">
        <v>59</v>
      </c>
      <c r="C438" s="7" t="str">
        <f>IF(Entity[[#This Row],[Link]]="","",HYPERLINK(HTMLDokuPath&amp;Entity[[#This Row],[Link]],"Doku"))</f>
        <v>Doku</v>
      </c>
      <c r="D438" s="6">
        <v>30</v>
      </c>
      <c r="E438" s="20" t="str">
        <f>IFERROR(IF(VLOOKUP(Entity[ID-Modul],Modul[],3,FALSE)=0,VLOOKUP(Entity[ID-Modul],Modul[],2,FALSE),VLOOKUP(Entity[ID-Modul],Modul[],3,FALSE)),"unbekannt")</f>
        <v>IfcProfileResource</v>
      </c>
      <c r="F438" s="21" t="b">
        <v>1</v>
      </c>
      <c r="G438" s="21" t="b">
        <v>0</v>
      </c>
      <c r="H438" s="22" t="s">
        <v>704</v>
      </c>
      <c r="I438" s="19">
        <f>LEN(Entity[[#This Row],[IFC-Name]])</f>
        <v>19</v>
      </c>
      <c r="J438" s="7" t="s">
        <v>59</v>
      </c>
      <c r="K438" s="19">
        <f>LEN(Entity[[#This Row],[Klassen-Name]])</f>
        <v>19</v>
      </c>
      <c r="L438" s="7"/>
      <c r="M438" s="19" t="b">
        <f>IF(NOT(Entity[[#This Row],[Supertype]]),TRUE,AND(Entity[[#This Row],[Supertype]],Entity[[#This Row],[Subtype]]))</f>
        <v>1</v>
      </c>
      <c r="N438" s="28" t="s">
        <v>3037</v>
      </c>
      <c r="O438" s="29" t="s">
        <v>1857</v>
      </c>
    </row>
    <row r="439" spans="2:15" ht="20.100000000000001" customHeight="1" x14ac:dyDescent="0.25">
      <c r="B439" s="7" t="s">
        <v>126</v>
      </c>
      <c r="C439" s="7" t="str">
        <f>IF(Entity[[#This Row],[Link]]="","",HYPERLINK(HTMLDokuPath&amp;Entity[[#This Row],[Link]],"Doku"))</f>
        <v>Doku</v>
      </c>
      <c r="D439" s="6">
        <v>30</v>
      </c>
      <c r="E439" s="20" t="str">
        <f>IFERROR(IF(VLOOKUP(Entity[ID-Modul],Modul[],3,FALSE)=0,VLOOKUP(Entity[ID-Modul],Modul[],2,FALSE),VLOOKUP(Entity[ID-Modul],Modul[],3,FALSE)),"unbekannt")</f>
        <v>IfcProfileResource</v>
      </c>
      <c r="F439" s="21" t="b">
        <v>1</v>
      </c>
      <c r="G439" s="21" t="b">
        <v>0</v>
      </c>
      <c r="H439" s="22" t="s">
        <v>771</v>
      </c>
      <c r="I439" s="19">
        <f>LEN(Entity[[#This Row],[IFC-Name]])</f>
        <v>20</v>
      </c>
      <c r="J439" s="7" t="s">
        <v>126</v>
      </c>
      <c r="K439" s="19">
        <f>LEN(Entity[[#This Row],[Klassen-Name]])</f>
        <v>20</v>
      </c>
      <c r="L439" s="7"/>
      <c r="M439" s="19" t="b">
        <f>IF(NOT(Entity[[#This Row],[Supertype]]),TRUE,AND(Entity[[#This Row],[Supertype]],Entity[[#This Row],[Subtype]]))</f>
        <v>1</v>
      </c>
      <c r="N439" s="28" t="s">
        <v>3050</v>
      </c>
      <c r="O439" s="29" t="s">
        <v>1939</v>
      </c>
    </row>
    <row r="440" spans="2:15" ht="20.100000000000001" customHeight="1" x14ac:dyDescent="0.25">
      <c r="B440" s="7" t="s">
        <v>180</v>
      </c>
      <c r="C440" s="7" t="str">
        <f>IF(Entity[[#This Row],[Link]]="","",HYPERLINK(HTMLDokuPath&amp;Entity[[#This Row],[Link]],"Doku"))</f>
        <v>Doku</v>
      </c>
      <c r="D440" s="6">
        <v>30</v>
      </c>
      <c r="E440" s="20" t="str">
        <f>IFERROR(IF(VLOOKUP(Entity[ID-Modul],Modul[],3,FALSE)=0,VLOOKUP(Entity[ID-Modul],Modul[],2,FALSE),VLOOKUP(Entity[ID-Modul],Modul[],3,FALSE)),"unbekannt")</f>
        <v>IfcProfileResource</v>
      </c>
      <c r="F440" s="21" t="b">
        <v>1</v>
      </c>
      <c r="G440" s="21" t="b">
        <v>0</v>
      </c>
      <c r="H440" s="22" t="s">
        <v>815</v>
      </c>
      <c r="I440" s="19">
        <f>LEN(Entity[[#This Row],[IFC-Name]])</f>
        <v>20</v>
      </c>
      <c r="J440" s="7" t="s">
        <v>180</v>
      </c>
      <c r="K440" s="19">
        <f>LEN(Entity[[#This Row],[Klassen-Name]])</f>
        <v>20</v>
      </c>
      <c r="L440" s="7"/>
      <c r="M440" s="19" t="b">
        <f>IF(NOT(Entity[[#This Row],[Supertype]]),TRUE,AND(Entity[[#This Row],[Supertype]],Entity[[#This Row],[Subtype]]))</f>
        <v>1</v>
      </c>
      <c r="N440" s="28" t="s">
        <v>3110</v>
      </c>
      <c r="O440" s="29" t="s">
        <v>1999</v>
      </c>
    </row>
    <row r="441" spans="2:15" ht="20.100000000000001" customHeight="1" x14ac:dyDescent="0.25">
      <c r="B441" s="7" t="s">
        <v>254</v>
      </c>
      <c r="C441" s="7" t="str">
        <f>IF(Entity[[#This Row],[Link]]="","",HYPERLINK(HTMLDokuPath&amp;Entity[[#This Row],[Link]],"Doku"))</f>
        <v>Doku</v>
      </c>
      <c r="D441" s="6">
        <v>30</v>
      </c>
      <c r="E441" s="20" t="str">
        <f>IFERROR(IF(VLOOKUP(Entity[ID-Modul],Modul[],3,FALSE)=0,VLOOKUP(Entity[ID-Modul],Modul[],2,FALSE),VLOOKUP(Entity[ID-Modul],Modul[],3,FALSE)),"unbekannt")</f>
        <v>IfcProfileResource</v>
      </c>
      <c r="F441" s="21" t="b">
        <v>1</v>
      </c>
      <c r="G441" s="21" t="b">
        <v>1</v>
      </c>
      <c r="H441" s="22" t="s">
        <v>1365</v>
      </c>
      <c r="I441" s="19">
        <f>LEN(Entity[[#This Row],[IFC-Name]])</f>
        <v>19</v>
      </c>
      <c r="J441" s="7" t="s">
        <v>254</v>
      </c>
      <c r="K441" s="19">
        <f>LEN(Entity[[#This Row],[Klassen-Name]])</f>
        <v>19</v>
      </c>
      <c r="L441" s="7"/>
      <c r="M441" s="19" t="b">
        <f>IF(NOT(Entity[[#This Row],[Supertype]]),TRUE,AND(Entity[[#This Row],[Supertype]],Entity[[#This Row],[Subtype]]))</f>
        <v>1</v>
      </c>
      <c r="N441" s="28" t="s">
        <v>3189</v>
      </c>
      <c r="O441" s="29" t="s">
        <v>2074</v>
      </c>
    </row>
    <row r="442" spans="2:15" ht="20.100000000000001" customHeight="1" x14ac:dyDescent="0.25">
      <c r="B442" s="7" t="s">
        <v>259</v>
      </c>
      <c r="C442" s="7" t="str">
        <f>IF(Entity[[#This Row],[Link]]="","",HYPERLINK(HTMLDokuPath&amp;Entity[[#This Row],[Link]],"Doku"))</f>
        <v>Doku</v>
      </c>
      <c r="D442" s="6">
        <v>30</v>
      </c>
      <c r="E442" s="20" t="str">
        <f>IFERROR(IF(VLOOKUP(Entity[ID-Modul],Modul[],3,FALSE)=0,VLOOKUP(Entity[ID-Modul],Modul[],2,FALSE),VLOOKUP(Entity[ID-Modul],Modul[],3,FALSE)),"unbekannt")</f>
        <v>IfcProfileResource</v>
      </c>
      <c r="F442" s="21" t="b">
        <v>1</v>
      </c>
      <c r="G442" s="21" t="b">
        <v>0</v>
      </c>
      <c r="H442" s="22" t="s">
        <v>870</v>
      </c>
      <c r="I442" s="19">
        <f>LEN(Entity[[#This Row],[IFC-Name]])</f>
        <v>19</v>
      </c>
      <c r="J442" s="7" t="s">
        <v>259</v>
      </c>
      <c r="K442" s="19">
        <f>LEN(Entity[[#This Row],[Klassen-Name]])</f>
        <v>19</v>
      </c>
      <c r="L442" s="7"/>
      <c r="M442" s="19" t="b">
        <f>IF(NOT(Entity[[#This Row],[Supertype]]),TRUE,AND(Entity[[#This Row],[Supertype]],Entity[[#This Row],[Subtype]]))</f>
        <v>1</v>
      </c>
      <c r="N442" s="28" t="s">
        <v>3209</v>
      </c>
      <c r="O442" s="29" t="s">
        <v>2080</v>
      </c>
    </row>
    <row r="443" spans="2:15" ht="20.100000000000001" customHeight="1" x14ac:dyDescent="0.25">
      <c r="B443" s="7" t="s">
        <v>303</v>
      </c>
      <c r="C443" s="7" t="str">
        <f>IF(Entity[[#This Row],[Link]]="","",HYPERLINK(HTMLDokuPath&amp;Entity[[#This Row],[Link]],"Doku"))</f>
        <v>Doku</v>
      </c>
      <c r="D443" s="6">
        <v>30</v>
      </c>
      <c r="E443" s="20" t="str">
        <f>IFERROR(IF(VLOOKUP(Entity[ID-Modul],Modul[],3,FALSE)=0,VLOOKUP(Entity[ID-Modul],Modul[],2,FALSE),VLOOKUP(Entity[ID-Modul],Modul[],3,FALSE)),"unbekannt")</f>
        <v>IfcProfileResource</v>
      </c>
      <c r="F443" s="21" t="b">
        <v>1</v>
      </c>
      <c r="G443" s="21" t="b">
        <v>1</v>
      </c>
      <c r="H443" s="22" t="s">
        <v>1377</v>
      </c>
      <c r="I443" s="19">
        <f>LEN(Entity[[#This Row],[IFC-Name]])</f>
        <v>26</v>
      </c>
      <c r="J443" s="7" t="s">
        <v>303</v>
      </c>
      <c r="K443" s="19">
        <f>LEN(Entity[[#This Row],[Klassen-Name]])</f>
        <v>26</v>
      </c>
      <c r="L443" s="7"/>
      <c r="M443" s="19" t="b">
        <f>IF(NOT(Entity[[#This Row],[Supertype]]),TRUE,AND(Entity[[#This Row],[Supertype]],Entity[[#This Row],[Subtype]]))</f>
        <v>1</v>
      </c>
      <c r="N443" s="28" t="s">
        <v>3250</v>
      </c>
      <c r="O443" s="29" t="s">
        <v>2139</v>
      </c>
    </row>
    <row r="444" spans="2:15" ht="20.100000000000001" customHeight="1" x14ac:dyDescent="0.25">
      <c r="B444" s="7" t="s">
        <v>346</v>
      </c>
      <c r="C444" s="7" t="str">
        <f>IF(Entity[[#This Row],[Link]]="","",HYPERLINK(HTMLDokuPath&amp;Entity[[#This Row],[Link]],"Doku"))</f>
        <v>Doku</v>
      </c>
      <c r="D444" s="6">
        <v>30</v>
      </c>
      <c r="E444" s="20" t="str">
        <f>IFERROR(IF(VLOOKUP(Entity[ID-Modul],Modul[],3,FALSE)=0,VLOOKUP(Entity[ID-Modul],Modul[],2,FALSE),VLOOKUP(Entity[ID-Modul],Modul[],3,FALSE)),"unbekannt")</f>
        <v>IfcProfileResource</v>
      </c>
      <c r="F444" s="21" t="b">
        <v>0</v>
      </c>
      <c r="G444" s="21" t="b">
        <v>1</v>
      </c>
      <c r="H444" s="22" t="s">
        <v>1394</v>
      </c>
      <c r="I444" s="19">
        <f>LEN(Entity[[#This Row],[IFC-Name]])</f>
        <v>13</v>
      </c>
      <c r="J444" s="7" t="s">
        <v>2859</v>
      </c>
      <c r="K444" s="19">
        <f>LEN(Entity[[#This Row],[Klassen-Name]])</f>
        <v>0</v>
      </c>
      <c r="L444" s="7"/>
      <c r="M444" s="19" t="b">
        <f>IF(NOT(Entity[[#This Row],[Supertype]]),TRUE,AND(Entity[[#This Row],[Supertype]],Entity[[#This Row],[Subtype]]))</f>
        <v>0</v>
      </c>
      <c r="N444" s="28" t="s">
        <v>3296</v>
      </c>
      <c r="O444" s="29" t="s">
        <v>2185</v>
      </c>
    </row>
    <row r="445" spans="2:15" ht="20.100000000000001" customHeight="1" x14ac:dyDescent="0.25">
      <c r="B445" s="7" t="s">
        <v>379</v>
      </c>
      <c r="C445" s="7" t="str">
        <f>IF(Entity[[#This Row],[Link]]="","",HYPERLINK(HTMLDokuPath&amp;Entity[[#This Row],[Link]],"Doku"))</f>
        <v>Doku</v>
      </c>
      <c r="D445" s="6">
        <v>30</v>
      </c>
      <c r="E445" s="20" t="str">
        <f>IFERROR(IF(VLOOKUP(Entity[ID-Modul],Modul[],3,FALSE)=0,VLOOKUP(Entity[ID-Modul],Modul[],2,FALSE),VLOOKUP(Entity[ID-Modul],Modul[],3,FALSE)),"unbekannt")</f>
        <v>IfcProfileResource</v>
      </c>
      <c r="F445" s="21" t="b">
        <v>1</v>
      </c>
      <c r="G445" s="21" t="b">
        <v>0</v>
      </c>
      <c r="H445" s="22" t="s">
        <v>978</v>
      </c>
      <c r="I445" s="19">
        <f>LEN(Entity[[#This Row],[IFC-Name]])</f>
        <v>28</v>
      </c>
      <c r="J445" s="7" t="s">
        <v>379</v>
      </c>
      <c r="K445" s="19">
        <f>LEN(Entity[[#This Row],[Klassen-Name]])</f>
        <v>28</v>
      </c>
      <c r="L445" s="7"/>
      <c r="M445" s="19" t="b">
        <f>IF(NOT(Entity[[#This Row],[Supertype]]),TRUE,AND(Entity[[#This Row],[Supertype]],Entity[[#This Row],[Subtype]]))</f>
        <v>1</v>
      </c>
      <c r="N445" s="28" t="s">
        <v>3332</v>
      </c>
      <c r="O445" s="29" t="s">
        <v>2221</v>
      </c>
    </row>
    <row r="446" spans="2:15" ht="20.100000000000001" customHeight="1" x14ac:dyDescent="0.25">
      <c r="B446" s="7" t="s">
        <v>380</v>
      </c>
      <c r="C446" s="7" t="str">
        <f>IF(Entity[[#This Row],[Link]]="","",HYPERLINK(HTMLDokuPath&amp;Entity[[#This Row],[Link]],"Doku"))</f>
        <v>Doku</v>
      </c>
      <c r="D446" s="6">
        <v>30</v>
      </c>
      <c r="E446" s="20" t="str">
        <f>IFERROR(IF(VLOOKUP(Entity[ID-Modul],Modul[],3,FALSE)=0,VLOOKUP(Entity[ID-Modul],Modul[],2,FALSE),VLOOKUP(Entity[ID-Modul],Modul[],3,FALSE)),"unbekannt")</f>
        <v>IfcProfileResource</v>
      </c>
      <c r="F446" s="21" t="b">
        <v>1</v>
      </c>
      <c r="G446" s="21" t="b">
        <v>1</v>
      </c>
      <c r="H446" s="22" t="s">
        <v>1399</v>
      </c>
      <c r="I446" s="19">
        <f>LEN(Entity[[#This Row],[IFC-Name]])</f>
        <v>22</v>
      </c>
      <c r="J446" s="7" t="s">
        <v>380</v>
      </c>
      <c r="K446" s="19">
        <f>LEN(Entity[[#This Row],[Klassen-Name]])</f>
        <v>22</v>
      </c>
      <c r="L446" s="7"/>
      <c r="M446" s="19" t="b">
        <f>IF(NOT(Entity[[#This Row],[Supertype]]),TRUE,AND(Entity[[#This Row],[Supertype]],Entity[[#This Row],[Subtype]]))</f>
        <v>1</v>
      </c>
      <c r="N446" s="28" t="s">
        <v>3333</v>
      </c>
      <c r="O446" s="29" t="s">
        <v>2222</v>
      </c>
    </row>
    <row r="447" spans="2:15" ht="20.100000000000001" customHeight="1" x14ac:dyDescent="0.25">
      <c r="B447" s="7" t="s">
        <v>449</v>
      </c>
      <c r="C447" s="7" t="str">
        <f>IF(Entity[[#This Row],[Link]]="","",HYPERLINK(HTMLDokuPath&amp;Entity[[#This Row],[Link]],"Doku"))</f>
        <v>Doku</v>
      </c>
      <c r="D447" s="6">
        <v>30</v>
      </c>
      <c r="E447" s="20" t="str">
        <f>IFERROR(IF(VLOOKUP(Entity[ID-Modul],Modul[],3,FALSE)=0,VLOOKUP(Entity[ID-Modul],Modul[],2,FALSE),VLOOKUP(Entity[ID-Modul],Modul[],3,FALSE)),"unbekannt")</f>
        <v>IfcProfileResource</v>
      </c>
      <c r="F447" s="21" t="b">
        <v>1</v>
      </c>
      <c r="G447" s="21" t="b">
        <v>0</v>
      </c>
      <c r="H447" s="22" t="s">
        <v>1034</v>
      </c>
      <c r="I447" s="19">
        <f>LEN(Entity[[#This Row],[IFC-Name]])</f>
        <v>29</v>
      </c>
      <c r="J447" s="7" t="s">
        <v>449</v>
      </c>
      <c r="K447" s="19">
        <f>LEN(Entity[[#This Row],[Klassen-Name]])</f>
        <v>29</v>
      </c>
      <c r="L447" s="7"/>
      <c r="M447" s="19" t="b">
        <f>IF(NOT(Entity[[#This Row],[Supertype]]),TRUE,AND(Entity[[#This Row],[Supertype]],Entity[[#This Row],[Subtype]]))</f>
        <v>1</v>
      </c>
      <c r="N447" s="28" t="s">
        <v>3406</v>
      </c>
      <c r="O447" s="29" t="s">
        <v>2295</v>
      </c>
    </row>
    <row r="448" spans="2:15" ht="20.100000000000001" customHeight="1" x14ac:dyDescent="0.25">
      <c r="B448" s="7" t="s">
        <v>557</v>
      </c>
      <c r="C448" s="7" t="str">
        <f>IF(Entity[[#This Row],[Link]]="","",HYPERLINK(HTMLDokuPath&amp;Entity[[#This Row],[Link]],"Doku"))</f>
        <v>Doku</v>
      </c>
      <c r="D448" s="6">
        <v>30</v>
      </c>
      <c r="E448" s="20" t="str">
        <f>IFERROR(IF(VLOOKUP(Entity[ID-Modul],Modul[],3,FALSE)=0,VLOOKUP(Entity[ID-Modul],Modul[],2,FALSE),VLOOKUP(Entity[ID-Modul],Modul[],3,FALSE)),"unbekannt")</f>
        <v>IfcProfileResource</v>
      </c>
      <c r="F448" s="21" t="b">
        <v>1</v>
      </c>
      <c r="G448" s="21" t="b">
        <v>0</v>
      </c>
      <c r="H448" s="22" t="s">
        <v>1121</v>
      </c>
      <c r="I448" s="19">
        <f>LEN(Entity[[#This Row],[IFC-Name]])</f>
        <v>22</v>
      </c>
      <c r="J448" s="7" t="s">
        <v>557</v>
      </c>
      <c r="K448" s="19">
        <f>LEN(Entity[[#This Row],[Klassen-Name]])</f>
        <v>22</v>
      </c>
      <c r="L448" s="7"/>
      <c r="M448" s="19" t="b">
        <f>IF(NOT(Entity[[#This Row],[Supertype]]),TRUE,AND(Entity[[#This Row],[Supertype]],Entity[[#This Row],[Subtype]]))</f>
        <v>1</v>
      </c>
      <c r="N448" s="28" t="s">
        <v>3527</v>
      </c>
      <c r="O448" s="29" t="s">
        <v>2417</v>
      </c>
    </row>
    <row r="449" spans="2:15" ht="20.100000000000001" customHeight="1" x14ac:dyDescent="0.25">
      <c r="B449" s="7" t="s">
        <v>535</v>
      </c>
      <c r="C449" s="7" t="str">
        <f>IF(Entity[[#This Row],[Link]]="","",HYPERLINK(HTMLDokuPath&amp;Entity[[#This Row],[Link]],"Doku"))</f>
        <v>Doku</v>
      </c>
      <c r="D449" s="6">
        <v>30</v>
      </c>
      <c r="E449" s="20" t="str">
        <f>IFERROR(IF(VLOOKUP(Entity[ID-Modul],Modul[],3,FALSE)=0,VLOOKUP(Entity[ID-Modul],Modul[],2,FALSE),VLOOKUP(Entity[ID-Modul],Modul[],3,FALSE)),"unbekannt")</f>
        <v>IfcProfileResource</v>
      </c>
      <c r="F449" s="21" t="b">
        <v>1</v>
      </c>
      <c r="G449" s="21" t="b">
        <v>0</v>
      </c>
      <c r="H449" s="22" t="s">
        <v>1097</v>
      </c>
      <c r="I449" s="19">
        <f>LEN(Entity[[#This Row],[IFC-Name]])</f>
        <v>19</v>
      </c>
      <c r="J449" s="7" t="s">
        <v>535</v>
      </c>
      <c r="K449" s="19">
        <f>LEN(Entity[[#This Row],[Klassen-Name]])</f>
        <v>19</v>
      </c>
      <c r="L449" s="7"/>
      <c r="M449" s="19" t="b">
        <f>IF(NOT(Entity[[#This Row],[Supertype]]),TRUE,AND(Entity[[#This Row],[Supertype]],Entity[[#This Row],[Subtype]]))</f>
        <v>1</v>
      </c>
      <c r="N449" s="28" t="s">
        <v>3529</v>
      </c>
      <c r="O449" s="29" t="s">
        <v>2387</v>
      </c>
    </row>
    <row r="450" spans="2:15" ht="20.100000000000001" customHeight="1" x14ac:dyDescent="0.25">
      <c r="B450" s="7" t="s">
        <v>563</v>
      </c>
      <c r="C450" s="7" t="str">
        <f>IF(Entity[[#This Row],[Link]]="","",HYPERLINK(HTMLDokuPath&amp;Entity[[#This Row],[Link]],"Doku"))</f>
        <v>Doku</v>
      </c>
      <c r="D450" s="6">
        <v>30</v>
      </c>
      <c r="E450" s="20" t="str">
        <f>IFERROR(IF(VLOOKUP(Entity[ID-Modul],Modul[],3,FALSE)=0,VLOOKUP(Entity[ID-Modul],Modul[],2,FALSE),VLOOKUP(Entity[ID-Modul],Modul[],3,FALSE)),"unbekannt")</f>
        <v>IfcProfileResource</v>
      </c>
      <c r="F450" s="21" t="b">
        <v>1</v>
      </c>
      <c r="G450" s="21" t="b">
        <v>0</v>
      </c>
      <c r="H450" s="22" t="s">
        <v>1125</v>
      </c>
      <c r="I450" s="19">
        <f>LEN(Entity[[#This Row],[IFC-Name]])</f>
        <v>19</v>
      </c>
      <c r="J450" s="7" t="s">
        <v>563</v>
      </c>
      <c r="K450" s="19">
        <f>LEN(Entity[[#This Row],[Klassen-Name]])</f>
        <v>19</v>
      </c>
      <c r="L450" s="7"/>
      <c r="M450" s="19" t="b">
        <f>IF(NOT(Entity[[#This Row],[Supertype]]),TRUE,AND(Entity[[#This Row],[Supertype]],Entity[[#This Row],[Subtype]]))</f>
        <v>1</v>
      </c>
      <c r="N450" s="28" t="s">
        <v>3536</v>
      </c>
      <c r="O450" s="29" t="s">
        <v>2423</v>
      </c>
    </row>
    <row r="451" spans="2:15" ht="20.100000000000001" customHeight="1" x14ac:dyDescent="0.25">
      <c r="B451" s="7" t="s">
        <v>584</v>
      </c>
      <c r="C451" s="7" t="str">
        <f>IF(Entity[[#This Row],[Link]]="","",HYPERLINK(HTMLDokuPath&amp;Entity[[#This Row],[Link]],"Doku"))</f>
        <v>Doku</v>
      </c>
      <c r="D451" s="6">
        <v>30</v>
      </c>
      <c r="E451" s="20" t="str">
        <f>IFERROR(IF(VLOOKUP(Entity[ID-Modul],Modul[],3,FALSE)=0,VLOOKUP(Entity[ID-Modul],Modul[],2,FALSE),VLOOKUP(Entity[ID-Modul],Modul[],3,FALSE)),"unbekannt")</f>
        <v>IfcProfileResource</v>
      </c>
      <c r="F451" s="21" t="b">
        <v>1</v>
      </c>
      <c r="G451" s="21" t="b">
        <v>0</v>
      </c>
      <c r="H451" s="22" t="s">
        <v>1146</v>
      </c>
      <c r="I451" s="19">
        <f>LEN(Entity[[#This Row],[IFC-Name]])</f>
        <v>19</v>
      </c>
      <c r="J451" s="7" t="s">
        <v>584</v>
      </c>
      <c r="K451" s="19">
        <f>LEN(Entity[[#This Row],[Klassen-Name]])</f>
        <v>19</v>
      </c>
      <c r="L451" s="7"/>
      <c r="M451" s="19" t="b">
        <f>IF(NOT(Entity[[#This Row],[Supertype]]),TRUE,AND(Entity[[#This Row],[Supertype]],Entity[[#This Row],[Subtype]]))</f>
        <v>1</v>
      </c>
      <c r="N451" s="28" t="s">
        <v>3559</v>
      </c>
      <c r="O451" s="29" t="s">
        <v>2447</v>
      </c>
    </row>
    <row r="452" spans="2:15" ht="20.100000000000001" customHeight="1" x14ac:dyDescent="0.25">
      <c r="B452" s="7" t="s">
        <v>82</v>
      </c>
      <c r="C452" s="7" t="str">
        <f>IF(Entity[[#This Row],[Link]]="","",HYPERLINK(HTMLDokuPath&amp;Entity[[#This Row],[Link]],"Doku"))</f>
        <v>Doku</v>
      </c>
      <c r="D452" s="6">
        <v>31</v>
      </c>
      <c r="E452" s="20" t="str">
        <f>IFERROR(IF(VLOOKUP(Entity[ID-Modul],Modul[],3,FALSE)=0,VLOOKUP(Entity[ID-Modul],Modul[],2,FALSE),VLOOKUP(Entity[ID-Modul],Modul[],3,FALSE)),"unbekannt")</f>
        <v>IfcPropertyResource</v>
      </c>
      <c r="F452" s="21" t="b">
        <v>1</v>
      </c>
      <c r="G452" s="21" t="b">
        <v>0</v>
      </c>
      <c r="H452" s="22" t="s">
        <v>728</v>
      </c>
      <c r="I452" s="19">
        <f>LEN(Entity[[#This Row],[IFC-Name]])</f>
        <v>18</v>
      </c>
      <c r="J452" s="7" t="s">
        <v>82</v>
      </c>
      <c r="K452" s="19">
        <f>LEN(Entity[[#This Row],[Klassen-Name]])</f>
        <v>18</v>
      </c>
      <c r="L452" s="7"/>
      <c r="M452" s="19" t="b">
        <f>IF(NOT(Entity[[#This Row],[Supertype]]),TRUE,AND(Entity[[#This Row],[Supertype]],Entity[[#This Row],[Subtype]]))</f>
        <v>1</v>
      </c>
      <c r="N452" s="28" t="s">
        <v>2996</v>
      </c>
      <c r="O452" s="29" t="s">
        <v>1886</v>
      </c>
    </row>
    <row r="453" spans="2:15" ht="20.100000000000001" customHeight="1" x14ac:dyDescent="0.25">
      <c r="B453" s="7" t="s">
        <v>353</v>
      </c>
      <c r="C453" s="7" t="str">
        <f>IF(Entity[[#This Row],[Link]]="","",HYPERLINK(HTMLDokuPath&amp;Entity[[#This Row],[Link]],"Doku"))</f>
        <v>Doku</v>
      </c>
      <c r="D453" s="6">
        <v>31</v>
      </c>
      <c r="E453" s="20" t="str">
        <f>IFERROR(IF(VLOOKUP(Entity[ID-Modul],Modul[],3,FALSE)=0,VLOOKUP(Entity[ID-Modul],Modul[],2,FALSE),VLOOKUP(Entity[ID-Modul],Modul[],3,FALSE)),"unbekannt")</f>
        <v>IfcPropertyResource</v>
      </c>
      <c r="F453" s="21" t="b">
        <v>0</v>
      </c>
      <c r="G453" s="21" t="b">
        <v>1</v>
      </c>
      <c r="H453" s="22" t="s">
        <v>1396</v>
      </c>
      <c r="I453" s="19">
        <f>LEN(Entity[[#This Row],[IFC-Name]])</f>
        <v>11</v>
      </c>
      <c r="J453" s="7" t="s">
        <v>2859</v>
      </c>
      <c r="K453" s="19">
        <f>LEN(Entity[[#This Row],[Klassen-Name]])</f>
        <v>0</v>
      </c>
      <c r="L453" s="7"/>
      <c r="M453" s="19" t="b">
        <f>IF(NOT(Entity[[#This Row],[Supertype]]),TRUE,AND(Entity[[#This Row],[Supertype]],Entity[[#This Row],[Subtype]]))</f>
        <v>0</v>
      </c>
      <c r="N453" s="28" t="s">
        <v>3303</v>
      </c>
      <c r="O453" s="29" t="s">
        <v>2192</v>
      </c>
    </row>
    <row r="454" spans="2:15" ht="20.100000000000001" customHeight="1" x14ac:dyDescent="0.25">
      <c r="B454" s="7" t="s">
        <v>354</v>
      </c>
      <c r="C454" s="7" t="str">
        <f>IF(Entity[[#This Row],[Link]]="","",HYPERLINK(HTMLDokuPath&amp;Entity[[#This Row],[Link]],"Doku"))</f>
        <v>Doku</v>
      </c>
      <c r="D454" s="6">
        <v>31</v>
      </c>
      <c r="E454" s="20" t="str">
        <f>IFERROR(IF(VLOOKUP(Entity[ID-Modul],Modul[],3,FALSE)=0,VLOOKUP(Entity[ID-Modul],Modul[],2,FALSE),VLOOKUP(Entity[ID-Modul],Modul[],3,FALSE)),"unbekannt")</f>
        <v>IfcPropertyResource</v>
      </c>
      <c r="F454" s="21" t="b">
        <v>1</v>
      </c>
      <c r="G454" s="21" t="b">
        <v>0</v>
      </c>
      <c r="H454" s="22" t="s">
        <v>952</v>
      </c>
      <c r="I454" s="19">
        <f>LEN(Entity[[#This Row],[IFC-Name]])</f>
        <v>23</v>
      </c>
      <c r="J454" s="7" t="s">
        <v>354</v>
      </c>
      <c r="K454" s="19">
        <f>LEN(Entity[[#This Row],[Klassen-Name]])</f>
        <v>23</v>
      </c>
      <c r="L454" s="7"/>
      <c r="M454" s="19" t="b">
        <f>IF(NOT(Entity[[#This Row],[Supertype]]),TRUE,AND(Entity[[#This Row],[Supertype]],Entity[[#This Row],[Subtype]]))</f>
        <v>1</v>
      </c>
      <c r="N454" s="28" t="s">
        <v>3304</v>
      </c>
      <c r="O454" s="29" t="s">
        <v>2193</v>
      </c>
    </row>
    <row r="455" spans="2:15" ht="20.100000000000001" customHeight="1" x14ac:dyDescent="0.25">
      <c r="B455" s="7" t="s">
        <v>638</v>
      </c>
      <c r="C455" s="7" t="str">
        <f>IF(Entity[[#This Row],[Link]]="","",HYPERLINK(HTMLDokuPath&amp;Entity[[#This Row],[Link]],"Doku"))</f>
        <v>Doku</v>
      </c>
      <c r="D455" s="6">
        <v>31</v>
      </c>
      <c r="E455" s="20" t="str">
        <f>IFERROR(IF(VLOOKUP(Entity[ID-Modul],Modul[],3,FALSE)=0,VLOOKUP(Entity[ID-Modul],Modul[],2,FALSE),VLOOKUP(Entity[ID-Modul],Modul[],3,FALSE)),"unbekannt")</f>
        <v>IfcPropertyResource</v>
      </c>
      <c r="F455" s="21" t="b">
        <v>0</v>
      </c>
      <c r="G455" s="21" t="b">
        <v>0</v>
      </c>
      <c r="H455" s="22" t="s">
        <v>954</v>
      </c>
      <c r="I455" s="19">
        <f>LEN(Entity[[#This Row],[IFC-Name]])</f>
        <v>33</v>
      </c>
      <c r="J455" s="1" t="s">
        <v>2889</v>
      </c>
      <c r="K455" s="19">
        <f>LEN(Entity[[#This Row],[Klassen-Name]])</f>
        <v>24</v>
      </c>
      <c r="L455" s="7"/>
      <c r="M455" s="19" t="b">
        <f>IF(NOT(Entity[[#This Row],[Supertype]]),TRUE,AND(Entity[[#This Row],[Supertype]],Entity[[#This Row],[Subtype]]))</f>
        <v>1</v>
      </c>
      <c r="N455" s="28" t="s">
        <v>3307</v>
      </c>
      <c r="O455" s="29" t="s">
        <v>2196</v>
      </c>
    </row>
    <row r="456" spans="2:15" ht="20.100000000000001" customHeight="1" x14ac:dyDescent="0.25">
      <c r="B456" s="7" t="s">
        <v>356</v>
      </c>
      <c r="C456" s="7" t="str">
        <f>IF(Entity[[#This Row],[Link]]="","",HYPERLINK(HTMLDokuPath&amp;Entity[[#This Row],[Link]],"Doku"))</f>
        <v>Doku</v>
      </c>
      <c r="D456" s="6">
        <v>31</v>
      </c>
      <c r="E456" s="20" t="str">
        <f>IFERROR(IF(VLOOKUP(Entity[ID-Modul],Modul[],3,FALSE)=0,VLOOKUP(Entity[ID-Modul],Modul[],2,FALSE),VLOOKUP(Entity[ID-Modul],Modul[],3,FALSE)),"unbekannt")</f>
        <v>IfcPropertyResource</v>
      </c>
      <c r="F456" s="21" t="b">
        <v>1</v>
      </c>
      <c r="G456" s="21" t="b">
        <v>0</v>
      </c>
      <c r="H456" s="22" t="s">
        <v>955</v>
      </c>
      <c r="I456" s="19">
        <f>LEN(Entity[[#This Row],[IFC-Name]])</f>
        <v>26</v>
      </c>
      <c r="J456" s="7" t="s">
        <v>356</v>
      </c>
      <c r="K456" s="19">
        <f>LEN(Entity[[#This Row],[Klassen-Name]])</f>
        <v>26</v>
      </c>
      <c r="L456" s="7"/>
      <c r="M456" s="19" t="b">
        <f>IF(NOT(Entity[[#This Row],[Supertype]]),TRUE,AND(Entity[[#This Row],[Supertype]],Entity[[#This Row],[Subtype]]))</f>
        <v>1</v>
      </c>
      <c r="N456" s="28" t="s">
        <v>3308</v>
      </c>
      <c r="O456" s="29" t="s">
        <v>2197</v>
      </c>
    </row>
    <row r="457" spans="2:15" ht="20.100000000000001" customHeight="1" x14ac:dyDescent="0.25">
      <c r="B457" s="7" t="s">
        <v>639</v>
      </c>
      <c r="C457" s="7" t="str">
        <f>IF(Entity[[#This Row],[Link]]="","",HYPERLINK(HTMLDokuPath&amp;Entity[[#This Row],[Link]],"Doku"))</f>
        <v>Doku</v>
      </c>
      <c r="D457" s="6">
        <v>31</v>
      </c>
      <c r="E457" s="20" t="str">
        <f>IFERROR(IF(VLOOKUP(Entity[ID-Modul],Modul[],3,FALSE)=0,VLOOKUP(Entity[ID-Modul],Modul[],2,FALSE),VLOOKUP(Entity[ID-Modul],Modul[],3,FALSE)),"unbekannt")</f>
        <v>IfcPropertyResource</v>
      </c>
      <c r="F457" s="21" t="b">
        <v>0</v>
      </c>
      <c r="G457" s="21" t="b">
        <v>0</v>
      </c>
      <c r="H457" s="22" t="s">
        <v>956</v>
      </c>
      <c r="I457" s="19">
        <f>LEN(Entity[[#This Row],[IFC-Name]])</f>
        <v>22</v>
      </c>
      <c r="J457" s="7" t="s">
        <v>639</v>
      </c>
      <c r="K457" s="19">
        <f>LEN(Entity[[#This Row],[Klassen-Name]])</f>
        <v>22</v>
      </c>
      <c r="L457" s="7"/>
      <c r="M457" s="19" t="b">
        <f>IF(NOT(Entity[[#This Row],[Supertype]]),TRUE,AND(Entity[[#This Row],[Supertype]],Entity[[#This Row],[Subtype]]))</f>
        <v>1</v>
      </c>
      <c r="N457" s="28" t="s">
        <v>3309</v>
      </c>
      <c r="O457" s="29" t="s">
        <v>2198</v>
      </c>
    </row>
    <row r="458" spans="2:15" ht="20.100000000000001" customHeight="1" x14ac:dyDescent="0.25">
      <c r="B458" s="7" t="s">
        <v>357</v>
      </c>
      <c r="C458" s="7" t="str">
        <f>IF(Entity[[#This Row],[Link]]="","",HYPERLINK(HTMLDokuPath&amp;Entity[[#This Row],[Link]],"Doku"))</f>
        <v>Doku</v>
      </c>
      <c r="D458" s="6">
        <v>31</v>
      </c>
      <c r="E458" s="20" t="str">
        <f>IFERROR(IF(VLOOKUP(Entity[ID-Modul],Modul[],3,FALSE)=0,VLOOKUP(Entity[ID-Modul],Modul[],2,FALSE),VLOOKUP(Entity[ID-Modul],Modul[],3,FALSE)),"unbekannt")</f>
        <v>IfcPropertyResource</v>
      </c>
      <c r="F458" s="21" t="b">
        <v>1</v>
      </c>
      <c r="G458" s="21" t="b">
        <v>0</v>
      </c>
      <c r="H458" s="22" t="s">
        <v>957</v>
      </c>
      <c r="I458" s="19">
        <f>LEN(Entity[[#This Row],[IFC-Name]])</f>
        <v>20</v>
      </c>
      <c r="J458" s="7" t="s">
        <v>357</v>
      </c>
      <c r="K458" s="19">
        <f>LEN(Entity[[#This Row],[Klassen-Name]])</f>
        <v>20</v>
      </c>
      <c r="L458" s="7"/>
      <c r="M458" s="19" t="b">
        <f>IF(NOT(Entity[[#This Row],[Supertype]]),TRUE,AND(Entity[[#This Row],[Supertype]],Entity[[#This Row],[Subtype]]))</f>
        <v>1</v>
      </c>
      <c r="N458" s="28" t="s">
        <v>3310</v>
      </c>
      <c r="O458" s="29" t="s">
        <v>2199</v>
      </c>
    </row>
    <row r="459" spans="2:15" ht="20.100000000000001" customHeight="1" x14ac:dyDescent="0.25">
      <c r="B459" s="7" t="s">
        <v>358</v>
      </c>
      <c r="C459" s="7" t="str">
        <f>IF(Entity[[#This Row],[Link]]="","",HYPERLINK(HTMLDokuPath&amp;Entity[[#This Row],[Link]],"Doku"))</f>
        <v>Doku</v>
      </c>
      <c r="D459" s="6">
        <v>31</v>
      </c>
      <c r="E459" s="20" t="str">
        <f>IFERROR(IF(VLOOKUP(Entity[ID-Modul],Modul[],3,FALSE)=0,VLOOKUP(Entity[ID-Modul],Modul[],2,FALSE),VLOOKUP(Entity[ID-Modul],Modul[],3,FALSE)),"unbekannt")</f>
        <v>IfcPropertyResource</v>
      </c>
      <c r="F459" s="21" t="b">
        <v>1</v>
      </c>
      <c r="G459" s="21" t="b">
        <v>0</v>
      </c>
      <c r="H459" s="22" t="s">
        <v>958</v>
      </c>
      <c r="I459" s="19">
        <f>LEN(Entity[[#This Row],[IFC-Name]])</f>
        <v>25</v>
      </c>
      <c r="J459" s="7" t="s">
        <v>358</v>
      </c>
      <c r="K459" s="19">
        <f>LEN(Entity[[#This Row],[Klassen-Name]])</f>
        <v>25</v>
      </c>
      <c r="L459" s="7"/>
      <c r="M459" s="19" t="b">
        <f>IF(NOT(Entity[[#This Row],[Supertype]]),TRUE,AND(Entity[[#This Row],[Supertype]],Entity[[#This Row],[Subtype]]))</f>
        <v>1</v>
      </c>
      <c r="N459" s="28" t="s">
        <v>3311</v>
      </c>
      <c r="O459" s="29" t="s">
        <v>2200</v>
      </c>
    </row>
    <row r="460" spans="2:15" ht="20.100000000000001" customHeight="1" x14ac:dyDescent="0.25">
      <c r="B460" s="7" t="s">
        <v>361</v>
      </c>
      <c r="C460" s="7" t="str">
        <f>IF(Entity[[#This Row],[Link]]="","",HYPERLINK(HTMLDokuPath&amp;Entity[[#This Row],[Link]],"Doku"))</f>
        <v>Doku</v>
      </c>
      <c r="D460" s="6">
        <v>31</v>
      </c>
      <c r="E460" s="20" t="str">
        <f>IFERROR(IF(VLOOKUP(Entity[ID-Modul],Modul[],3,FALSE)=0,VLOOKUP(Entity[ID-Modul],Modul[],2,FALSE),VLOOKUP(Entity[ID-Modul],Modul[],3,FALSE)),"unbekannt")</f>
        <v>IfcPropertyResource</v>
      </c>
      <c r="F460" s="21" t="b">
        <v>1</v>
      </c>
      <c r="G460" s="21" t="b">
        <v>0</v>
      </c>
      <c r="H460" s="22" t="s">
        <v>960</v>
      </c>
      <c r="I460" s="19">
        <f>LEN(Entity[[#This Row],[IFC-Name]])</f>
        <v>22</v>
      </c>
      <c r="J460" s="7" t="s">
        <v>361</v>
      </c>
      <c r="K460" s="19">
        <f>LEN(Entity[[#This Row],[Klassen-Name]])</f>
        <v>22</v>
      </c>
      <c r="L460" s="7"/>
      <c r="M460" s="19" t="b">
        <f>IF(NOT(Entity[[#This Row],[Supertype]]),TRUE,AND(Entity[[#This Row],[Supertype]],Entity[[#This Row],[Subtype]]))</f>
        <v>1</v>
      </c>
      <c r="N460" s="28" t="s">
        <v>3314</v>
      </c>
      <c r="O460" s="29" t="s">
        <v>2203</v>
      </c>
    </row>
    <row r="461" spans="2:15" ht="20.100000000000001" customHeight="1" x14ac:dyDescent="0.25">
      <c r="B461" s="7" t="s">
        <v>362</v>
      </c>
      <c r="C461" s="7" t="str">
        <f>IF(Entity[[#This Row],[Link]]="","",HYPERLINK(HTMLDokuPath&amp;Entity[[#This Row],[Link]],"Doku"))</f>
        <v>Doku</v>
      </c>
      <c r="D461" s="6">
        <v>31</v>
      </c>
      <c r="E461" s="20" t="str">
        <f>IFERROR(IF(VLOOKUP(Entity[ID-Modul],Modul[],3,FALSE)=0,VLOOKUP(Entity[ID-Modul],Modul[],2,FALSE),VLOOKUP(Entity[ID-Modul],Modul[],3,FALSE)),"unbekannt")</f>
        <v>IfcPropertyResource</v>
      </c>
      <c r="F461" s="21" t="b">
        <v>1</v>
      </c>
      <c r="G461" s="21" t="b">
        <v>0</v>
      </c>
      <c r="H461" s="22" t="s">
        <v>961</v>
      </c>
      <c r="I461" s="19">
        <f>LEN(Entity[[#This Row],[IFC-Name]])</f>
        <v>21</v>
      </c>
      <c r="J461" s="7" t="s">
        <v>362</v>
      </c>
      <c r="K461" s="19">
        <f>LEN(Entity[[#This Row],[Klassen-Name]])</f>
        <v>21</v>
      </c>
      <c r="L461" s="7"/>
      <c r="M461" s="19" t="b">
        <f>IF(NOT(Entity[[#This Row],[Supertype]]),TRUE,AND(Entity[[#This Row],[Supertype]],Entity[[#This Row],[Subtype]]))</f>
        <v>1</v>
      </c>
      <c r="N461" s="28" t="s">
        <v>3315</v>
      </c>
      <c r="O461" s="29" t="s">
        <v>2204</v>
      </c>
    </row>
    <row r="462" spans="2:15" ht="20.100000000000001" customHeight="1" x14ac:dyDescent="0.25">
      <c r="B462" s="7" t="s">
        <v>460</v>
      </c>
      <c r="C462" s="7" t="str">
        <f>IF(Entity[[#This Row],[Link]]="","",HYPERLINK(HTMLDokuPath&amp;Entity[[#This Row],[Link]],"Doku"))</f>
        <v>Doku</v>
      </c>
      <c r="D462" s="6">
        <v>31</v>
      </c>
      <c r="E462" s="20" t="str">
        <f>IFERROR(IF(VLOOKUP(Entity[ID-Modul],Modul[],3,FALSE)=0,VLOOKUP(Entity[ID-Modul],Modul[],2,FALSE),VLOOKUP(Entity[ID-Modul],Modul[],3,FALSE)),"unbekannt")</f>
        <v>IfcPropertyResource</v>
      </c>
      <c r="F462" s="21" t="b">
        <v>1</v>
      </c>
      <c r="G462" s="21" t="b">
        <v>1</v>
      </c>
      <c r="H462" s="22" t="s">
        <v>1418</v>
      </c>
      <c r="I462" s="19">
        <f>LEN(Entity[[#This Row],[IFC-Name]])</f>
        <v>17</v>
      </c>
      <c r="J462" s="7" t="s">
        <v>460</v>
      </c>
      <c r="K462" s="19">
        <f>LEN(Entity[[#This Row],[Klassen-Name]])</f>
        <v>17</v>
      </c>
      <c r="L462" s="7"/>
      <c r="M462" s="19" t="b">
        <f>IF(NOT(Entity[[#This Row],[Supertype]]),TRUE,AND(Entity[[#This Row],[Supertype]],Entity[[#This Row],[Subtype]]))</f>
        <v>1</v>
      </c>
      <c r="N462" s="28" t="s">
        <v>3419</v>
      </c>
      <c r="O462" s="29" t="s">
        <v>2309</v>
      </c>
    </row>
    <row r="463" spans="2:15" ht="20.100000000000001" customHeight="1" x14ac:dyDescent="0.25">
      <c r="B463" s="7" t="s">
        <v>308</v>
      </c>
      <c r="C463" s="7" t="str">
        <f>IF(Entity[[#This Row],[Link]]="","",HYPERLINK(HTMLDokuPath&amp;Entity[[#This Row],[Link]],"Doku"))</f>
        <v>Doku</v>
      </c>
      <c r="D463" s="6">
        <v>32</v>
      </c>
      <c r="E463" s="20" t="str">
        <f>IFERROR(IF(VLOOKUP(Entity[ID-Modul],Modul[],3,FALSE)=0,VLOOKUP(Entity[ID-Modul],Modul[],2,FALSE),VLOOKUP(Entity[ID-Modul],Modul[],3,FALSE)),"unbekannt")</f>
        <v>IfcQuantityResource</v>
      </c>
      <c r="F463" s="21" t="b">
        <v>1</v>
      </c>
      <c r="G463" s="21" t="b">
        <v>0</v>
      </c>
      <c r="H463" s="22" t="s">
        <v>924</v>
      </c>
      <c r="I463" s="19">
        <f>LEN(Entity[[#This Row],[IFC-Name]])</f>
        <v>26</v>
      </c>
      <c r="J463" s="7" t="s">
        <v>308</v>
      </c>
      <c r="K463" s="19">
        <f>LEN(Entity[[#This Row],[Klassen-Name]])</f>
        <v>26</v>
      </c>
      <c r="L463" s="7"/>
      <c r="M463" s="19" t="b">
        <f>IF(NOT(Entity[[#This Row],[Supertype]]),TRUE,AND(Entity[[#This Row],[Supertype]],Entity[[#This Row],[Subtype]]))</f>
        <v>1</v>
      </c>
      <c r="N463" s="28" t="s">
        <v>3257</v>
      </c>
      <c r="O463" s="29" t="s">
        <v>2146</v>
      </c>
    </row>
    <row r="464" spans="2:15" ht="20.100000000000001" customHeight="1" x14ac:dyDescent="0.25">
      <c r="B464" s="7" t="s">
        <v>309</v>
      </c>
      <c r="C464" s="7" t="str">
        <f>IF(Entity[[#This Row],[Link]]="","",HYPERLINK(HTMLDokuPath&amp;Entity[[#This Row],[Link]],"Doku"))</f>
        <v>Doku</v>
      </c>
      <c r="D464" s="6">
        <v>32</v>
      </c>
      <c r="E464" s="20" t="str">
        <f>IFERROR(IF(VLOOKUP(Entity[ID-Modul],Modul[],3,FALSE)=0,VLOOKUP(Entity[ID-Modul],Modul[],2,FALSE),VLOOKUP(Entity[ID-Modul],Modul[],3,FALSE)),"unbekannt")</f>
        <v>IfcQuantityResource</v>
      </c>
      <c r="F464" s="21" t="b">
        <v>0</v>
      </c>
      <c r="G464" s="21" t="b">
        <v>1</v>
      </c>
      <c r="H464" s="22" t="s">
        <v>1378</v>
      </c>
      <c r="I464" s="19">
        <f>LEN(Entity[[#This Row],[IFC-Name]])</f>
        <v>19</v>
      </c>
      <c r="J464" s="7" t="s">
        <v>2859</v>
      </c>
      <c r="K464" s="19">
        <f>LEN(Entity[[#This Row],[Klassen-Name]])</f>
        <v>0</v>
      </c>
      <c r="L464" s="7"/>
      <c r="M464" s="19" t="b">
        <f>IF(NOT(Entity[[#This Row],[Supertype]]),TRUE,AND(Entity[[#This Row],[Supertype]],Entity[[#This Row],[Subtype]]))</f>
        <v>0</v>
      </c>
      <c r="N464" s="28" t="s">
        <v>3258</v>
      </c>
      <c r="O464" s="29" t="s">
        <v>2147</v>
      </c>
    </row>
    <row r="465" spans="2:15" ht="20.100000000000001" customHeight="1" x14ac:dyDescent="0.25">
      <c r="B465" s="7" t="s">
        <v>310</v>
      </c>
      <c r="C465" s="7" t="str">
        <f>IF(Entity[[#This Row],[Link]]="","",HYPERLINK(HTMLDokuPath&amp;Entity[[#This Row],[Link]],"Doku"))</f>
        <v>Doku</v>
      </c>
      <c r="D465" s="6">
        <v>32</v>
      </c>
      <c r="E465" s="20" t="str">
        <f>IFERROR(IF(VLOOKUP(Entity[ID-Modul],Modul[],3,FALSE)=0,VLOOKUP(Entity[ID-Modul],Modul[],2,FALSE),VLOOKUP(Entity[ID-Modul],Modul[],3,FALSE)),"unbekannt")</f>
        <v>IfcQuantityResource</v>
      </c>
      <c r="F465" s="21" t="b">
        <v>1</v>
      </c>
      <c r="G465" s="21" t="b">
        <v>1</v>
      </c>
      <c r="H465" s="22" t="s">
        <v>1379</v>
      </c>
      <c r="I465" s="19">
        <f>LEN(Entity[[#This Row],[IFC-Name]])</f>
        <v>25</v>
      </c>
      <c r="J465" s="7" t="s">
        <v>310</v>
      </c>
      <c r="K465" s="19">
        <f>LEN(Entity[[#This Row],[Klassen-Name]])</f>
        <v>25</v>
      </c>
      <c r="L465" s="7"/>
      <c r="M465" s="19" t="b">
        <f>IF(NOT(Entity[[#This Row],[Supertype]]),TRUE,AND(Entity[[#This Row],[Supertype]],Entity[[#This Row],[Subtype]]))</f>
        <v>1</v>
      </c>
      <c r="N465" s="28" t="s">
        <v>3259</v>
      </c>
      <c r="O465" s="29" t="s">
        <v>2148</v>
      </c>
    </row>
    <row r="466" spans="2:15" ht="20.100000000000001" customHeight="1" x14ac:dyDescent="0.25">
      <c r="B466" s="7" t="s">
        <v>366</v>
      </c>
      <c r="C466" s="7" t="str">
        <f>IF(Entity[[#This Row],[Link]]="","",HYPERLINK(HTMLDokuPath&amp;Entity[[#This Row],[Link]],"Doku"))</f>
        <v>Doku</v>
      </c>
      <c r="D466" s="6">
        <v>32</v>
      </c>
      <c r="E466" s="20" t="str">
        <f>IFERROR(IF(VLOOKUP(Entity[ID-Modul],Modul[],3,FALSE)=0,VLOOKUP(Entity[ID-Modul],Modul[],2,FALSE),VLOOKUP(Entity[ID-Modul],Modul[],3,FALSE)),"unbekannt")</f>
        <v>IfcQuantityResource</v>
      </c>
      <c r="F466" s="21" t="b">
        <v>1</v>
      </c>
      <c r="G466" s="21" t="b">
        <v>0</v>
      </c>
      <c r="H466" s="22" t="s">
        <v>965</v>
      </c>
      <c r="I466" s="19">
        <f>LEN(Entity[[#This Row],[IFC-Name]])</f>
        <v>15</v>
      </c>
      <c r="J466" s="7" t="s">
        <v>366</v>
      </c>
      <c r="K466" s="19">
        <f>LEN(Entity[[#This Row],[Klassen-Name]])</f>
        <v>15</v>
      </c>
      <c r="L466" s="7"/>
      <c r="M466" s="19" t="b">
        <f>IF(NOT(Entity[[#This Row],[Supertype]]),TRUE,AND(Entity[[#This Row],[Supertype]],Entity[[#This Row],[Subtype]]))</f>
        <v>1</v>
      </c>
      <c r="N466" s="28" t="s">
        <v>3319</v>
      </c>
      <c r="O466" s="29" t="s">
        <v>2208</v>
      </c>
    </row>
    <row r="467" spans="2:15" ht="20.100000000000001" customHeight="1" x14ac:dyDescent="0.25">
      <c r="B467" s="7" t="s">
        <v>367</v>
      </c>
      <c r="C467" s="7" t="str">
        <f>IF(Entity[[#This Row],[Link]]="","",HYPERLINK(HTMLDokuPath&amp;Entity[[#This Row],[Link]],"Doku"))</f>
        <v>Doku</v>
      </c>
      <c r="D467" s="6">
        <v>32</v>
      </c>
      <c r="E467" s="20" t="str">
        <f>IFERROR(IF(VLOOKUP(Entity[ID-Modul],Modul[],3,FALSE)=0,VLOOKUP(Entity[ID-Modul],Modul[],2,FALSE),VLOOKUP(Entity[ID-Modul],Modul[],3,FALSE)),"unbekannt")</f>
        <v>IfcQuantityResource</v>
      </c>
      <c r="F467" s="21" t="b">
        <v>1</v>
      </c>
      <c r="G467" s="21" t="b">
        <v>0</v>
      </c>
      <c r="H467" s="22" t="s">
        <v>966</v>
      </c>
      <c r="I467" s="19">
        <f>LEN(Entity[[#This Row],[IFC-Name]])</f>
        <v>16</v>
      </c>
      <c r="J467" s="7" t="s">
        <v>367</v>
      </c>
      <c r="K467" s="19">
        <f>LEN(Entity[[#This Row],[Klassen-Name]])</f>
        <v>16</v>
      </c>
      <c r="L467" s="7"/>
      <c r="M467" s="19" t="b">
        <f>IF(NOT(Entity[[#This Row],[Supertype]]),TRUE,AND(Entity[[#This Row],[Supertype]],Entity[[#This Row],[Subtype]]))</f>
        <v>1</v>
      </c>
      <c r="N467" s="28" t="s">
        <v>3320</v>
      </c>
      <c r="O467" s="29" t="s">
        <v>2209</v>
      </c>
    </row>
    <row r="468" spans="2:15" ht="20.100000000000001" customHeight="1" x14ac:dyDescent="0.25">
      <c r="B468" s="7" t="s">
        <v>368</v>
      </c>
      <c r="C468" s="7" t="str">
        <f>IF(Entity[[#This Row],[Link]]="","",HYPERLINK(HTMLDokuPath&amp;Entity[[#This Row],[Link]],"Doku"))</f>
        <v>Doku</v>
      </c>
      <c r="D468" s="6">
        <v>32</v>
      </c>
      <c r="E468" s="20" t="str">
        <f>IFERROR(IF(VLOOKUP(Entity[ID-Modul],Modul[],3,FALSE)=0,VLOOKUP(Entity[ID-Modul],Modul[],2,FALSE),VLOOKUP(Entity[ID-Modul],Modul[],3,FALSE)),"unbekannt")</f>
        <v>IfcQuantityResource</v>
      </c>
      <c r="F468" s="21" t="b">
        <v>1</v>
      </c>
      <c r="G468" s="21" t="b">
        <v>0</v>
      </c>
      <c r="H468" s="22" t="s">
        <v>967</v>
      </c>
      <c r="I468" s="19">
        <f>LEN(Entity[[#This Row],[IFC-Name]])</f>
        <v>17</v>
      </c>
      <c r="J468" s="7" t="s">
        <v>368</v>
      </c>
      <c r="K468" s="19">
        <f>LEN(Entity[[#This Row],[Klassen-Name]])</f>
        <v>17</v>
      </c>
      <c r="L468" s="7"/>
      <c r="M468" s="19" t="b">
        <f>IF(NOT(Entity[[#This Row],[Supertype]]),TRUE,AND(Entity[[#This Row],[Supertype]],Entity[[#This Row],[Subtype]]))</f>
        <v>1</v>
      </c>
      <c r="N468" s="28" t="s">
        <v>3321</v>
      </c>
      <c r="O468" s="29" t="s">
        <v>2210</v>
      </c>
    </row>
    <row r="469" spans="2:15" ht="20.100000000000001" customHeight="1" x14ac:dyDescent="0.25">
      <c r="B469" s="7" t="s">
        <v>369</v>
      </c>
      <c r="C469" s="7" t="str">
        <f>IF(Entity[[#This Row],[Link]]="","",HYPERLINK(HTMLDokuPath&amp;Entity[[#This Row],[Link]],"Doku"))</f>
        <v>Doku</v>
      </c>
      <c r="D469" s="6">
        <v>32</v>
      </c>
      <c r="E469" s="20" t="str">
        <f>IFERROR(IF(VLOOKUP(Entity[ID-Modul],Modul[],3,FALSE)=0,VLOOKUP(Entity[ID-Modul],Modul[],2,FALSE),VLOOKUP(Entity[ID-Modul],Modul[],3,FALSE)),"unbekannt")</f>
        <v>IfcQuantityResource</v>
      </c>
      <c r="F469" s="21" t="b">
        <v>1</v>
      </c>
      <c r="G469" s="21" t="b">
        <v>0</v>
      </c>
      <c r="H469" s="22" t="s">
        <v>968</v>
      </c>
      <c r="I469" s="19">
        <f>LEN(Entity[[#This Row],[IFC-Name]])</f>
        <v>15</v>
      </c>
      <c r="J469" s="7" t="s">
        <v>369</v>
      </c>
      <c r="K469" s="19">
        <f>LEN(Entity[[#This Row],[Klassen-Name]])</f>
        <v>15</v>
      </c>
      <c r="L469" s="7"/>
      <c r="M469" s="19" t="b">
        <f>IF(NOT(Entity[[#This Row],[Supertype]]),TRUE,AND(Entity[[#This Row],[Supertype]],Entity[[#This Row],[Subtype]]))</f>
        <v>1</v>
      </c>
      <c r="N469" s="28" t="s">
        <v>3322</v>
      </c>
      <c r="O469" s="29" t="s">
        <v>2211</v>
      </c>
    </row>
    <row r="470" spans="2:15" ht="20.100000000000001" customHeight="1" x14ac:dyDescent="0.25">
      <c r="B470" s="7" t="s">
        <v>370</v>
      </c>
      <c r="C470" s="7" t="str">
        <f>IF(Entity[[#This Row],[Link]]="","",HYPERLINK(HTMLDokuPath&amp;Entity[[#This Row],[Link]],"Doku"))</f>
        <v>Doku</v>
      </c>
      <c r="D470" s="6">
        <v>32</v>
      </c>
      <c r="E470" s="20" t="str">
        <f>IFERROR(IF(VLOOKUP(Entity[ID-Modul],Modul[],3,FALSE)=0,VLOOKUP(Entity[ID-Modul],Modul[],2,FALSE),VLOOKUP(Entity[ID-Modul],Modul[],3,FALSE)),"unbekannt")</f>
        <v>IfcQuantityResource</v>
      </c>
      <c r="F470" s="21" t="b">
        <v>1</v>
      </c>
      <c r="G470" s="21" t="b">
        <v>0</v>
      </c>
      <c r="H470" s="22" t="s">
        <v>969</v>
      </c>
      <c r="I470" s="19">
        <f>LEN(Entity[[#This Row],[IFC-Name]])</f>
        <v>17</v>
      </c>
      <c r="J470" s="7" t="s">
        <v>370</v>
      </c>
      <c r="K470" s="19">
        <f>LEN(Entity[[#This Row],[Klassen-Name]])</f>
        <v>17</v>
      </c>
      <c r="L470" s="7"/>
      <c r="M470" s="19" t="b">
        <f>IF(NOT(Entity[[#This Row],[Supertype]]),TRUE,AND(Entity[[#This Row],[Supertype]],Entity[[#This Row],[Subtype]]))</f>
        <v>1</v>
      </c>
      <c r="N470" s="28" t="s">
        <v>3323</v>
      </c>
      <c r="O470" s="29" t="s">
        <v>2212</v>
      </c>
    </row>
    <row r="471" spans="2:15" ht="20.100000000000001" customHeight="1" x14ac:dyDescent="0.25">
      <c r="B471" s="7" t="s">
        <v>371</v>
      </c>
      <c r="C471" s="7" t="str">
        <f>IF(Entity[[#This Row],[Link]]="","",HYPERLINK(HTMLDokuPath&amp;Entity[[#This Row],[Link]],"Doku"))</f>
        <v>Doku</v>
      </c>
      <c r="D471" s="6">
        <v>32</v>
      </c>
      <c r="E471" s="20" t="str">
        <f>IFERROR(IF(VLOOKUP(Entity[ID-Modul],Modul[],3,FALSE)=0,VLOOKUP(Entity[ID-Modul],Modul[],2,FALSE),VLOOKUP(Entity[ID-Modul],Modul[],3,FALSE)),"unbekannt")</f>
        <v>IfcQuantityResource</v>
      </c>
      <c r="F471" s="21" t="b">
        <v>1</v>
      </c>
      <c r="G471" s="21" t="b">
        <v>0</v>
      </c>
      <c r="H471" s="22" t="s">
        <v>970</v>
      </c>
      <c r="I471" s="19">
        <f>LEN(Entity[[#This Row],[IFC-Name]])</f>
        <v>17</v>
      </c>
      <c r="J471" s="7" t="s">
        <v>371</v>
      </c>
      <c r="K471" s="19">
        <f>LEN(Entity[[#This Row],[Klassen-Name]])</f>
        <v>17</v>
      </c>
      <c r="L471" s="7"/>
      <c r="M471" s="19" t="b">
        <f>IF(NOT(Entity[[#This Row],[Supertype]]),TRUE,AND(Entity[[#This Row],[Supertype]],Entity[[#This Row],[Subtype]]))</f>
        <v>1</v>
      </c>
      <c r="N471" s="28" t="s">
        <v>3324</v>
      </c>
      <c r="O471" s="29" t="s">
        <v>2213</v>
      </c>
    </row>
    <row r="472" spans="2:15" ht="20.100000000000001" customHeight="1" x14ac:dyDescent="0.25">
      <c r="B472" s="7" t="s">
        <v>243</v>
      </c>
      <c r="C472" s="7" t="str">
        <f>IF(Entity[[#This Row],[Link]]="","",HYPERLINK(HTMLDokuPath&amp;Entity[[#This Row],[Link]],"Doku"))</f>
        <v>Doku</v>
      </c>
      <c r="D472" s="6">
        <v>33</v>
      </c>
      <c r="E472" s="20" t="str">
        <f>IFERROR(IF(VLOOKUP(Entity[ID-Modul],Modul[],3,FALSE)=0,VLOOKUP(Entity[ID-Modul],Modul[],2,FALSE),VLOOKUP(Entity[ID-Modul],Modul[],3,FALSE)),"unbekannt")</f>
        <v>IfcRepresentationResource</v>
      </c>
      <c r="F472" s="21" t="b">
        <v>1</v>
      </c>
      <c r="G472" s="21" t="b">
        <v>1</v>
      </c>
      <c r="H472" s="22" t="s">
        <v>1360</v>
      </c>
      <c r="I472" s="19">
        <f>LEN(Entity[[#This Row],[IFC-Name]])</f>
        <v>33</v>
      </c>
      <c r="J472" s="1" t="s">
        <v>2890</v>
      </c>
      <c r="K472" s="19">
        <f>LEN(Entity[[#This Row],[Klassen-Name]])</f>
        <v>28</v>
      </c>
      <c r="L472" s="7"/>
      <c r="M472" s="19" t="b">
        <f>IF(NOT(Entity[[#This Row],[Supertype]]),TRUE,AND(Entity[[#This Row],[Supertype]],Entity[[#This Row],[Subtype]]))</f>
        <v>1</v>
      </c>
      <c r="N472" s="28" t="s">
        <v>3173</v>
      </c>
      <c r="O472" s="29" t="s">
        <v>2062</v>
      </c>
    </row>
    <row r="473" spans="2:15" ht="20.100000000000001" customHeight="1" x14ac:dyDescent="0.25">
      <c r="B473" s="7" t="s">
        <v>245</v>
      </c>
      <c r="C473" s="7" t="str">
        <f>IF(Entity[[#This Row],[Link]]="","",HYPERLINK(HTMLDokuPath&amp;Entity[[#This Row],[Link]],"Doku"))</f>
        <v>Doku</v>
      </c>
      <c r="D473" s="6">
        <v>33</v>
      </c>
      <c r="E473" s="20" t="str">
        <f>IFERROR(IF(VLOOKUP(Entity[ID-Modul],Modul[],3,FALSE)=0,VLOOKUP(Entity[ID-Modul],Modul[],2,FALSE),VLOOKUP(Entity[ID-Modul],Modul[],3,FALSE)),"unbekannt")</f>
        <v>IfcRepresentationResource</v>
      </c>
      <c r="F473" s="21" t="b">
        <v>1</v>
      </c>
      <c r="G473" s="21" t="b">
        <v>0</v>
      </c>
      <c r="H473" s="22" t="s">
        <v>858</v>
      </c>
      <c r="I473" s="19">
        <f>LEN(Entity[[#This Row],[IFC-Name]])</f>
        <v>36</v>
      </c>
      <c r="J473" s="1" t="s">
        <v>2891</v>
      </c>
      <c r="K473" s="19">
        <f>LEN(Entity[[#This Row],[Klassen-Name]])</f>
        <v>31</v>
      </c>
      <c r="L473" s="7"/>
      <c r="M473" s="19" t="b">
        <f>IF(NOT(Entity[[#This Row],[Supertype]]),TRUE,AND(Entity[[#This Row],[Supertype]],Entity[[#This Row],[Subtype]]))</f>
        <v>1</v>
      </c>
      <c r="N473" s="28" t="s">
        <v>3175</v>
      </c>
      <c r="O473" s="29" t="s">
        <v>2064</v>
      </c>
    </row>
    <row r="474" spans="2:15" ht="20.100000000000001" customHeight="1" x14ac:dyDescent="0.25">
      <c r="B474" s="7" t="s">
        <v>276</v>
      </c>
      <c r="C474" s="7" t="str">
        <f>IF(Entity[[#This Row],[Link]]="","",HYPERLINK(HTMLDokuPath&amp;Entity[[#This Row],[Link]],"Doku"))</f>
        <v>Doku</v>
      </c>
      <c r="D474" s="6">
        <v>33</v>
      </c>
      <c r="E474" s="20" t="str">
        <f>IFERROR(IF(VLOOKUP(Entity[ID-Modul],Modul[],3,FALSE)=0,VLOOKUP(Entity[ID-Modul],Modul[],2,FALSE),VLOOKUP(Entity[ID-Modul],Modul[],3,FALSE)),"unbekannt")</f>
        <v>IfcRepresentationResource</v>
      </c>
      <c r="F474" s="21" t="b">
        <v>1</v>
      </c>
      <c r="G474" s="21" t="b">
        <v>0</v>
      </c>
      <c r="H474" s="22" t="s">
        <v>889</v>
      </c>
      <c r="I474" s="19">
        <f>LEN(Entity[[#This Row],[IFC-Name]])</f>
        <v>35</v>
      </c>
      <c r="J474" s="1" t="s">
        <v>2892</v>
      </c>
      <c r="K474" s="19">
        <f>LEN(Entity[[#This Row],[Klassen-Name]])</f>
        <v>30</v>
      </c>
      <c r="L474" s="7"/>
      <c r="M474" s="19" t="b">
        <f>IF(NOT(Entity[[#This Row],[Supertype]]),TRUE,AND(Entity[[#This Row],[Supertype]],Entity[[#This Row],[Subtype]]))</f>
        <v>1</v>
      </c>
      <c r="N474" s="28" t="s">
        <v>3214</v>
      </c>
      <c r="O474" s="29" t="s">
        <v>2103</v>
      </c>
    </row>
    <row r="475" spans="2:15" ht="20.100000000000001" customHeight="1" x14ac:dyDescent="0.25">
      <c r="B475" s="7" t="s">
        <v>343</v>
      </c>
      <c r="C475" s="7" t="str">
        <f>IF(Entity[[#This Row],[Link]]="","",HYPERLINK(HTMLDokuPath&amp;Entity[[#This Row],[Link]],"Doku"))</f>
        <v>Doku</v>
      </c>
      <c r="D475" s="6">
        <v>33</v>
      </c>
      <c r="E475" s="20" t="str">
        <f>IFERROR(IF(VLOOKUP(Entity[ID-Modul],Modul[],3,FALSE)=0,VLOOKUP(Entity[ID-Modul],Modul[],2,FALSE),VLOOKUP(Entity[ID-Modul],Modul[],3,FALSE)),"unbekannt")</f>
        <v>IfcRepresentationResource</v>
      </c>
      <c r="F475" s="21" t="b">
        <v>1</v>
      </c>
      <c r="G475" s="21" t="b">
        <v>0</v>
      </c>
      <c r="H475" s="22" t="s">
        <v>945</v>
      </c>
      <c r="I475" s="19">
        <f>LEN(Entity[[#This Row],[IFC-Name]])</f>
        <v>25</v>
      </c>
      <c r="J475" s="7" t="s">
        <v>343</v>
      </c>
      <c r="K475" s="19">
        <f>LEN(Entity[[#This Row],[Klassen-Name]])</f>
        <v>25</v>
      </c>
      <c r="L475" s="7"/>
      <c r="M475" s="19" t="b">
        <f>IF(NOT(Entity[[#This Row],[Supertype]]),TRUE,AND(Entity[[#This Row],[Supertype]],Entity[[#This Row],[Subtype]]))</f>
        <v>1</v>
      </c>
      <c r="N475" s="28" t="s">
        <v>3293</v>
      </c>
      <c r="O475" s="29" t="s">
        <v>2182</v>
      </c>
    </row>
    <row r="476" spans="2:15" ht="20.100000000000001" customHeight="1" x14ac:dyDescent="0.25">
      <c r="B476" s="7" t="s">
        <v>344</v>
      </c>
      <c r="C476" s="7" t="str">
        <f>IF(Entity[[#This Row],[Link]]="","",HYPERLINK(HTMLDokuPath&amp;Entity[[#This Row],[Link]],"Doku"))</f>
        <v>Doku</v>
      </c>
      <c r="D476" s="6">
        <v>33</v>
      </c>
      <c r="E476" s="20" t="str">
        <f>IFERROR(IF(VLOOKUP(Entity[ID-Modul],Modul[],3,FALSE)=0,VLOOKUP(Entity[ID-Modul],Modul[],2,FALSE),VLOOKUP(Entity[ID-Modul],Modul[],3,FALSE)),"unbekannt")</f>
        <v>IfcRepresentationResource</v>
      </c>
      <c r="F476" s="21" t="b">
        <v>0</v>
      </c>
      <c r="G476" s="21" t="b">
        <v>1</v>
      </c>
      <c r="H476" s="22" t="s">
        <v>1393</v>
      </c>
      <c r="I476" s="19">
        <f>LEN(Entity[[#This Row],[IFC-Name]])</f>
        <v>24</v>
      </c>
      <c r="J476" s="7" t="s">
        <v>2859</v>
      </c>
      <c r="K476" s="19">
        <f>LEN(Entity[[#This Row],[Klassen-Name]])</f>
        <v>0</v>
      </c>
      <c r="L476" s="7"/>
      <c r="M476" s="19" t="b">
        <f>IF(NOT(Entity[[#This Row],[Supertype]]),TRUE,AND(Entity[[#This Row],[Supertype]],Entity[[#This Row],[Subtype]]))</f>
        <v>0</v>
      </c>
      <c r="N476" s="28" t="s">
        <v>3294</v>
      </c>
      <c r="O476" s="29" t="s">
        <v>2183</v>
      </c>
    </row>
    <row r="477" spans="2:15" ht="20.100000000000001" customHeight="1" x14ac:dyDescent="0.25">
      <c r="B477" s="7" t="s">
        <v>438</v>
      </c>
      <c r="C477" s="7" t="str">
        <f>IF(Entity[[#This Row],[Link]]="","",HYPERLINK(HTMLDokuPath&amp;Entity[[#This Row],[Link]],"Doku"))</f>
        <v>Doku</v>
      </c>
      <c r="D477" s="6">
        <v>33</v>
      </c>
      <c r="E477" s="20" t="str">
        <f>IFERROR(IF(VLOOKUP(Entity[ID-Modul],Modul[],3,FALSE)=0,VLOOKUP(Entity[ID-Modul],Modul[],2,FALSE),VLOOKUP(Entity[ID-Modul],Modul[],3,FALSE)),"unbekannt")</f>
        <v>IfcRepresentationResource</v>
      </c>
      <c r="F477" s="21" t="b">
        <v>0</v>
      </c>
      <c r="G477" s="21" t="b">
        <v>1</v>
      </c>
      <c r="H477" s="22" t="s">
        <v>1412</v>
      </c>
      <c r="I477" s="19">
        <f>LEN(Entity[[#This Row],[IFC-Name]])</f>
        <v>17</v>
      </c>
      <c r="J477" s="7" t="s">
        <v>2859</v>
      </c>
      <c r="K477" s="19">
        <f>LEN(Entity[[#This Row],[Klassen-Name]])</f>
        <v>0</v>
      </c>
      <c r="L477" s="7"/>
      <c r="M477" s="19" t="b">
        <f>IF(NOT(Entity[[#This Row],[Supertype]]),TRUE,AND(Entity[[#This Row],[Supertype]],Entity[[#This Row],[Subtype]]))</f>
        <v>0</v>
      </c>
      <c r="N477" s="28" t="s">
        <v>3394</v>
      </c>
      <c r="O477" s="29" t="s">
        <v>2283</v>
      </c>
    </row>
    <row r="478" spans="2:15" ht="20.100000000000001" customHeight="1" x14ac:dyDescent="0.25">
      <c r="B478" s="7" t="s">
        <v>439</v>
      </c>
      <c r="C478" s="7" t="str">
        <f>IF(Entity[[#This Row],[Link]]="","",HYPERLINK(HTMLDokuPath&amp;Entity[[#This Row],[Link]],"Doku"))</f>
        <v>Doku</v>
      </c>
      <c r="D478" s="6">
        <v>33</v>
      </c>
      <c r="E478" s="20" t="str">
        <f>IFERROR(IF(VLOOKUP(Entity[ID-Modul],Modul[],3,FALSE)=0,VLOOKUP(Entity[ID-Modul],Modul[],2,FALSE),VLOOKUP(Entity[ID-Modul],Modul[],3,FALSE)),"unbekannt")</f>
        <v>IfcRepresentationResource</v>
      </c>
      <c r="F478" s="21" t="b">
        <v>0</v>
      </c>
      <c r="G478" s="21" t="b">
        <v>1</v>
      </c>
      <c r="H478" s="22" t="s">
        <v>1413</v>
      </c>
      <c r="I478" s="19">
        <f>LEN(Entity[[#This Row],[IFC-Name]])</f>
        <v>24</v>
      </c>
      <c r="J478" s="7" t="s">
        <v>2859</v>
      </c>
      <c r="K478" s="19">
        <f>LEN(Entity[[#This Row],[Klassen-Name]])</f>
        <v>0</v>
      </c>
      <c r="L478" s="7"/>
      <c r="M478" s="19" t="b">
        <f>IF(NOT(Entity[[#This Row],[Supertype]]),TRUE,AND(Entity[[#This Row],[Supertype]],Entity[[#This Row],[Subtype]]))</f>
        <v>0</v>
      </c>
      <c r="N478" s="28" t="s">
        <v>3395</v>
      </c>
      <c r="O478" s="29" t="s">
        <v>2284</v>
      </c>
    </row>
    <row r="479" spans="2:15" ht="20.100000000000001" customHeight="1" x14ac:dyDescent="0.25">
      <c r="B479" s="7" t="s">
        <v>646</v>
      </c>
      <c r="C479" s="7" t="str">
        <f>IF(Entity[[#This Row],[Link]]="","",HYPERLINK(HTMLDokuPath&amp;Entity[[#This Row],[Link]],"Doku"))</f>
        <v>Doku</v>
      </c>
      <c r="D479" s="6">
        <v>33</v>
      </c>
      <c r="E479" s="20" t="str">
        <f>IFERROR(IF(VLOOKUP(Entity[ID-Modul],Modul[],3,FALSE)=0,VLOOKUP(Entity[ID-Modul],Modul[],2,FALSE),VLOOKUP(Entity[ID-Modul],Modul[],3,FALSE)),"unbekannt")</f>
        <v>IfcRepresentationResource</v>
      </c>
      <c r="F479" s="21" t="b">
        <v>0</v>
      </c>
      <c r="G479" s="21" t="b">
        <v>0</v>
      </c>
      <c r="H479" s="22" t="s">
        <v>1044</v>
      </c>
      <c r="I479" s="19">
        <f>LEN(Entity[[#This Row],[IFC-Name]])</f>
        <v>14</v>
      </c>
      <c r="J479" s="7" t="s">
        <v>646</v>
      </c>
      <c r="K479" s="19">
        <f>LEN(Entity[[#This Row],[Klassen-Name]])</f>
        <v>14</v>
      </c>
      <c r="L479" s="7"/>
      <c r="M479" s="19" t="b">
        <f>IF(NOT(Entity[[#This Row],[Supertype]]),TRUE,AND(Entity[[#This Row],[Supertype]],Entity[[#This Row],[Subtype]]))</f>
        <v>1</v>
      </c>
      <c r="N479" s="28" t="s">
        <v>3415</v>
      </c>
      <c r="O479" s="29" t="s">
        <v>2305</v>
      </c>
    </row>
    <row r="480" spans="2:15" ht="20.100000000000001" customHeight="1" x14ac:dyDescent="0.25">
      <c r="B480" s="7" t="s">
        <v>457</v>
      </c>
      <c r="C480" s="7" t="str">
        <f>IF(Entity[[#This Row],[Link]]="","",HYPERLINK(HTMLDokuPath&amp;Entity[[#This Row],[Link]],"Doku"))</f>
        <v>Doku</v>
      </c>
      <c r="D480" s="6">
        <v>33</v>
      </c>
      <c r="E480" s="20" t="str">
        <f>IFERROR(IF(VLOOKUP(Entity[ID-Modul],Modul[],3,FALSE)=0,VLOOKUP(Entity[ID-Modul],Modul[],2,FALSE),VLOOKUP(Entity[ID-Modul],Modul[],3,FALSE)),"unbekannt")</f>
        <v>IfcRepresentationResource</v>
      </c>
      <c r="F480" s="21" t="b">
        <v>1</v>
      </c>
      <c r="G480" s="21" t="b">
        <v>1</v>
      </c>
      <c r="H480" s="22" t="s">
        <v>1417</v>
      </c>
      <c r="I480" s="19">
        <f>LEN(Entity[[#This Row],[IFC-Name]])</f>
        <v>13</v>
      </c>
      <c r="J480" s="7" t="s">
        <v>457</v>
      </c>
      <c r="K480" s="19">
        <f>LEN(Entity[[#This Row],[Klassen-Name]])</f>
        <v>13</v>
      </c>
      <c r="L480" s="7"/>
      <c r="M480" s="19" t="b">
        <f>IF(NOT(Entity[[#This Row],[Supertype]]),TRUE,AND(Entity[[#This Row],[Supertype]],Entity[[#This Row],[Subtype]]))</f>
        <v>1</v>
      </c>
      <c r="N480" s="28" t="s">
        <v>3416</v>
      </c>
      <c r="O480" s="29" t="s">
        <v>2306</v>
      </c>
    </row>
    <row r="481" spans="2:15" ht="20.100000000000001" customHeight="1" x14ac:dyDescent="0.25">
      <c r="B481" s="7" t="s">
        <v>458</v>
      </c>
      <c r="C481" s="7" t="str">
        <f>IF(Entity[[#This Row],[Link]]="","",HYPERLINK(HTMLDokuPath&amp;Entity[[#This Row],[Link]],"Doku"))</f>
        <v>Doku</v>
      </c>
      <c r="D481" s="6">
        <v>33</v>
      </c>
      <c r="E481" s="20" t="str">
        <f>IFERROR(IF(VLOOKUP(Entity[ID-Modul],Modul[],3,FALSE)=0,VLOOKUP(Entity[ID-Modul],Modul[],2,FALSE),VLOOKUP(Entity[ID-Modul],Modul[],3,FALSE)),"unbekannt")</f>
        <v>IfcRepresentationResource</v>
      </c>
      <c r="F481" s="21" t="b">
        <v>1</v>
      </c>
      <c r="G481" s="21" t="b">
        <v>0</v>
      </c>
      <c r="H481" s="22" t="s">
        <v>1045</v>
      </c>
      <c r="I481" s="19">
        <f>LEN(Entity[[#This Row],[IFC-Name]])</f>
        <v>22</v>
      </c>
      <c r="J481" s="7" t="s">
        <v>458</v>
      </c>
      <c r="K481" s="19">
        <f>LEN(Entity[[#This Row],[Klassen-Name]])</f>
        <v>22</v>
      </c>
      <c r="L481" s="7"/>
      <c r="M481" s="19" t="b">
        <f>IF(NOT(Entity[[#This Row],[Supertype]]),TRUE,AND(Entity[[#This Row],[Supertype]],Entity[[#This Row],[Subtype]]))</f>
        <v>1</v>
      </c>
      <c r="N481" s="28" t="s">
        <v>3417</v>
      </c>
      <c r="O481" s="29" t="s">
        <v>2307</v>
      </c>
    </row>
    <row r="482" spans="2:15" ht="20.100000000000001" customHeight="1" x14ac:dyDescent="0.25">
      <c r="B482" s="7" t="s">
        <v>517</v>
      </c>
      <c r="C482" s="7" t="str">
        <f>IF(Entity[[#This Row],[Link]]="","",HYPERLINK(HTMLDokuPath&amp;Entity[[#This Row],[Link]],"Doku"))</f>
        <v>Doku</v>
      </c>
      <c r="D482" s="6">
        <v>33</v>
      </c>
      <c r="E482" s="20" t="str">
        <f>IFERROR(IF(VLOOKUP(Entity[ID-Modul],Modul[],3,FALSE)=0,VLOOKUP(Entity[ID-Modul],Modul[],2,FALSE),VLOOKUP(Entity[ID-Modul],Modul[],3,FALSE)),"unbekannt")</f>
        <v>IfcRepresentationResource</v>
      </c>
      <c r="F482" s="21" t="b">
        <v>1</v>
      </c>
      <c r="G482" s="21" t="b">
        <v>0</v>
      </c>
      <c r="H482" s="22" t="s">
        <v>1082</v>
      </c>
      <c r="I482" s="19">
        <f>LEN(Entity[[#This Row],[IFC-Name]])</f>
        <v>23</v>
      </c>
      <c r="J482" s="7" t="s">
        <v>517</v>
      </c>
      <c r="K482" s="19">
        <f>LEN(Entity[[#This Row],[Klassen-Name]])</f>
        <v>23</v>
      </c>
      <c r="L482" s="7"/>
      <c r="M482" s="19" t="b">
        <f>IF(NOT(Entity[[#This Row],[Supertype]]),TRUE,AND(Entity[[#This Row],[Supertype]],Entity[[#This Row],[Subtype]]))</f>
        <v>1</v>
      </c>
      <c r="N482" s="28" t="s">
        <v>3476</v>
      </c>
      <c r="O482" s="29" t="s">
        <v>2366</v>
      </c>
    </row>
    <row r="483" spans="2:15" ht="20.100000000000001" customHeight="1" x14ac:dyDescent="0.25">
      <c r="B483" s="7" t="s">
        <v>515</v>
      </c>
      <c r="C483" s="7" t="str">
        <f>IF(Entity[[#This Row],[Link]]="","",HYPERLINK(HTMLDokuPath&amp;Entity[[#This Row],[Link]],"Doku"))</f>
        <v>Doku</v>
      </c>
      <c r="D483" s="6">
        <v>33</v>
      </c>
      <c r="E483" s="20" t="str">
        <f>IFERROR(IF(VLOOKUP(Entity[ID-Modul],Modul[],3,FALSE)=0,VLOOKUP(Entity[ID-Modul],Modul[],2,FALSE),VLOOKUP(Entity[ID-Modul],Modul[],3,FALSE)),"unbekannt")</f>
        <v>IfcRepresentationResource</v>
      </c>
      <c r="F483" s="21" t="b">
        <v>1</v>
      </c>
      <c r="G483" s="21" t="b">
        <v>1</v>
      </c>
      <c r="H483" s="22" t="s">
        <v>1438</v>
      </c>
      <c r="I483" s="19">
        <f>LEN(Entity[[#This Row],[IFC-Name]])</f>
        <v>13</v>
      </c>
      <c r="J483" s="7" t="s">
        <v>515</v>
      </c>
      <c r="K483" s="19">
        <f>LEN(Entity[[#This Row],[Klassen-Name]])</f>
        <v>13</v>
      </c>
      <c r="L483" s="7"/>
      <c r="M483" s="19" t="b">
        <f>IF(NOT(Entity[[#This Row],[Supertype]]),TRUE,AND(Entity[[#This Row],[Supertype]],Entity[[#This Row],[Subtype]]))</f>
        <v>1</v>
      </c>
      <c r="N483" s="28" t="s">
        <v>3477</v>
      </c>
      <c r="O483" s="29" t="s">
        <v>2364</v>
      </c>
    </row>
    <row r="484" spans="2:15" ht="20.100000000000001" customHeight="1" x14ac:dyDescent="0.25">
      <c r="B484" s="7" t="s">
        <v>553</v>
      </c>
      <c r="C484" s="7" t="str">
        <f>IF(Entity[[#This Row],[Link]]="","",HYPERLINK(HTMLDokuPath&amp;Entity[[#This Row],[Link]],"Doku"))</f>
        <v>Doku</v>
      </c>
      <c r="D484" s="6">
        <v>33</v>
      </c>
      <c r="E484" s="20" t="str">
        <f>IFERROR(IF(VLOOKUP(Entity[ID-Modul],Modul[],3,FALSE)=0,VLOOKUP(Entity[ID-Modul],Modul[],2,FALSE),VLOOKUP(Entity[ID-Modul],Modul[],3,FALSE)),"unbekannt")</f>
        <v>IfcRepresentationResource</v>
      </c>
      <c r="F484" s="21" t="b">
        <v>1</v>
      </c>
      <c r="G484" s="21" t="b">
        <v>0</v>
      </c>
      <c r="H484" s="22" t="s">
        <v>1117</v>
      </c>
      <c r="I484" s="19">
        <f>LEN(Entity[[#This Row],[IFC-Name]])</f>
        <v>25</v>
      </c>
      <c r="J484" s="7" t="s">
        <v>553</v>
      </c>
      <c r="K484" s="19">
        <f>LEN(Entity[[#This Row],[Klassen-Name]])</f>
        <v>25</v>
      </c>
      <c r="L484" s="7"/>
      <c r="M484" s="19" t="b">
        <f>IF(NOT(Entity[[#This Row],[Supertype]]),TRUE,AND(Entity[[#This Row],[Supertype]],Entity[[#This Row],[Subtype]]))</f>
        <v>1</v>
      </c>
      <c r="N484" s="28" t="s">
        <v>3523</v>
      </c>
      <c r="O484" s="29" t="s">
        <v>2413</v>
      </c>
    </row>
    <row r="485" spans="2:15" ht="20.100000000000001" customHeight="1" x14ac:dyDescent="0.25">
      <c r="B485" s="7" t="s">
        <v>34</v>
      </c>
      <c r="C485" s="7" t="str">
        <f>IF(Entity[[#This Row],[Link]]="","",HYPERLINK(HTMLDokuPath&amp;Entity[[#This Row],[Link]],"Doku"))</f>
        <v>Doku</v>
      </c>
      <c r="D485" s="6">
        <v>34</v>
      </c>
      <c r="E485" s="20" t="str">
        <f>IFERROR(IF(VLOOKUP(Entity[ID-Modul],Modul[],3,FALSE)=0,VLOOKUP(Entity[ID-Modul],Modul[],2,FALSE),VLOOKUP(Entity[ID-Modul],Modul[],3,FALSE)),"unbekannt")</f>
        <v>IfcSharedBldgElements</v>
      </c>
      <c r="F485" s="21" t="b">
        <v>1</v>
      </c>
      <c r="G485" s="21" t="b">
        <v>0</v>
      </c>
      <c r="H485" s="22" t="s">
        <v>688</v>
      </c>
      <c r="I485" s="19">
        <f>LEN(Entity[[#This Row],[IFC-Name]])</f>
        <v>7</v>
      </c>
      <c r="J485" s="7" t="s">
        <v>34</v>
      </c>
      <c r="K485" s="19">
        <f>LEN(Entity[[#This Row],[Klassen-Name]])</f>
        <v>7</v>
      </c>
      <c r="L485" s="7"/>
      <c r="M485" s="19" t="b">
        <f>IF(NOT(Entity[[#This Row],[Supertype]]),TRUE,AND(Entity[[#This Row],[Supertype]],Entity[[#This Row],[Subtype]]))</f>
        <v>1</v>
      </c>
      <c r="N485" s="28" t="s">
        <v>2942</v>
      </c>
      <c r="O485" s="29" t="s">
        <v>1832</v>
      </c>
    </row>
    <row r="486" spans="2:15" ht="20.100000000000001" customHeight="1" x14ac:dyDescent="0.25">
      <c r="B486" s="7" t="s">
        <v>35</v>
      </c>
      <c r="C486" s="7" t="str">
        <f>IF(Entity[[#This Row],[Link]]="","",HYPERLINK(HTMLDokuPath&amp;Entity[[#This Row],[Link]],"Doku"))</f>
        <v>Doku</v>
      </c>
      <c r="D486" s="6">
        <v>34</v>
      </c>
      <c r="E486" s="20" t="str">
        <f>IFERROR(IF(VLOOKUP(Entity[ID-Modul],Modul[],3,FALSE)=0,VLOOKUP(Entity[ID-Modul],Modul[],2,FALSE),VLOOKUP(Entity[ID-Modul],Modul[],3,FALSE)),"unbekannt")</f>
        <v>IfcSharedBldgElements</v>
      </c>
      <c r="F486" s="21" t="b">
        <v>1</v>
      </c>
      <c r="G486" s="21" t="b">
        <v>0</v>
      </c>
      <c r="H486" s="22" t="s">
        <v>689</v>
      </c>
      <c r="I486" s="19">
        <f>LEN(Entity[[#This Row],[IFC-Name]])</f>
        <v>11</v>
      </c>
      <c r="J486" s="7" t="s">
        <v>35</v>
      </c>
      <c r="K486" s="19">
        <f>LEN(Entity[[#This Row],[Klassen-Name]])</f>
        <v>11</v>
      </c>
      <c r="L486" s="7"/>
      <c r="M486" s="19" t="b">
        <f>IF(NOT(Entity[[#This Row],[Supertype]]),TRUE,AND(Entity[[#This Row],[Supertype]],Entity[[#This Row],[Subtype]]))</f>
        <v>1</v>
      </c>
      <c r="N486" s="28" t="s">
        <v>2943</v>
      </c>
      <c r="O486" s="29" t="s">
        <v>1833</v>
      </c>
    </row>
    <row r="487" spans="2:15" ht="20.100000000000001" customHeight="1" x14ac:dyDescent="0.25">
      <c r="B487" s="7" t="s">
        <v>80</v>
      </c>
      <c r="C487" s="7" t="str">
        <f>IF(Entity[[#This Row],[Link]]="","",HYPERLINK(HTMLDokuPath&amp;Entity[[#This Row],[Link]],"Doku"))</f>
        <v>Doku</v>
      </c>
      <c r="D487" s="6">
        <v>34</v>
      </c>
      <c r="E487" s="20" t="str">
        <f>IFERROR(IF(VLOOKUP(Entity[ID-Modul],Modul[],3,FALSE)=0,VLOOKUP(Entity[ID-Modul],Modul[],2,FALSE),VLOOKUP(Entity[ID-Modul],Modul[],3,FALSE)),"unbekannt")</f>
        <v>IfcSharedBldgElements</v>
      </c>
      <c r="F487" s="21" t="b">
        <v>1</v>
      </c>
      <c r="G487" s="21" t="b">
        <v>0</v>
      </c>
      <c r="H487" s="22" t="s">
        <v>726</v>
      </c>
      <c r="I487" s="19">
        <f>LEN(Entity[[#This Row],[IFC-Name]])</f>
        <v>9</v>
      </c>
      <c r="J487" s="7" t="s">
        <v>80</v>
      </c>
      <c r="K487" s="19">
        <f>LEN(Entity[[#This Row],[Klassen-Name]])</f>
        <v>9</v>
      </c>
      <c r="L487" s="7"/>
      <c r="M487" s="19" t="b">
        <f>IF(NOT(Entity[[#This Row],[Supertype]]),TRUE,AND(Entity[[#This Row],[Supertype]],Entity[[#This Row],[Subtype]]))</f>
        <v>1</v>
      </c>
      <c r="N487" s="28" t="s">
        <v>2994</v>
      </c>
      <c r="O487" s="29" t="s">
        <v>1884</v>
      </c>
    </row>
    <row r="488" spans="2:15" ht="20.100000000000001" customHeight="1" x14ac:dyDescent="0.25">
      <c r="B488" s="7" t="s">
        <v>81</v>
      </c>
      <c r="C488" s="7" t="str">
        <f>IF(Entity[[#This Row],[Link]]="","",HYPERLINK(HTMLDokuPath&amp;Entity[[#This Row],[Link]],"Doku"))</f>
        <v>Doku</v>
      </c>
      <c r="D488" s="6">
        <v>34</v>
      </c>
      <c r="E488" s="20" t="str">
        <f>IFERROR(IF(VLOOKUP(Entity[ID-Modul],Modul[],3,FALSE)=0,VLOOKUP(Entity[ID-Modul],Modul[],2,FALSE),VLOOKUP(Entity[ID-Modul],Modul[],3,FALSE)),"unbekannt")</f>
        <v>IfcSharedBldgElements</v>
      </c>
      <c r="F488" s="21" t="b">
        <v>1</v>
      </c>
      <c r="G488" s="21" t="b">
        <v>0</v>
      </c>
      <c r="H488" s="22" t="s">
        <v>727</v>
      </c>
      <c r="I488" s="19">
        <f>LEN(Entity[[#This Row],[IFC-Name]])</f>
        <v>13</v>
      </c>
      <c r="J488" s="7" t="s">
        <v>81</v>
      </c>
      <c r="K488" s="19">
        <f>LEN(Entity[[#This Row],[Klassen-Name]])</f>
        <v>13</v>
      </c>
      <c r="L488" s="7"/>
      <c r="M488" s="19" t="b">
        <f>IF(NOT(Entity[[#This Row],[Supertype]]),TRUE,AND(Entity[[#This Row],[Supertype]],Entity[[#This Row],[Subtype]]))</f>
        <v>1</v>
      </c>
      <c r="N488" s="28" t="s">
        <v>2995</v>
      </c>
      <c r="O488" s="29" t="s">
        <v>1885</v>
      </c>
    </row>
    <row r="489" spans="2:15" ht="20.100000000000001" customHeight="1" x14ac:dyDescent="0.25">
      <c r="B489" s="7" t="s">
        <v>119</v>
      </c>
      <c r="C489" s="7" t="str">
        <f>IF(Entity[[#This Row],[Link]]="","",HYPERLINK(HTMLDokuPath&amp;Entity[[#This Row],[Link]],"Doku"))</f>
        <v>Doku</v>
      </c>
      <c r="D489" s="6">
        <v>34</v>
      </c>
      <c r="E489" s="20" t="str">
        <f>IFERROR(IF(VLOOKUP(Entity[ID-Modul],Modul[],3,FALSE)=0,VLOOKUP(Entity[ID-Modul],Modul[],2,FALSE),VLOOKUP(Entity[ID-Modul],Modul[],3,FALSE)),"unbekannt")</f>
        <v>IfcSharedBldgElements</v>
      </c>
      <c r="F489" s="21" t="b">
        <v>1</v>
      </c>
      <c r="G489" s="21" t="b">
        <v>0</v>
      </c>
      <c r="H489" s="22" t="s">
        <v>761</v>
      </c>
      <c r="I489" s="19">
        <f>LEN(Entity[[#This Row],[IFC-Name]])</f>
        <v>14</v>
      </c>
      <c r="J489" s="7" t="s">
        <v>119</v>
      </c>
      <c r="K489" s="19">
        <f>LEN(Entity[[#This Row],[Klassen-Name]])</f>
        <v>14</v>
      </c>
      <c r="L489" s="7"/>
      <c r="M489" s="19" t="b">
        <f>IF(NOT(Entity[[#This Row],[Supertype]]),TRUE,AND(Entity[[#This Row],[Supertype]],Entity[[#This Row],[Subtype]]))</f>
        <v>1</v>
      </c>
      <c r="N489" s="28" t="s">
        <v>3039</v>
      </c>
      <c r="O489" s="29" t="s">
        <v>1928</v>
      </c>
    </row>
    <row r="490" spans="2:15" ht="20.100000000000001" customHeight="1" x14ac:dyDescent="0.25">
      <c r="B490" s="7" t="s">
        <v>120</v>
      </c>
      <c r="C490" s="7" t="str">
        <f>IF(Entity[[#This Row],[Link]]="","",HYPERLINK(HTMLDokuPath&amp;Entity[[#This Row],[Link]],"Doku"))</f>
        <v>Doku</v>
      </c>
      <c r="D490" s="6">
        <v>34</v>
      </c>
      <c r="E490" s="20" t="str">
        <f>IFERROR(IF(VLOOKUP(Entity[ID-Modul],Modul[],3,FALSE)=0,VLOOKUP(Entity[ID-Modul],Modul[],2,FALSE),VLOOKUP(Entity[ID-Modul],Modul[],3,FALSE)),"unbekannt")</f>
        <v>IfcSharedBldgElements</v>
      </c>
      <c r="F490" s="21" t="b">
        <v>1</v>
      </c>
      <c r="G490" s="21" t="b">
        <v>0</v>
      </c>
      <c r="H490" s="22" t="s">
        <v>762</v>
      </c>
      <c r="I490" s="19">
        <f>LEN(Entity[[#This Row],[IFC-Name]])</f>
        <v>18</v>
      </c>
      <c r="J490" s="7" t="s">
        <v>120</v>
      </c>
      <c r="K490" s="19">
        <f>LEN(Entity[[#This Row],[Klassen-Name]])</f>
        <v>18</v>
      </c>
      <c r="L490" s="7"/>
      <c r="M490" s="19" t="b">
        <f>IF(NOT(Entity[[#This Row],[Supertype]]),TRUE,AND(Entity[[#This Row],[Supertype]],Entity[[#This Row],[Subtype]]))</f>
        <v>1</v>
      </c>
      <c r="N490" s="28" t="s">
        <v>3040</v>
      </c>
      <c r="O490" s="29" t="s">
        <v>1929</v>
      </c>
    </row>
    <row r="491" spans="2:15" ht="20.100000000000001" customHeight="1" x14ac:dyDescent="0.25">
      <c r="B491" s="7" t="s">
        <v>146</v>
      </c>
      <c r="C491" s="7" t="str">
        <f>IF(Entity[[#This Row],[Link]]="","",HYPERLINK(HTMLDokuPath&amp;Entity[[#This Row],[Link]],"Doku"))</f>
        <v>Doku</v>
      </c>
      <c r="D491" s="6">
        <v>34</v>
      </c>
      <c r="E491" s="20" t="str">
        <f>IFERROR(IF(VLOOKUP(Entity[ID-Modul],Modul[],3,FALSE)=0,VLOOKUP(Entity[ID-Modul],Modul[],2,FALSE),VLOOKUP(Entity[ID-Modul],Modul[],3,FALSE)),"unbekannt")</f>
        <v>IfcSharedBldgElements</v>
      </c>
      <c r="F491" s="21" t="b">
        <v>1</v>
      </c>
      <c r="G491" s="21" t="b">
        <v>0</v>
      </c>
      <c r="H491" s="22" t="s">
        <v>790</v>
      </c>
      <c r="I491" s="19">
        <f>LEN(Entity[[#This Row],[IFC-Name]])</f>
        <v>7</v>
      </c>
      <c r="J491" s="7" t="s">
        <v>146</v>
      </c>
      <c r="K491" s="19">
        <f>LEN(Entity[[#This Row],[Klassen-Name]])</f>
        <v>7</v>
      </c>
      <c r="L491" s="7"/>
      <c r="M491" s="19" t="b">
        <f>IF(NOT(Entity[[#This Row],[Supertype]]),TRUE,AND(Entity[[#This Row],[Supertype]],Entity[[#This Row],[Subtype]]))</f>
        <v>1</v>
      </c>
      <c r="N491" s="28" t="s">
        <v>3076</v>
      </c>
      <c r="O491" s="29" t="s">
        <v>1965</v>
      </c>
    </row>
    <row r="492" spans="2:15" ht="20.100000000000001" customHeight="1" x14ac:dyDescent="0.25">
      <c r="B492" s="7" t="s">
        <v>147</v>
      </c>
      <c r="C492" s="7" t="str">
        <f>IF(Entity[[#This Row],[Link]]="","",HYPERLINK(HTMLDokuPath&amp;Entity[[#This Row],[Link]],"Doku"))</f>
        <v>Doku</v>
      </c>
      <c r="D492" s="6">
        <v>34</v>
      </c>
      <c r="E492" s="20" t="str">
        <f>IFERROR(IF(VLOOKUP(Entity[ID-Modul],Modul[],3,FALSE)=0,VLOOKUP(Entity[ID-Modul],Modul[],2,FALSE),VLOOKUP(Entity[ID-Modul],Modul[],3,FALSE)),"unbekannt")</f>
        <v>IfcSharedBldgElements</v>
      </c>
      <c r="F492" s="21" t="b">
        <v>1</v>
      </c>
      <c r="G492" s="21" t="b">
        <v>0</v>
      </c>
      <c r="H492" s="22" t="s">
        <v>791</v>
      </c>
      <c r="I492" s="19">
        <f>LEN(Entity[[#This Row],[IFC-Name]])</f>
        <v>23</v>
      </c>
      <c r="J492" s="7" t="s">
        <v>147</v>
      </c>
      <c r="K492" s="19">
        <f>LEN(Entity[[#This Row],[Klassen-Name]])</f>
        <v>23</v>
      </c>
      <c r="L492" s="7"/>
      <c r="M492" s="19" t="b">
        <f>IF(NOT(Entity[[#This Row],[Supertype]]),TRUE,AND(Entity[[#This Row],[Supertype]],Entity[[#This Row],[Subtype]]))</f>
        <v>1</v>
      </c>
      <c r="N492" s="28" t="s">
        <v>3077</v>
      </c>
      <c r="O492" s="29" t="s">
        <v>1966</v>
      </c>
    </row>
    <row r="493" spans="2:15" ht="20.100000000000001" customHeight="1" x14ac:dyDescent="0.25">
      <c r="B493" s="7" t="s">
        <v>148</v>
      </c>
      <c r="C493" s="7" t="str">
        <f>IF(Entity[[#This Row],[Link]]="","",HYPERLINK(HTMLDokuPath&amp;Entity[[#This Row],[Link]],"Doku"))</f>
        <v>Doku</v>
      </c>
      <c r="D493" s="6">
        <v>34</v>
      </c>
      <c r="E493" s="20" t="str">
        <f>IFERROR(IF(VLOOKUP(Entity[ID-Modul],Modul[],3,FALSE)=0,VLOOKUP(Entity[ID-Modul],Modul[],2,FALSE),VLOOKUP(Entity[ID-Modul],Modul[],3,FALSE)),"unbekannt")</f>
        <v>IfcSharedBldgElements</v>
      </c>
      <c r="F493" s="21" t="b">
        <v>1</v>
      </c>
      <c r="G493" s="21" t="b">
        <v>0</v>
      </c>
      <c r="H493" s="22" t="s">
        <v>792</v>
      </c>
      <c r="I493" s="19">
        <f>LEN(Entity[[#This Row],[IFC-Name]])</f>
        <v>22</v>
      </c>
      <c r="J493" s="7" t="s">
        <v>148</v>
      </c>
      <c r="K493" s="19">
        <f>LEN(Entity[[#This Row],[Klassen-Name]])</f>
        <v>22</v>
      </c>
      <c r="L493" s="7"/>
      <c r="M493" s="19" t="b">
        <f>IF(NOT(Entity[[#This Row],[Supertype]]),TRUE,AND(Entity[[#This Row],[Supertype]],Entity[[#This Row],[Subtype]]))</f>
        <v>1</v>
      </c>
      <c r="N493" s="28" t="s">
        <v>3078</v>
      </c>
      <c r="O493" s="29" t="s">
        <v>1967</v>
      </c>
    </row>
    <row r="494" spans="2:15" ht="20.100000000000001" customHeight="1" x14ac:dyDescent="0.25">
      <c r="B494" s="7" t="s">
        <v>149</v>
      </c>
      <c r="C494" s="7" t="str">
        <f>IF(Entity[[#This Row],[Link]]="","",HYPERLINK(HTMLDokuPath&amp;Entity[[#This Row],[Link]],"Doku"))</f>
        <v>Doku</v>
      </c>
      <c r="D494" s="6">
        <v>34</v>
      </c>
      <c r="E494" s="20" t="str">
        <f>IFERROR(IF(VLOOKUP(Entity[ID-Modul],Modul[],3,FALSE)=0,VLOOKUP(Entity[ID-Modul],Modul[],2,FALSE),VLOOKUP(Entity[ID-Modul],Modul[],3,FALSE)),"unbekannt")</f>
        <v>IfcSharedBldgElements</v>
      </c>
      <c r="F494" s="21" t="b">
        <v>1</v>
      </c>
      <c r="G494" s="21" t="b">
        <v>0</v>
      </c>
      <c r="H494" s="22" t="s">
        <v>793</v>
      </c>
      <c r="I494" s="19">
        <f>LEN(Entity[[#This Row],[IFC-Name]])</f>
        <v>12</v>
      </c>
      <c r="J494" s="7" t="s">
        <v>149</v>
      </c>
      <c r="K494" s="19">
        <f>LEN(Entity[[#This Row],[Klassen-Name]])</f>
        <v>12</v>
      </c>
      <c r="L494" s="7"/>
      <c r="M494" s="19" t="b">
        <f>IF(NOT(Entity[[#This Row],[Supertype]]),TRUE,AND(Entity[[#This Row],[Supertype]],Entity[[#This Row],[Subtype]]))</f>
        <v>1</v>
      </c>
      <c r="N494" s="28" t="s">
        <v>3079</v>
      </c>
      <c r="O494" s="29" t="s">
        <v>1968</v>
      </c>
    </row>
    <row r="495" spans="2:15" ht="20.100000000000001" customHeight="1" x14ac:dyDescent="0.25">
      <c r="B495" s="7" t="s">
        <v>283</v>
      </c>
      <c r="C495" s="7" t="str">
        <f>IF(Entity[[#This Row],[Link]]="","",HYPERLINK(HTMLDokuPath&amp;Entity[[#This Row],[Link]],"Doku"))</f>
        <v>Doku</v>
      </c>
      <c r="D495" s="6">
        <v>34</v>
      </c>
      <c r="E495" s="20" t="str">
        <f>IFERROR(IF(VLOOKUP(Entity[ID-Modul],Modul[],3,FALSE)=0,VLOOKUP(Entity[ID-Modul],Modul[],2,FALSE),VLOOKUP(Entity[ID-Modul],Modul[],3,FALSE)),"unbekannt")</f>
        <v>IfcSharedBldgElements</v>
      </c>
      <c r="F495" s="21" t="b">
        <v>1</v>
      </c>
      <c r="G495" s="21" t="b">
        <v>0</v>
      </c>
      <c r="H495" s="22" t="s">
        <v>899</v>
      </c>
      <c r="I495" s="19">
        <f>LEN(Entity[[#This Row],[IFC-Name]])</f>
        <v>9</v>
      </c>
      <c r="J495" s="7" t="s">
        <v>283</v>
      </c>
      <c r="K495" s="19">
        <f>LEN(Entity[[#This Row],[Klassen-Name]])</f>
        <v>9</v>
      </c>
      <c r="L495" s="7"/>
      <c r="M495" s="19" t="b">
        <f>IF(NOT(Entity[[#This Row],[Supertype]]),TRUE,AND(Entity[[#This Row],[Supertype]],Entity[[#This Row],[Subtype]]))</f>
        <v>1</v>
      </c>
      <c r="N495" s="28" t="s">
        <v>3226</v>
      </c>
      <c r="O495" s="29" t="s">
        <v>2115</v>
      </c>
    </row>
    <row r="496" spans="2:15" ht="20.100000000000001" customHeight="1" x14ac:dyDescent="0.25">
      <c r="B496" s="7" t="s">
        <v>284</v>
      </c>
      <c r="C496" s="7" t="str">
        <f>IF(Entity[[#This Row],[Link]]="","",HYPERLINK(HTMLDokuPath&amp;Entity[[#This Row],[Link]],"Doku"))</f>
        <v>Doku</v>
      </c>
      <c r="D496" s="6">
        <v>34</v>
      </c>
      <c r="E496" s="20" t="str">
        <f>IFERROR(IF(VLOOKUP(Entity[ID-Modul],Modul[],3,FALSE)=0,VLOOKUP(Entity[ID-Modul],Modul[],2,FALSE),VLOOKUP(Entity[ID-Modul],Modul[],3,FALSE)),"unbekannt")</f>
        <v>IfcSharedBldgElements</v>
      </c>
      <c r="F496" s="21" t="b">
        <v>1</v>
      </c>
      <c r="G496" s="21" t="b">
        <v>0</v>
      </c>
      <c r="H496" s="22" t="s">
        <v>900</v>
      </c>
      <c r="I496" s="19">
        <f>LEN(Entity[[#This Row],[IFC-Name]])</f>
        <v>13</v>
      </c>
      <c r="J496" s="7" t="s">
        <v>284</v>
      </c>
      <c r="K496" s="19">
        <f>LEN(Entity[[#This Row],[Klassen-Name]])</f>
        <v>13</v>
      </c>
      <c r="L496" s="7"/>
      <c r="M496" s="19" t="b">
        <f>IF(NOT(Entity[[#This Row],[Supertype]]),TRUE,AND(Entity[[#This Row],[Supertype]],Entity[[#This Row],[Subtype]]))</f>
        <v>1</v>
      </c>
      <c r="N496" s="28" t="s">
        <v>3227</v>
      </c>
      <c r="O496" s="29" t="s">
        <v>2116</v>
      </c>
    </row>
    <row r="497" spans="2:15" ht="20.100000000000001" customHeight="1" x14ac:dyDescent="0.25">
      <c r="B497" s="7" t="s">
        <v>319</v>
      </c>
      <c r="C497" s="7" t="str">
        <f>IF(Entity[[#This Row],[Link]]="","",HYPERLINK(HTMLDokuPath&amp;Entity[[#This Row],[Link]],"Doku"))</f>
        <v>Doku</v>
      </c>
      <c r="D497" s="6">
        <v>34</v>
      </c>
      <c r="E497" s="20" t="str">
        <f>IFERROR(IF(VLOOKUP(Entity[ID-Modul],Modul[],3,FALSE)=0,VLOOKUP(Entity[ID-Modul],Modul[],2,FALSE),VLOOKUP(Entity[ID-Modul],Modul[],3,FALSE)),"unbekannt")</f>
        <v>IfcSharedBldgElements</v>
      </c>
      <c r="F497" s="21" t="b">
        <v>1</v>
      </c>
      <c r="G497" s="21" t="b">
        <v>0</v>
      </c>
      <c r="H497" s="22" t="s">
        <v>931</v>
      </c>
      <c r="I497" s="19">
        <f>LEN(Entity[[#This Row],[IFC-Name]])</f>
        <v>8</v>
      </c>
      <c r="J497" s="7" t="s">
        <v>319</v>
      </c>
      <c r="K497" s="19">
        <f>LEN(Entity[[#This Row],[Klassen-Name]])</f>
        <v>8</v>
      </c>
      <c r="L497" s="7"/>
      <c r="M497" s="19" t="b">
        <f>IF(NOT(Entity[[#This Row],[Supertype]]),TRUE,AND(Entity[[#This Row],[Supertype]],Entity[[#This Row],[Subtype]]))</f>
        <v>1</v>
      </c>
      <c r="N497" s="28" t="s">
        <v>3268</v>
      </c>
      <c r="O497" s="29" t="s">
        <v>2157</v>
      </c>
    </row>
    <row r="498" spans="2:15" ht="20.100000000000001" customHeight="1" x14ac:dyDescent="0.25">
      <c r="B498" s="7" t="s">
        <v>320</v>
      </c>
      <c r="C498" s="7" t="str">
        <f>IF(Entity[[#This Row],[Link]]="","",HYPERLINK(HTMLDokuPath&amp;Entity[[#This Row],[Link]],"Doku"))</f>
        <v>Doku</v>
      </c>
      <c r="D498" s="6">
        <v>34</v>
      </c>
      <c r="E498" s="20" t="str">
        <f>IFERROR(IF(VLOOKUP(Entity[ID-Modul],Modul[],3,FALSE)=0,VLOOKUP(Entity[ID-Modul],Modul[],2,FALSE),VLOOKUP(Entity[ID-Modul],Modul[],3,FALSE)),"unbekannt")</f>
        <v>IfcSharedBldgElements</v>
      </c>
      <c r="F498" s="21" t="b">
        <v>1</v>
      </c>
      <c r="G498" s="21" t="b">
        <v>0</v>
      </c>
      <c r="H498" s="22" t="s">
        <v>932</v>
      </c>
      <c r="I498" s="19">
        <f>LEN(Entity[[#This Row],[IFC-Name]])</f>
        <v>12</v>
      </c>
      <c r="J498" s="7" t="s">
        <v>320</v>
      </c>
      <c r="K498" s="19">
        <f>LEN(Entity[[#This Row],[Klassen-Name]])</f>
        <v>12</v>
      </c>
      <c r="L498" s="7"/>
      <c r="M498" s="19" t="b">
        <f>IF(NOT(Entity[[#This Row],[Supertype]]),TRUE,AND(Entity[[#This Row],[Supertype]],Entity[[#This Row],[Subtype]]))</f>
        <v>1</v>
      </c>
      <c r="N498" s="28" t="s">
        <v>3269</v>
      </c>
      <c r="O498" s="29" t="s">
        <v>2158</v>
      </c>
    </row>
    <row r="499" spans="2:15" ht="20.100000000000001" customHeight="1" x14ac:dyDescent="0.25">
      <c r="B499" s="7" t="s">
        <v>373</v>
      </c>
      <c r="C499" s="7" t="str">
        <f>IF(Entity[[#This Row],[Link]]="","",HYPERLINK(HTMLDokuPath&amp;Entity[[#This Row],[Link]],"Doku"))</f>
        <v>Doku</v>
      </c>
      <c r="D499" s="6">
        <v>34</v>
      </c>
      <c r="E499" s="20" t="str">
        <f>IFERROR(IF(VLOOKUP(Entity[ID-Modul],Modul[],3,FALSE)=0,VLOOKUP(Entity[ID-Modul],Modul[],2,FALSE),VLOOKUP(Entity[ID-Modul],Modul[],3,FALSE)),"unbekannt")</f>
        <v>IfcSharedBldgElements</v>
      </c>
      <c r="F499" s="21" t="b">
        <v>1</v>
      </c>
      <c r="G499" s="21" t="b">
        <v>0</v>
      </c>
      <c r="H499" s="22" t="s">
        <v>972</v>
      </c>
      <c r="I499" s="19">
        <f>LEN(Entity[[#This Row],[IFC-Name]])</f>
        <v>10</v>
      </c>
      <c r="J499" s="7" t="s">
        <v>373</v>
      </c>
      <c r="K499" s="19">
        <f>LEN(Entity[[#This Row],[Klassen-Name]])</f>
        <v>10</v>
      </c>
      <c r="L499" s="7"/>
      <c r="M499" s="19" t="b">
        <f>IF(NOT(Entity[[#This Row],[Supertype]]),TRUE,AND(Entity[[#This Row],[Supertype]],Entity[[#This Row],[Subtype]]))</f>
        <v>1</v>
      </c>
      <c r="N499" s="28" t="s">
        <v>3326</v>
      </c>
      <c r="O499" s="29" t="s">
        <v>2215</v>
      </c>
    </row>
    <row r="500" spans="2:15" ht="20.100000000000001" customHeight="1" x14ac:dyDescent="0.25">
      <c r="B500" s="7" t="s">
        <v>374</v>
      </c>
      <c r="C500" s="7" t="str">
        <f>IF(Entity[[#This Row],[Link]]="","",HYPERLINK(HTMLDokuPath&amp;Entity[[#This Row],[Link]],"Doku"))</f>
        <v>Doku</v>
      </c>
      <c r="D500" s="6">
        <v>34</v>
      </c>
      <c r="E500" s="20" t="str">
        <f>IFERROR(IF(VLOOKUP(Entity[ID-Modul],Modul[],3,FALSE)=0,VLOOKUP(Entity[ID-Modul],Modul[],2,FALSE),VLOOKUP(Entity[ID-Modul],Modul[],3,FALSE)),"unbekannt")</f>
        <v>IfcSharedBldgElements</v>
      </c>
      <c r="F500" s="21" t="b">
        <v>1</v>
      </c>
      <c r="G500" s="21" t="b">
        <v>0</v>
      </c>
      <c r="H500" s="22" t="s">
        <v>973</v>
      </c>
      <c r="I500" s="19">
        <f>LEN(Entity[[#This Row],[IFC-Name]])</f>
        <v>14</v>
      </c>
      <c r="J500" s="7" t="s">
        <v>374</v>
      </c>
      <c r="K500" s="19">
        <f>LEN(Entity[[#This Row],[Klassen-Name]])</f>
        <v>14</v>
      </c>
      <c r="L500" s="7"/>
      <c r="M500" s="19" t="b">
        <f>IF(NOT(Entity[[#This Row],[Supertype]]),TRUE,AND(Entity[[#This Row],[Supertype]],Entity[[#This Row],[Subtype]]))</f>
        <v>1</v>
      </c>
      <c r="N500" s="28" t="s">
        <v>3327</v>
      </c>
      <c r="O500" s="29" t="s">
        <v>2216</v>
      </c>
    </row>
    <row r="501" spans="2:15" ht="20.100000000000001" customHeight="1" x14ac:dyDescent="0.25">
      <c r="B501" s="7" t="s">
        <v>375</v>
      </c>
      <c r="C501" s="7" t="str">
        <f>IF(Entity[[#This Row],[Link]]="","",HYPERLINK(HTMLDokuPath&amp;Entity[[#This Row],[Link]],"Doku"))</f>
        <v>Doku</v>
      </c>
      <c r="D501" s="6">
        <v>34</v>
      </c>
      <c r="E501" s="20" t="str">
        <f>IFERROR(IF(VLOOKUP(Entity[ID-Modul],Modul[],3,FALSE)=0,VLOOKUP(Entity[ID-Modul],Modul[],2,FALSE),VLOOKUP(Entity[ID-Modul],Modul[],3,FALSE)),"unbekannt")</f>
        <v>IfcSharedBldgElements</v>
      </c>
      <c r="F501" s="21" t="b">
        <v>1</v>
      </c>
      <c r="G501" s="21" t="b">
        <v>0</v>
      </c>
      <c r="H501" s="22" t="s">
        <v>974</v>
      </c>
      <c r="I501" s="19">
        <f>LEN(Entity[[#This Row],[IFC-Name]])</f>
        <v>7</v>
      </c>
      <c r="J501" s="7" t="s">
        <v>375</v>
      </c>
      <c r="K501" s="19">
        <f>LEN(Entity[[#This Row],[Klassen-Name]])</f>
        <v>7</v>
      </c>
      <c r="L501" s="7"/>
      <c r="M501" s="19" t="b">
        <f>IF(NOT(Entity[[#This Row],[Supertype]]),TRUE,AND(Entity[[#This Row],[Supertype]],Entity[[#This Row],[Subtype]]))</f>
        <v>1</v>
      </c>
      <c r="N501" s="28" t="s">
        <v>3328</v>
      </c>
      <c r="O501" s="29" t="s">
        <v>2217</v>
      </c>
    </row>
    <row r="502" spans="2:15" ht="20.100000000000001" customHeight="1" x14ac:dyDescent="0.25">
      <c r="B502" s="7" t="s">
        <v>376</v>
      </c>
      <c r="C502" s="7" t="str">
        <f>IF(Entity[[#This Row],[Link]]="","",HYPERLINK(HTMLDokuPath&amp;Entity[[#This Row],[Link]],"Doku"))</f>
        <v>Doku</v>
      </c>
      <c r="D502" s="6">
        <v>34</v>
      </c>
      <c r="E502" s="20" t="str">
        <f>IFERROR(IF(VLOOKUP(Entity[ID-Modul],Modul[],3,FALSE)=0,VLOOKUP(Entity[ID-Modul],Modul[],2,FALSE),VLOOKUP(Entity[ID-Modul],Modul[],3,FALSE)),"unbekannt")</f>
        <v>IfcSharedBldgElements</v>
      </c>
      <c r="F502" s="21" t="b">
        <v>1</v>
      </c>
      <c r="G502" s="21" t="b">
        <v>0</v>
      </c>
      <c r="H502" s="22" t="s">
        <v>975</v>
      </c>
      <c r="I502" s="19">
        <f>LEN(Entity[[#This Row],[IFC-Name]])</f>
        <v>13</v>
      </c>
      <c r="J502" s="7" t="s">
        <v>376</v>
      </c>
      <c r="K502" s="19">
        <f>LEN(Entity[[#This Row],[Klassen-Name]])</f>
        <v>13</v>
      </c>
      <c r="L502" s="7"/>
      <c r="M502" s="19" t="b">
        <f>IF(NOT(Entity[[#This Row],[Supertype]]),TRUE,AND(Entity[[#This Row],[Supertype]],Entity[[#This Row],[Subtype]]))</f>
        <v>1</v>
      </c>
      <c r="N502" s="28" t="s">
        <v>3329</v>
      </c>
      <c r="O502" s="29" t="s">
        <v>2218</v>
      </c>
    </row>
    <row r="503" spans="2:15" ht="20.100000000000001" customHeight="1" x14ac:dyDescent="0.25">
      <c r="B503" s="7" t="s">
        <v>377</v>
      </c>
      <c r="C503" s="7" t="str">
        <f>IF(Entity[[#This Row],[Link]]="","",HYPERLINK(HTMLDokuPath&amp;Entity[[#This Row],[Link]],"Doku"))</f>
        <v>Doku</v>
      </c>
      <c r="D503" s="6">
        <v>34</v>
      </c>
      <c r="E503" s="20" t="str">
        <f>IFERROR(IF(VLOOKUP(Entity[ID-Modul],Modul[],3,FALSE)=0,VLOOKUP(Entity[ID-Modul],Modul[],2,FALSE),VLOOKUP(Entity[ID-Modul],Modul[],3,FALSE)),"unbekannt")</f>
        <v>IfcSharedBldgElements</v>
      </c>
      <c r="F503" s="21" t="b">
        <v>1</v>
      </c>
      <c r="G503" s="21" t="b">
        <v>0</v>
      </c>
      <c r="H503" s="22" t="s">
        <v>976</v>
      </c>
      <c r="I503" s="19">
        <f>LEN(Entity[[#This Row],[IFC-Name]])</f>
        <v>17</v>
      </c>
      <c r="J503" s="7" t="s">
        <v>377</v>
      </c>
      <c r="K503" s="19">
        <f>LEN(Entity[[#This Row],[Klassen-Name]])</f>
        <v>17</v>
      </c>
      <c r="L503" s="7"/>
      <c r="M503" s="19" t="b">
        <f>IF(NOT(Entity[[#This Row],[Supertype]]),TRUE,AND(Entity[[#This Row],[Supertype]],Entity[[#This Row],[Subtype]]))</f>
        <v>1</v>
      </c>
      <c r="N503" s="28" t="s">
        <v>3330</v>
      </c>
      <c r="O503" s="29" t="s">
        <v>2219</v>
      </c>
    </row>
    <row r="504" spans="2:15" ht="20.100000000000001" customHeight="1" x14ac:dyDescent="0.25">
      <c r="B504" s="7" t="s">
        <v>409</v>
      </c>
      <c r="C504" s="7" t="str">
        <f>IF(Entity[[#This Row],[Link]]="","",HYPERLINK(HTMLDokuPath&amp;Entity[[#This Row],[Link]],"Doku"))</f>
        <v>Doku</v>
      </c>
      <c r="D504" s="6">
        <v>34</v>
      </c>
      <c r="E504" s="20" t="str">
        <f>IFERROR(IF(VLOOKUP(Entity[ID-Modul],Modul[],3,FALSE)=0,VLOOKUP(Entity[ID-Modul],Modul[],2,FALSE),VLOOKUP(Entity[ID-Modul],Modul[],3,FALSE)),"unbekannt")</f>
        <v>IfcSharedBldgElements</v>
      </c>
      <c r="F504" s="21" t="b">
        <v>1</v>
      </c>
      <c r="G504" s="21" t="b">
        <v>0</v>
      </c>
      <c r="H504" s="22" t="s">
        <v>1002</v>
      </c>
      <c r="I504" s="19">
        <f>LEN(Entity[[#This Row],[IFC-Name]])</f>
        <v>26</v>
      </c>
      <c r="J504" s="7" t="s">
        <v>409</v>
      </c>
      <c r="K504" s="19">
        <f>LEN(Entity[[#This Row],[Klassen-Name]])</f>
        <v>26</v>
      </c>
      <c r="L504" s="7"/>
      <c r="M504" s="19" t="b">
        <f>IF(NOT(Entity[[#This Row],[Supertype]]),TRUE,AND(Entity[[#This Row],[Supertype]],Entity[[#This Row],[Subtype]]))</f>
        <v>1</v>
      </c>
      <c r="N504" s="28" t="s">
        <v>3366</v>
      </c>
      <c r="O504" s="29" t="s">
        <v>2253</v>
      </c>
    </row>
    <row r="505" spans="2:15" ht="20.100000000000001" customHeight="1" x14ac:dyDescent="0.25">
      <c r="B505" s="7" t="s">
        <v>446</v>
      </c>
      <c r="C505" s="7" t="str">
        <f>IF(Entity[[#This Row],[Link]]="","",HYPERLINK(HTMLDokuPath&amp;Entity[[#This Row],[Link]],"Doku"))</f>
        <v>Doku</v>
      </c>
      <c r="D505" s="6">
        <v>34</v>
      </c>
      <c r="E505" s="20" t="str">
        <f>IFERROR(IF(VLOOKUP(Entity[ID-Modul],Modul[],3,FALSE)=0,VLOOKUP(Entity[ID-Modul],Modul[],2,FALSE),VLOOKUP(Entity[ID-Modul],Modul[],3,FALSE)),"unbekannt")</f>
        <v>IfcSharedBldgElements</v>
      </c>
      <c r="F505" s="21" t="b">
        <v>1</v>
      </c>
      <c r="G505" s="21" t="b">
        <v>0</v>
      </c>
      <c r="H505" s="22" t="s">
        <v>1032</v>
      </c>
      <c r="I505" s="19">
        <f>LEN(Entity[[#This Row],[IFC-Name]])</f>
        <v>7</v>
      </c>
      <c r="J505" s="7" t="s">
        <v>446</v>
      </c>
      <c r="K505" s="19">
        <f>LEN(Entity[[#This Row],[Klassen-Name]])</f>
        <v>7</v>
      </c>
      <c r="L505" s="7"/>
      <c r="M505" s="19" t="b">
        <f>IF(NOT(Entity[[#This Row],[Supertype]]),TRUE,AND(Entity[[#This Row],[Supertype]],Entity[[#This Row],[Subtype]]))</f>
        <v>1</v>
      </c>
      <c r="N505" s="28" t="s">
        <v>3403</v>
      </c>
      <c r="O505" s="29" t="s">
        <v>2292</v>
      </c>
    </row>
    <row r="506" spans="2:15" ht="20.100000000000001" customHeight="1" x14ac:dyDescent="0.25">
      <c r="B506" s="7" t="s">
        <v>462</v>
      </c>
      <c r="C506" s="7" t="str">
        <f>IF(Entity[[#This Row],[Link]]="","",HYPERLINK(HTMLDokuPath&amp;Entity[[#This Row],[Link]],"Doku"))</f>
        <v>Doku</v>
      </c>
      <c r="D506" s="6">
        <v>34</v>
      </c>
      <c r="E506" s="20" t="str">
        <f>IFERROR(IF(VLOOKUP(Entity[ID-Modul],Modul[],3,FALSE)=0,VLOOKUP(Entity[ID-Modul],Modul[],2,FALSE),VLOOKUP(Entity[ID-Modul],Modul[],3,FALSE)),"unbekannt")</f>
        <v>IfcSharedBldgElements</v>
      </c>
      <c r="F506" s="21" t="b">
        <v>1</v>
      </c>
      <c r="G506" s="21" t="b">
        <v>0</v>
      </c>
      <c r="H506" s="22" t="s">
        <v>1048</v>
      </c>
      <c r="I506" s="19">
        <f>LEN(Entity[[#This Row],[IFC-Name]])</f>
        <v>7</v>
      </c>
      <c r="J506" s="7" t="s">
        <v>462</v>
      </c>
      <c r="K506" s="19">
        <f>LEN(Entity[[#This Row],[Klassen-Name]])</f>
        <v>7</v>
      </c>
      <c r="L506" s="7"/>
      <c r="M506" s="19" t="b">
        <f>IF(NOT(Entity[[#This Row],[Supertype]]),TRUE,AND(Entity[[#This Row],[Supertype]],Entity[[#This Row],[Subtype]]))</f>
        <v>1</v>
      </c>
      <c r="N506" s="28" t="s">
        <v>3422</v>
      </c>
      <c r="O506" s="29" t="s">
        <v>2311</v>
      </c>
    </row>
    <row r="507" spans="2:15" ht="20.100000000000001" customHeight="1" x14ac:dyDescent="0.25">
      <c r="B507" s="7" t="s">
        <v>463</v>
      </c>
      <c r="C507" s="7" t="str">
        <f>IF(Entity[[#This Row],[Link]]="","",HYPERLINK(HTMLDokuPath&amp;Entity[[#This Row],[Link]],"Doku"))</f>
        <v>Doku</v>
      </c>
      <c r="D507" s="6">
        <v>34</v>
      </c>
      <c r="E507" s="20" t="str">
        <f>IFERROR(IF(VLOOKUP(Entity[ID-Modul],Modul[],3,FALSE)=0,VLOOKUP(Entity[ID-Modul],Modul[],2,FALSE),VLOOKUP(Entity[ID-Modul],Modul[],3,FALSE)),"unbekannt")</f>
        <v>IfcSharedBldgElements</v>
      </c>
      <c r="F507" s="21" t="b">
        <v>1</v>
      </c>
      <c r="G507" s="21" t="b">
        <v>0</v>
      </c>
      <c r="H507" s="22" t="s">
        <v>1049</v>
      </c>
      <c r="I507" s="19">
        <f>LEN(Entity[[#This Row],[IFC-Name]])</f>
        <v>11</v>
      </c>
      <c r="J507" s="7" t="s">
        <v>463</v>
      </c>
      <c r="K507" s="19">
        <f>LEN(Entity[[#This Row],[Klassen-Name]])</f>
        <v>11</v>
      </c>
      <c r="L507" s="7"/>
      <c r="M507" s="19" t="b">
        <f>IF(NOT(Entity[[#This Row],[Supertype]]),TRUE,AND(Entity[[#This Row],[Supertype]],Entity[[#This Row],[Subtype]]))</f>
        <v>1</v>
      </c>
      <c r="N507" s="28" t="s">
        <v>3423</v>
      </c>
      <c r="O507" s="29" t="s">
        <v>2312</v>
      </c>
    </row>
    <row r="508" spans="2:15" ht="20.100000000000001" customHeight="1" x14ac:dyDescent="0.25">
      <c r="B508" s="7" t="s">
        <v>477</v>
      </c>
      <c r="C508" s="7" t="str">
        <f>IF(Entity[[#This Row],[Link]]="","",HYPERLINK(HTMLDokuPath&amp;Entity[[#This Row],[Link]],"Doku"))</f>
        <v>Doku</v>
      </c>
      <c r="D508" s="6">
        <v>34</v>
      </c>
      <c r="E508" s="20" t="str">
        <f>IFERROR(IF(VLOOKUP(Entity[ID-Modul],Modul[],3,FALSE)=0,VLOOKUP(Entity[ID-Modul],Modul[],2,FALSE),VLOOKUP(Entity[ID-Modul],Modul[],3,FALSE)),"unbekannt")</f>
        <v>IfcSharedBldgElements</v>
      </c>
      <c r="F508" s="21" t="b">
        <v>1</v>
      </c>
      <c r="G508" s="21" t="b">
        <v>0</v>
      </c>
      <c r="H508" s="22" t="s">
        <v>1060</v>
      </c>
      <c r="I508" s="19">
        <f>LEN(Entity[[#This Row],[IFC-Name]])</f>
        <v>8</v>
      </c>
      <c r="J508" s="7" t="s">
        <v>477</v>
      </c>
      <c r="K508" s="19">
        <f>LEN(Entity[[#This Row],[Klassen-Name]])</f>
        <v>8</v>
      </c>
      <c r="L508" s="7"/>
      <c r="M508" s="19" t="b">
        <f>IF(NOT(Entity[[#This Row],[Supertype]]),TRUE,AND(Entity[[#This Row],[Supertype]],Entity[[#This Row],[Subtype]]))</f>
        <v>1</v>
      </c>
      <c r="N508" s="28" t="s">
        <v>3437</v>
      </c>
      <c r="O508" s="29" t="s">
        <v>2326</v>
      </c>
    </row>
    <row r="509" spans="2:15" ht="20.100000000000001" customHeight="1" x14ac:dyDescent="0.25">
      <c r="B509" s="7" t="s">
        <v>478</v>
      </c>
      <c r="C509" s="7" t="str">
        <f>IF(Entity[[#This Row],[Link]]="","",HYPERLINK(HTMLDokuPath&amp;Entity[[#This Row],[Link]],"Doku"))</f>
        <v>Doku</v>
      </c>
      <c r="D509" s="6">
        <v>34</v>
      </c>
      <c r="E509" s="20" t="str">
        <f>IFERROR(IF(VLOOKUP(Entity[ID-Modul],Modul[],3,FALSE)=0,VLOOKUP(Entity[ID-Modul],Modul[],2,FALSE),VLOOKUP(Entity[ID-Modul],Modul[],3,FALSE)),"unbekannt")</f>
        <v>IfcSharedBldgElements</v>
      </c>
      <c r="F509" s="21" t="b">
        <v>1</v>
      </c>
      <c r="G509" s="21" t="b">
        <v>0</v>
      </c>
      <c r="H509" s="22" t="s">
        <v>1061</v>
      </c>
      <c r="I509" s="19">
        <f>LEN(Entity[[#This Row],[IFC-Name]])</f>
        <v>14</v>
      </c>
      <c r="J509" s="7" t="s">
        <v>478</v>
      </c>
      <c r="K509" s="19">
        <f>LEN(Entity[[#This Row],[Klassen-Name]])</f>
        <v>14</v>
      </c>
      <c r="L509" s="7"/>
      <c r="M509" s="19" t="b">
        <f>IF(NOT(Entity[[#This Row],[Supertype]]),TRUE,AND(Entity[[#This Row],[Supertype]],Entity[[#This Row],[Subtype]]))</f>
        <v>1</v>
      </c>
      <c r="N509" s="28" t="s">
        <v>3438</v>
      </c>
      <c r="O509" s="29" t="s">
        <v>2327</v>
      </c>
    </row>
    <row r="510" spans="2:15" ht="20.100000000000001" customHeight="1" x14ac:dyDescent="0.25">
      <c r="B510" s="7" t="s">
        <v>479</v>
      </c>
      <c r="C510" s="7" t="str">
        <f>IF(Entity[[#This Row],[Link]]="","",HYPERLINK(HTMLDokuPath&amp;Entity[[#This Row],[Link]],"Doku"))</f>
        <v>Doku</v>
      </c>
      <c r="D510" s="6">
        <v>34</v>
      </c>
      <c r="E510" s="20" t="str">
        <f>IFERROR(IF(VLOOKUP(Entity[ID-Modul],Modul[],3,FALSE)=0,VLOOKUP(Entity[ID-Modul],Modul[],2,FALSE),VLOOKUP(Entity[ID-Modul],Modul[],3,FALSE)),"unbekannt")</f>
        <v>IfcSharedBldgElements</v>
      </c>
      <c r="F510" s="21" t="b">
        <v>1</v>
      </c>
      <c r="G510" s="21" t="b">
        <v>0</v>
      </c>
      <c r="H510" s="22" t="s">
        <v>1062</v>
      </c>
      <c r="I510" s="19">
        <f>LEN(Entity[[#This Row],[IFC-Name]])</f>
        <v>18</v>
      </c>
      <c r="J510" s="7" t="s">
        <v>479</v>
      </c>
      <c r="K510" s="19">
        <f>LEN(Entity[[#This Row],[Klassen-Name]])</f>
        <v>18</v>
      </c>
      <c r="L510" s="7"/>
      <c r="M510" s="19" t="b">
        <f>IF(NOT(Entity[[#This Row],[Supertype]]),TRUE,AND(Entity[[#This Row],[Supertype]],Entity[[#This Row],[Subtype]]))</f>
        <v>1</v>
      </c>
      <c r="N510" s="28" t="s">
        <v>3439</v>
      </c>
      <c r="O510" s="29" t="s">
        <v>2328</v>
      </c>
    </row>
    <row r="511" spans="2:15" ht="20.100000000000001" customHeight="1" x14ac:dyDescent="0.25">
      <c r="B511" s="7" t="s">
        <v>572</v>
      </c>
      <c r="C511" s="7" t="str">
        <f>IF(Entity[[#This Row],[Link]]="","",HYPERLINK(HTMLDokuPath&amp;Entity[[#This Row],[Link]],"Doku"))</f>
        <v>Doku</v>
      </c>
      <c r="D511" s="6">
        <v>34</v>
      </c>
      <c r="E511" s="20" t="str">
        <f>IFERROR(IF(VLOOKUP(Entity[ID-Modul],Modul[],3,FALSE)=0,VLOOKUP(Entity[ID-Modul],Modul[],2,FALSE),VLOOKUP(Entity[ID-Modul],Modul[],3,FALSE)),"unbekannt")</f>
        <v>IfcSharedBldgElements</v>
      </c>
      <c r="F511" s="21" t="b">
        <v>1</v>
      </c>
      <c r="G511" s="21" t="b">
        <v>1</v>
      </c>
      <c r="H511" s="22" t="s">
        <v>1455</v>
      </c>
      <c r="I511" s="19">
        <f>LEN(Entity[[#This Row],[IFC-Name]])</f>
        <v>7</v>
      </c>
      <c r="J511" s="7" t="s">
        <v>572</v>
      </c>
      <c r="K511" s="19">
        <f>LEN(Entity[[#This Row],[Klassen-Name]])</f>
        <v>7</v>
      </c>
      <c r="L511" s="7"/>
      <c r="M511" s="19" t="b">
        <f>IF(NOT(Entity[[#This Row],[Supertype]]),TRUE,AND(Entity[[#This Row],[Supertype]],Entity[[#This Row],[Subtype]]))</f>
        <v>1</v>
      </c>
      <c r="N511" s="28" t="s">
        <v>3546</v>
      </c>
      <c r="O511" s="29" t="s">
        <v>2435</v>
      </c>
    </row>
    <row r="512" spans="2:15" ht="20.100000000000001" customHeight="1" x14ac:dyDescent="0.25">
      <c r="B512" s="7" t="s">
        <v>573</v>
      </c>
      <c r="C512" s="7" t="str">
        <f>IF(Entity[[#This Row],[Link]]="","",HYPERLINK(HTMLDokuPath&amp;Entity[[#This Row],[Link]],"Doku"))</f>
        <v>Doku</v>
      </c>
      <c r="D512" s="6">
        <v>34</v>
      </c>
      <c r="E512" s="20" t="str">
        <f>IFERROR(IF(VLOOKUP(Entity[ID-Modul],Modul[],3,FALSE)=0,VLOOKUP(Entity[ID-Modul],Modul[],2,FALSE),VLOOKUP(Entity[ID-Modul],Modul[],3,FALSE)),"unbekannt")</f>
        <v>IfcSharedBldgElements</v>
      </c>
      <c r="F512" s="21" t="b">
        <v>1</v>
      </c>
      <c r="G512" s="21" t="b">
        <v>0</v>
      </c>
      <c r="H512" s="22" t="s">
        <v>1136</v>
      </c>
      <c r="I512" s="19">
        <f>LEN(Entity[[#This Row],[IFC-Name]])</f>
        <v>19</v>
      </c>
      <c r="J512" s="7" t="s">
        <v>573</v>
      </c>
      <c r="K512" s="19">
        <f>LEN(Entity[[#This Row],[Klassen-Name]])</f>
        <v>19</v>
      </c>
      <c r="L512" s="7"/>
      <c r="M512" s="19" t="b">
        <f>IF(NOT(Entity[[#This Row],[Supertype]]),TRUE,AND(Entity[[#This Row],[Supertype]],Entity[[#This Row],[Subtype]]))</f>
        <v>1</v>
      </c>
      <c r="N512" s="28" t="s">
        <v>3547</v>
      </c>
      <c r="O512" s="29" t="s">
        <v>2436</v>
      </c>
    </row>
    <row r="513" spans="2:15" ht="20.100000000000001" customHeight="1" x14ac:dyDescent="0.25">
      <c r="B513" s="7" t="s">
        <v>574</v>
      </c>
      <c r="C513" s="7" t="str">
        <f>IF(Entity[[#This Row],[Link]]="","",HYPERLINK(HTMLDokuPath&amp;Entity[[#This Row],[Link]],"Doku"))</f>
        <v>Doku</v>
      </c>
      <c r="D513" s="6">
        <v>34</v>
      </c>
      <c r="E513" s="20" t="str">
        <f>IFERROR(IF(VLOOKUP(Entity[ID-Modul],Modul[],3,FALSE)=0,VLOOKUP(Entity[ID-Modul],Modul[],2,FALSE),VLOOKUP(Entity[ID-Modul],Modul[],3,FALSE)),"unbekannt")</f>
        <v>IfcSharedBldgElements</v>
      </c>
      <c r="F513" s="21" t="b">
        <v>1</v>
      </c>
      <c r="G513" s="21" t="b">
        <v>0</v>
      </c>
      <c r="H513" s="22" t="s">
        <v>1137</v>
      </c>
      <c r="I513" s="19">
        <f>LEN(Entity[[#This Row],[IFC-Name]])</f>
        <v>11</v>
      </c>
      <c r="J513" s="7" t="s">
        <v>574</v>
      </c>
      <c r="K513" s="19">
        <f>LEN(Entity[[#This Row],[Klassen-Name]])</f>
        <v>11</v>
      </c>
      <c r="L513" s="7"/>
      <c r="M513" s="19" t="b">
        <f>IF(NOT(Entity[[#This Row],[Supertype]]),TRUE,AND(Entity[[#This Row],[Supertype]],Entity[[#This Row],[Subtype]]))</f>
        <v>1</v>
      </c>
      <c r="N513" s="28" t="s">
        <v>3548</v>
      </c>
      <c r="O513" s="29" t="s">
        <v>2437</v>
      </c>
    </row>
    <row r="514" spans="2:15" ht="20.100000000000001" customHeight="1" x14ac:dyDescent="0.25">
      <c r="B514" s="7" t="s">
        <v>577</v>
      </c>
      <c r="C514" s="7" t="str">
        <f>IF(Entity[[#This Row],[Link]]="","",HYPERLINK(HTMLDokuPath&amp;Entity[[#This Row],[Link]],"Doku"))</f>
        <v>Doku</v>
      </c>
      <c r="D514" s="6">
        <v>34</v>
      </c>
      <c r="E514" s="20" t="str">
        <f>IFERROR(IF(VLOOKUP(Entity[ID-Modul],Modul[],3,FALSE)=0,VLOOKUP(Entity[ID-Modul],Modul[],2,FALSE),VLOOKUP(Entity[ID-Modul],Modul[],3,FALSE)),"unbekannt")</f>
        <v>IfcSharedBldgElements</v>
      </c>
      <c r="F514" s="21" t="b">
        <v>1</v>
      </c>
      <c r="G514" s="21" t="b">
        <v>0</v>
      </c>
      <c r="H514" s="22" t="s">
        <v>1140</v>
      </c>
      <c r="I514" s="19">
        <f>LEN(Entity[[#This Row],[IFC-Name]])</f>
        <v>9</v>
      </c>
      <c r="J514" s="7" t="s">
        <v>577</v>
      </c>
      <c r="K514" s="19">
        <f>LEN(Entity[[#This Row],[Klassen-Name]])</f>
        <v>9</v>
      </c>
      <c r="L514" s="7"/>
      <c r="M514" s="19" t="b">
        <f>IF(NOT(Entity[[#This Row],[Supertype]]),TRUE,AND(Entity[[#This Row],[Supertype]],Entity[[#This Row],[Subtype]]))</f>
        <v>1</v>
      </c>
      <c r="N514" s="28" t="s">
        <v>3551</v>
      </c>
      <c r="O514" s="29" t="s">
        <v>2440</v>
      </c>
    </row>
    <row r="515" spans="2:15" ht="20.100000000000001" customHeight="1" x14ac:dyDescent="0.25">
      <c r="B515" s="7" t="s">
        <v>578</v>
      </c>
      <c r="C515" s="7" t="str">
        <f>IF(Entity[[#This Row],[Link]]="","",HYPERLINK(HTMLDokuPath&amp;Entity[[#This Row],[Link]],"Doku"))</f>
        <v>Doku</v>
      </c>
      <c r="D515" s="6">
        <v>34</v>
      </c>
      <c r="E515" s="20" t="str">
        <f>IFERROR(IF(VLOOKUP(Entity[ID-Modul],Modul[],3,FALSE)=0,VLOOKUP(Entity[ID-Modul],Modul[],2,FALSE),VLOOKUP(Entity[ID-Modul],Modul[],3,FALSE)),"unbekannt")</f>
        <v>IfcSharedBldgElements</v>
      </c>
      <c r="F515" s="21" t="b">
        <v>1</v>
      </c>
      <c r="G515" s="21" t="b">
        <v>0</v>
      </c>
      <c r="H515" s="22" t="s">
        <v>1141</v>
      </c>
      <c r="I515" s="19">
        <f>LEN(Entity[[#This Row],[IFC-Name]])</f>
        <v>25</v>
      </c>
      <c r="J515" s="7" t="s">
        <v>578</v>
      </c>
      <c r="K515" s="19">
        <f>LEN(Entity[[#This Row],[Klassen-Name]])</f>
        <v>25</v>
      </c>
      <c r="L515" s="7"/>
      <c r="M515" s="19" t="b">
        <f>IF(NOT(Entity[[#This Row],[Supertype]]),TRUE,AND(Entity[[#This Row],[Supertype]],Entity[[#This Row],[Subtype]]))</f>
        <v>1</v>
      </c>
      <c r="N515" s="28" t="s">
        <v>3552</v>
      </c>
      <c r="O515" s="29" t="s">
        <v>2441</v>
      </c>
    </row>
    <row r="516" spans="2:15" ht="20.100000000000001" customHeight="1" x14ac:dyDescent="0.25">
      <c r="B516" s="7" t="s">
        <v>579</v>
      </c>
      <c r="C516" s="7" t="str">
        <f>IF(Entity[[#This Row],[Link]]="","",HYPERLINK(HTMLDokuPath&amp;Entity[[#This Row],[Link]],"Doku"))</f>
        <v>Doku</v>
      </c>
      <c r="D516" s="6">
        <v>34</v>
      </c>
      <c r="E516" s="20" t="str">
        <f>IFERROR(IF(VLOOKUP(Entity[ID-Modul],Modul[],3,FALSE)=0,VLOOKUP(Entity[ID-Modul],Modul[],2,FALSE),VLOOKUP(Entity[ID-Modul],Modul[],3,FALSE)),"unbekannt")</f>
        <v>IfcSharedBldgElements</v>
      </c>
      <c r="F516" s="21" t="b">
        <v>1</v>
      </c>
      <c r="G516" s="21" t="b">
        <v>0</v>
      </c>
      <c r="H516" s="22" t="s">
        <v>1142</v>
      </c>
      <c r="I516" s="19">
        <f>LEN(Entity[[#This Row],[IFC-Name]])</f>
        <v>24</v>
      </c>
      <c r="J516" s="7" t="s">
        <v>579</v>
      </c>
      <c r="K516" s="19">
        <f>LEN(Entity[[#This Row],[Klassen-Name]])</f>
        <v>24</v>
      </c>
      <c r="L516" s="7"/>
      <c r="M516" s="19" t="b">
        <f>IF(NOT(Entity[[#This Row],[Supertype]]),TRUE,AND(Entity[[#This Row],[Supertype]],Entity[[#This Row],[Subtype]]))</f>
        <v>1</v>
      </c>
      <c r="N516" s="28" t="s">
        <v>3553</v>
      </c>
      <c r="O516" s="29" t="s">
        <v>2442</v>
      </c>
    </row>
    <row r="517" spans="2:15" ht="20.100000000000001" customHeight="1" x14ac:dyDescent="0.25">
      <c r="B517" s="7" t="s">
        <v>580</v>
      </c>
      <c r="C517" s="7" t="str">
        <f>IF(Entity[[#This Row],[Link]]="","",HYPERLINK(HTMLDokuPath&amp;Entity[[#This Row],[Link]],"Doku"))</f>
        <v>Doku</v>
      </c>
      <c r="D517" s="6">
        <v>34</v>
      </c>
      <c r="E517" s="20" t="str">
        <f>IFERROR(IF(VLOOKUP(Entity[ID-Modul],Modul[],3,FALSE)=0,VLOOKUP(Entity[ID-Modul],Modul[],2,FALSE),VLOOKUP(Entity[ID-Modul],Modul[],3,FALSE)),"unbekannt")</f>
        <v>IfcSharedBldgElements</v>
      </c>
      <c r="F517" s="21" t="b">
        <v>1</v>
      </c>
      <c r="G517" s="21" t="b">
        <v>0</v>
      </c>
      <c r="H517" s="22" t="s">
        <v>1143</v>
      </c>
      <c r="I517" s="19">
        <f>LEN(Entity[[#This Row],[IFC-Name]])</f>
        <v>14</v>
      </c>
      <c r="J517" s="7" t="s">
        <v>580</v>
      </c>
      <c r="K517" s="19">
        <f>LEN(Entity[[#This Row],[Klassen-Name]])</f>
        <v>14</v>
      </c>
      <c r="L517" s="7"/>
      <c r="M517" s="19" t="b">
        <f>IF(NOT(Entity[[#This Row],[Supertype]]),TRUE,AND(Entity[[#This Row],[Supertype]],Entity[[#This Row],[Subtype]]))</f>
        <v>1</v>
      </c>
      <c r="N517" s="28" t="s">
        <v>3554</v>
      </c>
      <c r="O517" s="29" t="s">
        <v>2443</v>
      </c>
    </row>
    <row r="518" spans="2:15" ht="20.100000000000001" customHeight="1" x14ac:dyDescent="0.25">
      <c r="B518" s="7" t="s">
        <v>136</v>
      </c>
      <c r="C518" s="7" t="str">
        <f>IF(Entity[[#This Row],[Link]]="","",HYPERLINK(HTMLDokuPath&amp;Entity[[#This Row],[Link]],"Doku"))</f>
        <v>Doku</v>
      </c>
      <c r="D518" s="6">
        <v>35</v>
      </c>
      <c r="E518" s="20" t="str">
        <f>IFERROR(IF(VLOOKUP(Entity[ID-Modul],Modul[],3,FALSE)=0,VLOOKUP(Entity[ID-Modul],Modul[],2,FALSE),VLOOKUP(Entity[ID-Modul],Modul[],3,FALSE)),"unbekannt")</f>
        <v>IfcSharedBldgServiceElements</v>
      </c>
      <c r="F518" s="21" t="b">
        <v>1</v>
      </c>
      <c r="G518" s="21" t="b">
        <v>0</v>
      </c>
      <c r="H518" s="22" t="s">
        <v>782</v>
      </c>
      <c r="I518" s="19">
        <f>LEN(Entity[[#This Row],[IFC-Name]])</f>
        <v>29</v>
      </c>
      <c r="J518" s="7" t="s">
        <v>136</v>
      </c>
      <c r="K518" s="19">
        <f>LEN(Entity[[#This Row],[Klassen-Name]])</f>
        <v>29</v>
      </c>
      <c r="L518" s="7"/>
      <c r="M518" s="19" t="b">
        <f>IF(NOT(Entity[[#This Row],[Supertype]]),TRUE,AND(Entity[[#This Row],[Supertype]],Entity[[#This Row],[Subtype]]))</f>
        <v>1</v>
      </c>
      <c r="N518" s="28" t="s">
        <v>3063</v>
      </c>
      <c r="O518" s="29" t="s">
        <v>1952</v>
      </c>
    </row>
    <row r="519" spans="2:15" ht="20.100000000000001" customHeight="1" x14ac:dyDescent="0.25">
      <c r="B519" s="7" t="s">
        <v>137</v>
      </c>
      <c r="C519" s="7" t="str">
        <f>IF(Entity[[#This Row],[Link]]="","",HYPERLINK(HTMLDokuPath&amp;Entity[[#This Row],[Link]],"Doku"))</f>
        <v>Doku</v>
      </c>
      <c r="D519" s="6">
        <v>35</v>
      </c>
      <c r="E519" s="20" t="str">
        <f>IFERROR(IF(VLOOKUP(Entity[ID-Modul],Modul[],3,FALSE)=0,VLOOKUP(Entity[ID-Modul],Modul[],2,FALSE),VLOOKUP(Entity[ID-Modul],Modul[],3,FALSE)),"unbekannt")</f>
        <v>IfcSharedBldgServiceElements</v>
      </c>
      <c r="F519" s="21" t="b">
        <v>1</v>
      </c>
      <c r="G519" s="21" t="b">
        <v>0</v>
      </c>
      <c r="H519" s="22" t="s">
        <v>783</v>
      </c>
      <c r="I519" s="19">
        <f>LEN(Entity[[#This Row],[IFC-Name]])</f>
        <v>33</v>
      </c>
      <c r="J519" s="1" t="s">
        <v>2893</v>
      </c>
      <c r="K519" s="19">
        <f>LEN(Entity[[#This Row],[Klassen-Name]])</f>
        <v>30</v>
      </c>
      <c r="L519" s="7"/>
      <c r="M519" s="19" t="b">
        <f>IF(NOT(Entity[[#This Row],[Supertype]]),TRUE,AND(Entity[[#This Row],[Supertype]],Entity[[#This Row],[Subtype]]))</f>
        <v>1</v>
      </c>
      <c r="N519" s="28" t="s">
        <v>3064</v>
      </c>
      <c r="O519" s="29" t="s">
        <v>1953</v>
      </c>
    </row>
    <row r="520" spans="2:15" ht="20.100000000000001" customHeight="1" x14ac:dyDescent="0.25">
      <c r="B520" s="7" t="s">
        <v>138</v>
      </c>
      <c r="C520" s="7" t="str">
        <f>IF(Entity[[#This Row],[Link]]="","",HYPERLINK(HTMLDokuPath&amp;Entity[[#This Row],[Link]],"Doku"))</f>
        <v>Doku</v>
      </c>
      <c r="D520" s="6">
        <v>35</v>
      </c>
      <c r="E520" s="20" t="str">
        <f>IFERROR(IF(VLOOKUP(Entity[ID-Modul],Modul[],3,FALSE)=0,VLOOKUP(Entity[ID-Modul],Modul[],2,FALSE),VLOOKUP(Entity[ID-Modul],Modul[],3,FALSE)),"unbekannt")</f>
        <v>IfcSharedBldgServiceElements</v>
      </c>
      <c r="F520" s="21" t="b">
        <v>1</v>
      </c>
      <c r="G520" s="21" t="b">
        <v>0</v>
      </c>
      <c r="H520" s="22" t="s">
        <v>784</v>
      </c>
      <c r="I520" s="19">
        <f>LEN(Entity[[#This Row],[IFC-Name]])</f>
        <v>29</v>
      </c>
      <c r="J520" s="7" t="s">
        <v>138</v>
      </c>
      <c r="K520" s="19">
        <f>LEN(Entity[[#This Row],[Klassen-Name]])</f>
        <v>29</v>
      </c>
      <c r="L520" s="7"/>
      <c r="M520" s="19" t="b">
        <f>IF(NOT(Entity[[#This Row],[Supertype]]),TRUE,AND(Entity[[#This Row],[Supertype]],Entity[[#This Row],[Subtype]]))</f>
        <v>1</v>
      </c>
      <c r="N520" s="28" t="s">
        <v>3065</v>
      </c>
      <c r="O520" s="29" t="s">
        <v>1954</v>
      </c>
    </row>
    <row r="521" spans="2:15" ht="20.100000000000001" customHeight="1" x14ac:dyDescent="0.25">
      <c r="B521" s="7" t="s">
        <v>139</v>
      </c>
      <c r="C521" s="7" t="str">
        <f>IF(Entity[[#This Row],[Link]]="","",HYPERLINK(HTMLDokuPath&amp;Entity[[#This Row],[Link]],"Doku"))</f>
        <v>Doku</v>
      </c>
      <c r="D521" s="6">
        <v>35</v>
      </c>
      <c r="E521" s="20" t="str">
        <f>IFERROR(IF(VLOOKUP(Entity[ID-Modul],Modul[],3,FALSE)=0,VLOOKUP(Entity[ID-Modul],Modul[],2,FALSE),VLOOKUP(Entity[ID-Modul],Modul[],3,FALSE)),"unbekannt")</f>
        <v>IfcSharedBldgServiceElements</v>
      </c>
      <c r="F521" s="21" t="b">
        <v>1</v>
      </c>
      <c r="G521" s="21" t="b">
        <v>1</v>
      </c>
      <c r="H521" s="22" t="s">
        <v>1326</v>
      </c>
      <c r="I521" s="19">
        <f>LEN(Entity[[#This Row],[IFC-Name]])</f>
        <v>33</v>
      </c>
      <c r="J521" s="1" t="s">
        <v>2894</v>
      </c>
      <c r="K521" s="19">
        <f>LEN(Entity[[#This Row],[Klassen-Name]])</f>
        <v>30</v>
      </c>
      <c r="L521" s="7"/>
      <c r="M521" s="19" t="b">
        <f>IF(NOT(Entity[[#This Row],[Supertype]]),TRUE,AND(Entity[[#This Row],[Supertype]],Entity[[#This Row],[Subtype]]))</f>
        <v>1</v>
      </c>
      <c r="N521" s="28" t="s">
        <v>3066</v>
      </c>
      <c r="O521" s="29" t="s">
        <v>1955</v>
      </c>
    </row>
    <row r="522" spans="2:15" ht="20.100000000000001" customHeight="1" x14ac:dyDescent="0.25">
      <c r="B522" s="7" t="s">
        <v>142</v>
      </c>
      <c r="C522" s="7" t="str">
        <f>IF(Entity[[#This Row],[Link]]="","",HYPERLINK(HTMLDokuPath&amp;Entity[[#This Row],[Link]],"Doku"))</f>
        <v>Doku</v>
      </c>
      <c r="D522" s="6">
        <v>35</v>
      </c>
      <c r="E522" s="20" t="str">
        <f>IFERROR(IF(VLOOKUP(Entity[ID-Modul],Modul[],3,FALSE)=0,VLOOKUP(Entity[ID-Modul],Modul[],2,FALSE),VLOOKUP(Entity[ID-Modul],Modul[],3,FALSE)),"unbekannt")</f>
        <v>IfcSharedBldgServiceElements</v>
      </c>
      <c r="F522" s="21" t="b">
        <v>1</v>
      </c>
      <c r="G522" s="21" t="b">
        <v>1</v>
      </c>
      <c r="H522" s="22" t="s">
        <v>1329</v>
      </c>
      <c r="I522" s="19">
        <f>LEN(Entity[[#This Row],[IFC-Name]])</f>
        <v>26</v>
      </c>
      <c r="J522" s="7" t="s">
        <v>142</v>
      </c>
      <c r="K522" s="19">
        <f>LEN(Entity[[#This Row],[Klassen-Name]])</f>
        <v>26</v>
      </c>
      <c r="L522" s="7"/>
      <c r="M522" s="19" t="b">
        <f>IF(NOT(Entity[[#This Row],[Supertype]]),TRUE,AND(Entity[[#This Row],[Supertype]],Entity[[#This Row],[Subtype]]))</f>
        <v>1</v>
      </c>
      <c r="N522" s="28" t="s">
        <v>3069</v>
      </c>
      <c r="O522" s="29" t="s">
        <v>1958</v>
      </c>
    </row>
    <row r="523" spans="2:15" ht="20.100000000000001" customHeight="1" x14ac:dyDescent="0.25">
      <c r="B523" s="7" t="s">
        <v>143</v>
      </c>
      <c r="C523" s="7" t="str">
        <f>IF(Entity[[#This Row],[Link]]="","",HYPERLINK(HTMLDokuPath&amp;Entity[[#This Row],[Link]],"Doku"))</f>
        <v>Doku</v>
      </c>
      <c r="D523" s="6">
        <v>35</v>
      </c>
      <c r="E523" s="20" t="str">
        <f>IFERROR(IF(VLOOKUP(Entity[ID-Modul],Modul[],3,FALSE)=0,VLOOKUP(Entity[ID-Modul],Modul[],2,FALSE),VLOOKUP(Entity[ID-Modul],Modul[],3,FALSE)),"unbekannt")</f>
        <v>IfcSharedBldgServiceElements</v>
      </c>
      <c r="F523" s="21" t="b">
        <v>1</v>
      </c>
      <c r="G523" s="21" t="b">
        <v>1</v>
      </c>
      <c r="H523" s="22" t="s">
        <v>1330</v>
      </c>
      <c r="I523" s="19">
        <f>LEN(Entity[[#This Row],[IFC-Name]])</f>
        <v>30</v>
      </c>
      <c r="J523" s="7" t="s">
        <v>143</v>
      </c>
      <c r="K523" s="19">
        <f>LEN(Entity[[#This Row],[Klassen-Name]])</f>
        <v>30</v>
      </c>
      <c r="L523" s="7"/>
      <c r="M523" s="19" t="b">
        <f>IF(NOT(Entity[[#This Row],[Supertype]]),TRUE,AND(Entity[[#This Row],[Supertype]],Entity[[#This Row],[Subtype]]))</f>
        <v>1</v>
      </c>
      <c r="N523" s="28" t="s">
        <v>3070</v>
      </c>
      <c r="O523" s="29" t="s">
        <v>1959</v>
      </c>
    </row>
    <row r="524" spans="2:15" ht="20.100000000000001" customHeight="1" x14ac:dyDescent="0.25">
      <c r="B524" s="7" t="s">
        <v>144</v>
      </c>
      <c r="C524" s="7" t="str">
        <f>IF(Entity[[#This Row],[Link]]="","",HYPERLINK(HTMLDokuPath&amp;Entity[[#This Row],[Link]],"Doku"))</f>
        <v>Doku</v>
      </c>
      <c r="D524" s="6">
        <v>35</v>
      </c>
      <c r="E524" s="20" t="str">
        <f>IFERROR(IF(VLOOKUP(Entity[ID-Modul],Modul[],3,FALSE)=0,VLOOKUP(Entity[ID-Modul],Modul[],2,FALSE),VLOOKUP(Entity[ID-Modul],Modul[],3,FALSE)),"unbekannt")</f>
        <v>IfcSharedBldgServiceElements</v>
      </c>
      <c r="F524" s="21" t="b">
        <v>1</v>
      </c>
      <c r="G524" s="21" t="b">
        <v>0</v>
      </c>
      <c r="H524" s="22" t="s">
        <v>785</v>
      </c>
      <c r="I524" s="19">
        <f>LEN(Entity[[#This Row],[IFC-Name]])</f>
        <v>19</v>
      </c>
      <c r="J524" s="7" t="s">
        <v>144</v>
      </c>
      <c r="K524" s="19">
        <f>LEN(Entity[[#This Row],[Klassen-Name]])</f>
        <v>19</v>
      </c>
      <c r="L524" s="7"/>
      <c r="M524" s="19" t="b">
        <f>IF(NOT(Entity[[#This Row],[Supertype]]),TRUE,AND(Entity[[#This Row],[Supertype]],Entity[[#This Row],[Subtype]]))</f>
        <v>1</v>
      </c>
      <c r="N524" s="28" t="s">
        <v>3071</v>
      </c>
      <c r="O524" s="29" t="s">
        <v>1960</v>
      </c>
    </row>
    <row r="525" spans="2:15" ht="20.100000000000001" customHeight="1" x14ac:dyDescent="0.25">
      <c r="B525" s="7" t="s">
        <v>169</v>
      </c>
      <c r="C525" s="7" t="str">
        <f>IF(Entity[[#This Row],[Link]]="","",HYPERLINK(HTMLDokuPath&amp;Entity[[#This Row],[Link]],"Doku"))</f>
        <v>Doku</v>
      </c>
      <c r="D525" s="6">
        <v>35</v>
      </c>
      <c r="E525" s="20" t="str">
        <f>IFERROR(IF(VLOOKUP(Entity[ID-Modul],Modul[],3,FALSE)=0,VLOOKUP(Entity[ID-Modul],Modul[],2,FALSE),VLOOKUP(Entity[ID-Modul],Modul[],3,FALSE)),"unbekannt")</f>
        <v>IfcSharedBldgServiceElements</v>
      </c>
      <c r="F525" s="21" t="b">
        <v>1</v>
      </c>
      <c r="G525" s="21" t="b">
        <v>0</v>
      </c>
      <c r="H525" s="22" t="s">
        <v>809</v>
      </c>
      <c r="I525" s="19">
        <f>LEN(Entity[[#This Row],[IFC-Name]])</f>
        <v>27</v>
      </c>
      <c r="J525" s="7" t="s">
        <v>169</v>
      </c>
      <c r="K525" s="19">
        <f>LEN(Entity[[#This Row],[Klassen-Name]])</f>
        <v>27</v>
      </c>
      <c r="L525" s="7"/>
      <c r="M525" s="19" t="b">
        <f>IF(NOT(Entity[[#This Row],[Supertype]]),TRUE,AND(Entity[[#This Row],[Supertype]],Entity[[#This Row],[Subtype]]))</f>
        <v>1</v>
      </c>
      <c r="N525" s="28" t="s">
        <v>3092</v>
      </c>
      <c r="O525" s="29" t="s">
        <v>1988</v>
      </c>
    </row>
    <row r="526" spans="2:15" ht="20.100000000000001" customHeight="1" x14ac:dyDescent="0.25">
      <c r="B526" s="7" t="s">
        <v>181</v>
      </c>
      <c r="C526" s="7" t="str">
        <f>IF(Entity[[#This Row],[Link]]="","",HYPERLINK(HTMLDokuPath&amp;Entity[[#This Row],[Link]],"Doku"))</f>
        <v>Doku</v>
      </c>
      <c r="D526" s="6">
        <v>35</v>
      </c>
      <c r="E526" s="20" t="str">
        <f>IFERROR(IF(VLOOKUP(Entity[ID-Modul],Modul[],3,FALSE)=0,VLOOKUP(Entity[ID-Modul],Modul[],2,FALSE),VLOOKUP(Entity[ID-Modul],Modul[],3,FALSE)),"unbekannt")</f>
        <v>IfcSharedBldgServiceElements</v>
      </c>
      <c r="F526" s="21" t="b">
        <v>1</v>
      </c>
      <c r="G526" s="21" t="b">
        <v>0</v>
      </c>
      <c r="H526" s="22" t="s">
        <v>816</v>
      </c>
      <c r="I526" s="19">
        <f>LEN(Entity[[#This Row],[IFC-Name]])</f>
        <v>25</v>
      </c>
      <c r="J526" s="7" t="s">
        <v>181</v>
      </c>
      <c r="K526" s="19">
        <f>LEN(Entity[[#This Row],[Klassen-Name]])</f>
        <v>25</v>
      </c>
      <c r="L526" s="7"/>
      <c r="M526" s="19" t="b">
        <f>IF(NOT(Entity[[#This Row],[Supertype]]),TRUE,AND(Entity[[#This Row],[Supertype]],Entity[[#This Row],[Subtype]]))</f>
        <v>1</v>
      </c>
      <c r="N526" s="28" t="s">
        <v>3111</v>
      </c>
      <c r="O526" s="29" t="s">
        <v>2000</v>
      </c>
    </row>
    <row r="527" spans="2:15" ht="20.100000000000001" customHeight="1" x14ac:dyDescent="0.25">
      <c r="B527" s="7" t="s">
        <v>182</v>
      </c>
      <c r="C527" s="7" t="str">
        <f>IF(Entity[[#This Row],[Link]]="","",HYPERLINK(HTMLDokuPath&amp;Entity[[#This Row],[Link]],"Doku"))</f>
        <v>Doku</v>
      </c>
      <c r="D527" s="6">
        <v>35</v>
      </c>
      <c r="E527" s="20" t="str">
        <f>IFERROR(IF(VLOOKUP(Entity[ID-Modul],Modul[],3,FALSE)=0,VLOOKUP(Entity[ID-Modul],Modul[],2,FALSE),VLOOKUP(Entity[ID-Modul],Modul[],3,FALSE)),"unbekannt")</f>
        <v>IfcSharedBldgServiceElements</v>
      </c>
      <c r="F527" s="21" t="b">
        <v>1</v>
      </c>
      <c r="G527" s="21" t="b">
        <v>1</v>
      </c>
      <c r="H527" s="22" t="s">
        <v>1340</v>
      </c>
      <c r="I527" s="19">
        <f>LEN(Entity[[#This Row],[IFC-Name]])</f>
        <v>29</v>
      </c>
      <c r="J527" s="7" t="s">
        <v>182</v>
      </c>
      <c r="K527" s="19">
        <f>LEN(Entity[[#This Row],[Klassen-Name]])</f>
        <v>29</v>
      </c>
      <c r="L527" s="7"/>
      <c r="M527" s="19" t="b">
        <f>IF(NOT(Entity[[#This Row],[Supertype]]),TRUE,AND(Entity[[#This Row],[Supertype]],Entity[[#This Row],[Subtype]]))</f>
        <v>1</v>
      </c>
      <c r="N527" s="28" t="s">
        <v>3112</v>
      </c>
      <c r="O527" s="29" t="s">
        <v>2001</v>
      </c>
    </row>
    <row r="528" spans="2:15" ht="20.100000000000001" customHeight="1" x14ac:dyDescent="0.25">
      <c r="B528" s="7" t="s">
        <v>183</v>
      </c>
      <c r="C528" s="7" t="str">
        <f>IF(Entity[[#This Row],[Link]]="","",HYPERLINK(HTMLDokuPath&amp;Entity[[#This Row],[Link]],"Doku"))</f>
        <v>Doku</v>
      </c>
      <c r="D528" s="6">
        <v>35</v>
      </c>
      <c r="E528" s="20" t="str">
        <f>IFERROR(IF(VLOOKUP(Entity[ID-Modul],Modul[],3,FALSE)=0,VLOOKUP(Entity[ID-Modul],Modul[],2,FALSE),VLOOKUP(Entity[ID-Modul],Modul[],3,FALSE)),"unbekannt")</f>
        <v>IfcSharedBldgServiceElements</v>
      </c>
      <c r="F528" s="21" t="b">
        <v>1</v>
      </c>
      <c r="G528" s="21" t="b">
        <v>1</v>
      </c>
      <c r="H528" s="22" t="s">
        <v>1341</v>
      </c>
      <c r="I528" s="19">
        <f>LEN(Entity[[#This Row],[IFC-Name]])</f>
        <v>19</v>
      </c>
      <c r="J528" s="7" t="s">
        <v>183</v>
      </c>
      <c r="K528" s="19">
        <f>LEN(Entity[[#This Row],[Klassen-Name]])</f>
        <v>19</v>
      </c>
      <c r="L528" s="7"/>
      <c r="M528" s="19" t="b">
        <f>IF(NOT(Entity[[#This Row],[Supertype]]),TRUE,AND(Entity[[#This Row],[Supertype]],Entity[[#This Row],[Subtype]]))</f>
        <v>1</v>
      </c>
      <c r="N528" s="28" t="s">
        <v>3113</v>
      </c>
      <c r="O528" s="29" t="s">
        <v>2002</v>
      </c>
    </row>
    <row r="529" spans="2:15" ht="20.100000000000001" customHeight="1" x14ac:dyDescent="0.25">
      <c r="B529" s="7" t="s">
        <v>216</v>
      </c>
      <c r="C529" s="7" t="str">
        <f>IF(Entity[[#This Row],[Link]]="","",HYPERLINK(HTMLDokuPath&amp;Entity[[#This Row],[Link]],"Doku"))</f>
        <v>Doku</v>
      </c>
      <c r="D529" s="6">
        <v>35</v>
      </c>
      <c r="E529" s="20" t="str">
        <f>IFERROR(IF(VLOOKUP(Entity[ID-Modul],Modul[],3,FALSE)=0,VLOOKUP(Entity[ID-Modul],Modul[],2,FALSE),VLOOKUP(Entity[ID-Modul],Modul[],3,FALSE)),"unbekannt")</f>
        <v>IfcSharedBldgServiceElements</v>
      </c>
      <c r="F529" s="21" t="b">
        <v>1</v>
      </c>
      <c r="G529" s="21" t="b">
        <v>1</v>
      </c>
      <c r="H529" s="22" t="s">
        <v>1350</v>
      </c>
      <c r="I529" s="19">
        <f>LEN(Entity[[#This Row],[IFC-Name]])</f>
        <v>17</v>
      </c>
      <c r="J529" s="7" t="s">
        <v>216</v>
      </c>
      <c r="K529" s="19">
        <f>LEN(Entity[[#This Row],[Klassen-Name]])</f>
        <v>17</v>
      </c>
      <c r="L529" s="7"/>
      <c r="M529" s="19" t="b">
        <f>IF(NOT(Entity[[#This Row],[Supertype]]),TRUE,AND(Entity[[#This Row],[Supertype]],Entity[[#This Row],[Subtype]]))</f>
        <v>1</v>
      </c>
      <c r="N529" s="28" t="s">
        <v>3146</v>
      </c>
      <c r="O529" s="29" t="s">
        <v>2035</v>
      </c>
    </row>
    <row r="530" spans="2:15" ht="20.100000000000001" customHeight="1" x14ac:dyDescent="0.25">
      <c r="B530" s="7" t="s">
        <v>217</v>
      </c>
      <c r="C530" s="7" t="str">
        <f>IF(Entity[[#This Row],[Link]]="","",HYPERLINK(HTMLDokuPath&amp;Entity[[#This Row],[Link]],"Doku"))</f>
        <v>Doku</v>
      </c>
      <c r="D530" s="6">
        <v>35</v>
      </c>
      <c r="E530" s="20" t="str">
        <f>IFERROR(IF(VLOOKUP(Entity[ID-Modul],Modul[],3,FALSE)=0,VLOOKUP(Entity[ID-Modul],Modul[],2,FALSE),VLOOKUP(Entity[ID-Modul],Modul[],3,FALSE)),"unbekannt")</f>
        <v>IfcSharedBldgServiceElements</v>
      </c>
      <c r="F530" s="21" t="b">
        <v>1</v>
      </c>
      <c r="G530" s="21" t="b">
        <v>1</v>
      </c>
      <c r="H530" s="22" t="s">
        <v>1351</v>
      </c>
      <c r="I530" s="19">
        <f>LEN(Entity[[#This Row],[IFC-Name]])</f>
        <v>21</v>
      </c>
      <c r="J530" s="7" t="s">
        <v>217</v>
      </c>
      <c r="K530" s="19">
        <f>LEN(Entity[[#This Row],[Klassen-Name]])</f>
        <v>21</v>
      </c>
      <c r="L530" s="7"/>
      <c r="M530" s="19" t="b">
        <f>IF(NOT(Entity[[#This Row],[Supertype]]),TRUE,AND(Entity[[#This Row],[Supertype]],Entity[[#This Row],[Subtype]]))</f>
        <v>1</v>
      </c>
      <c r="N530" s="28" t="s">
        <v>3147</v>
      </c>
      <c r="O530" s="29" t="s">
        <v>2036</v>
      </c>
    </row>
    <row r="531" spans="2:15" ht="20.100000000000001" customHeight="1" x14ac:dyDescent="0.25">
      <c r="B531" s="7" t="s">
        <v>218</v>
      </c>
      <c r="C531" s="7" t="str">
        <f>IF(Entity[[#This Row],[Link]]="","",HYPERLINK(HTMLDokuPath&amp;Entity[[#This Row],[Link]],"Doku"))</f>
        <v>Doku</v>
      </c>
      <c r="D531" s="6">
        <v>35</v>
      </c>
      <c r="E531" s="20" t="str">
        <f>IFERROR(IF(VLOOKUP(Entity[ID-Modul],Modul[],3,FALSE)=0,VLOOKUP(Entity[ID-Modul],Modul[],2,FALSE),VLOOKUP(Entity[ID-Modul],Modul[],3,FALSE)),"unbekannt")</f>
        <v>IfcSharedBldgServiceElements</v>
      </c>
      <c r="F531" s="21" t="b">
        <v>1</v>
      </c>
      <c r="G531" s="21" t="b">
        <v>0</v>
      </c>
      <c r="H531" s="22" t="s">
        <v>841</v>
      </c>
      <c r="I531" s="19">
        <f>LEN(Entity[[#This Row],[IFC-Name]])</f>
        <v>14</v>
      </c>
      <c r="J531" s="7" t="s">
        <v>218</v>
      </c>
      <c r="K531" s="19">
        <f>LEN(Entity[[#This Row],[Klassen-Name]])</f>
        <v>14</v>
      </c>
      <c r="L531" s="7"/>
      <c r="M531" s="19" t="b">
        <f>IF(NOT(Entity[[#This Row],[Supertype]]),TRUE,AND(Entity[[#This Row],[Supertype]],Entity[[#This Row],[Subtype]]))</f>
        <v>1</v>
      </c>
      <c r="N531" s="28" t="s">
        <v>3148</v>
      </c>
      <c r="O531" s="29" t="s">
        <v>2037</v>
      </c>
    </row>
    <row r="532" spans="2:15" ht="20.100000000000001" customHeight="1" x14ac:dyDescent="0.25">
      <c r="B532" s="7" t="s">
        <v>219</v>
      </c>
      <c r="C532" s="7" t="str">
        <f>IF(Entity[[#This Row],[Link]]="","",HYPERLINK(HTMLDokuPath&amp;Entity[[#This Row],[Link]],"Doku"))</f>
        <v>Doku</v>
      </c>
      <c r="D532" s="6">
        <v>35</v>
      </c>
      <c r="E532" s="20" t="str">
        <f>IFERROR(IF(VLOOKUP(Entity[ID-Modul],Modul[],3,FALSE)=0,VLOOKUP(Entity[ID-Modul],Modul[],2,FALSE),VLOOKUP(Entity[ID-Modul],Modul[],3,FALSE)),"unbekannt")</f>
        <v>IfcSharedBldgServiceElements</v>
      </c>
      <c r="F532" s="21" t="b">
        <v>1</v>
      </c>
      <c r="G532" s="21" t="b">
        <v>1</v>
      </c>
      <c r="H532" s="22" t="s">
        <v>1352</v>
      </c>
      <c r="I532" s="19">
        <f>LEN(Entity[[#This Row],[IFC-Name]])</f>
        <v>18</v>
      </c>
      <c r="J532" s="7" t="s">
        <v>219</v>
      </c>
      <c r="K532" s="19">
        <f>LEN(Entity[[#This Row],[Klassen-Name]])</f>
        <v>18</v>
      </c>
      <c r="L532" s="7"/>
      <c r="M532" s="19" t="b">
        <f>IF(NOT(Entity[[#This Row],[Supertype]]),TRUE,AND(Entity[[#This Row],[Supertype]],Entity[[#This Row],[Subtype]]))</f>
        <v>1</v>
      </c>
      <c r="N532" s="28" t="s">
        <v>3149</v>
      </c>
      <c r="O532" s="29" t="s">
        <v>2038</v>
      </c>
    </row>
    <row r="533" spans="2:15" ht="20.100000000000001" customHeight="1" x14ac:dyDescent="0.25">
      <c r="B533" s="7" t="s">
        <v>222</v>
      </c>
      <c r="C533" s="7" t="str">
        <f>IF(Entity[[#This Row],[Link]]="","",HYPERLINK(HTMLDokuPath&amp;Entity[[#This Row],[Link]],"Doku"))</f>
        <v>Doku</v>
      </c>
      <c r="D533" s="6">
        <v>35</v>
      </c>
      <c r="E533" s="20" t="str">
        <f>IFERROR(IF(VLOOKUP(Entity[ID-Modul],Modul[],3,FALSE)=0,VLOOKUP(Entity[ID-Modul],Modul[],2,FALSE),VLOOKUP(Entity[ID-Modul],Modul[],3,FALSE)),"unbekannt")</f>
        <v>IfcSharedBldgServiceElements</v>
      </c>
      <c r="F533" s="21" t="b">
        <v>1</v>
      </c>
      <c r="G533" s="21" t="b">
        <v>0</v>
      </c>
      <c r="H533" s="22" t="s">
        <v>844</v>
      </c>
      <c r="I533" s="19">
        <f>LEN(Entity[[#This Row],[IFC-Name]])</f>
        <v>19</v>
      </c>
      <c r="J533" s="7" t="s">
        <v>222</v>
      </c>
      <c r="K533" s="19">
        <f>LEN(Entity[[#This Row],[Klassen-Name]])</f>
        <v>19</v>
      </c>
      <c r="L533" s="7"/>
      <c r="M533" s="19" t="b">
        <f>IF(NOT(Entity[[#This Row],[Supertype]]),TRUE,AND(Entity[[#This Row],[Supertype]],Entity[[#This Row],[Subtype]]))</f>
        <v>1</v>
      </c>
      <c r="N533" s="28" t="s">
        <v>3152</v>
      </c>
      <c r="O533" s="29" t="s">
        <v>2041</v>
      </c>
    </row>
    <row r="534" spans="2:15" ht="20.100000000000001" customHeight="1" x14ac:dyDescent="0.25">
      <c r="B534" s="7" t="s">
        <v>223</v>
      </c>
      <c r="C534" s="7" t="str">
        <f>IF(Entity[[#This Row],[Link]]="","",HYPERLINK(HTMLDokuPath&amp;Entity[[#This Row],[Link]],"Doku"))</f>
        <v>Doku</v>
      </c>
      <c r="D534" s="6">
        <v>35</v>
      </c>
      <c r="E534" s="20" t="str">
        <f>IFERROR(IF(VLOOKUP(Entity[ID-Modul],Modul[],3,FALSE)=0,VLOOKUP(Entity[ID-Modul],Modul[],2,FALSE),VLOOKUP(Entity[ID-Modul],Modul[],3,FALSE)),"unbekannt")</f>
        <v>IfcSharedBldgServiceElements</v>
      </c>
      <c r="F534" s="21" t="b">
        <v>1</v>
      </c>
      <c r="G534" s="21" t="b">
        <v>1</v>
      </c>
      <c r="H534" s="22" t="s">
        <v>1353</v>
      </c>
      <c r="I534" s="19">
        <f>LEN(Entity[[#This Row],[IFC-Name]])</f>
        <v>23</v>
      </c>
      <c r="J534" s="7" t="s">
        <v>223</v>
      </c>
      <c r="K534" s="19">
        <f>LEN(Entity[[#This Row],[Klassen-Name]])</f>
        <v>23</v>
      </c>
      <c r="L534" s="7"/>
      <c r="M534" s="19" t="b">
        <f>IF(NOT(Entity[[#This Row],[Supertype]]),TRUE,AND(Entity[[#This Row],[Supertype]],Entity[[#This Row],[Subtype]]))</f>
        <v>1</v>
      </c>
      <c r="N534" s="28" t="s">
        <v>3153</v>
      </c>
      <c r="O534" s="29" t="s">
        <v>2042</v>
      </c>
    </row>
    <row r="535" spans="2:15" ht="20.100000000000001" customHeight="1" x14ac:dyDescent="0.25">
      <c r="B535" s="7" t="s">
        <v>224</v>
      </c>
      <c r="C535" s="7" t="str">
        <f>IF(Entity[[#This Row],[Link]]="","",HYPERLINK(HTMLDokuPath&amp;Entity[[#This Row],[Link]],"Doku"))</f>
        <v>Doku</v>
      </c>
      <c r="D535" s="6">
        <v>35</v>
      </c>
      <c r="E535" s="20" t="str">
        <f>IFERROR(IF(VLOOKUP(Entity[ID-Modul],Modul[],3,FALSE)=0,VLOOKUP(Entity[ID-Modul],Modul[],2,FALSE),VLOOKUP(Entity[ID-Modul],Modul[],3,FALSE)),"unbekannt")</f>
        <v>IfcSharedBldgServiceElements</v>
      </c>
      <c r="F535" s="21" t="b">
        <v>1</v>
      </c>
      <c r="G535" s="21" t="b">
        <v>0</v>
      </c>
      <c r="H535" s="22" t="s">
        <v>845</v>
      </c>
      <c r="I535" s="19">
        <f>LEN(Entity[[#This Row],[IFC-Name]])</f>
        <v>14</v>
      </c>
      <c r="J535" s="7" t="s">
        <v>224</v>
      </c>
      <c r="K535" s="19">
        <f>LEN(Entity[[#This Row],[Klassen-Name]])</f>
        <v>14</v>
      </c>
      <c r="L535" s="7"/>
      <c r="M535" s="19" t="b">
        <f>IF(NOT(Entity[[#This Row],[Supertype]]),TRUE,AND(Entity[[#This Row],[Supertype]],Entity[[#This Row],[Subtype]]))</f>
        <v>1</v>
      </c>
      <c r="N535" s="28" t="s">
        <v>3154</v>
      </c>
      <c r="O535" s="29" t="s">
        <v>2043</v>
      </c>
    </row>
    <row r="536" spans="2:15" ht="20.100000000000001" customHeight="1" x14ac:dyDescent="0.25">
      <c r="B536" s="7" t="s">
        <v>225</v>
      </c>
      <c r="C536" s="7" t="str">
        <f>IF(Entity[[#This Row],[Link]]="","",HYPERLINK(HTMLDokuPath&amp;Entity[[#This Row],[Link]],"Doku"))</f>
        <v>Doku</v>
      </c>
      <c r="D536" s="6">
        <v>35</v>
      </c>
      <c r="E536" s="20" t="str">
        <f>IFERROR(IF(VLOOKUP(Entity[ID-Modul],Modul[],3,FALSE)=0,VLOOKUP(Entity[ID-Modul],Modul[],2,FALSE),VLOOKUP(Entity[ID-Modul],Modul[],3,FALSE)),"unbekannt")</f>
        <v>IfcSharedBldgServiceElements</v>
      </c>
      <c r="F536" s="21" t="b">
        <v>1</v>
      </c>
      <c r="G536" s="21" t="b">
        <v>1</v>
      </c>
      <c r="H536" s="22" t="s">
        <v>1354</v>
      </c>
      <c r="I536" s="19">
        <f>LEN(Entity[[#This Row],[IFC-Name]])</f>
        <v>18</v>
      </c>
      <c r="J536" s="7" t="s">
        <v>225</v>
      </c>
      <c r="K536" s="19">
        <f>LEN(Entity[[#This Row],[Klassen-Name]])</f>
        <v>18</v>
      </c>
      <c r="L536" s="7"/>
      <c r="M536" s="19" t="b">
        <f>IF(NOT(Entity[[#This Row],[Supertype]]),TRUE,AND(Entity[[#This Row],[Supertype]],Entity[[#This Row],[Subtype]]))</f>
        <v>1</v>
      </c>
      <c r="N536" s="28" t="s">
        <v>3155</v>
      </c>
      <c r="O536" s="29" t="s">
        <v>2044</v>
      </c>
    </row>
    <row r="537" spans="2:15" ht="20.100000000000001" customHeight="1" x14ac:dyDescent="0.25">
      <c r="B537" s="7" t="s">
        <v>226</v>
      </c>
      <c r="C537" s="7" t="str">
        <f>IF(Entity[[#This Row],[Link]]="","",HYPERLINK(HTMLDokuPath&amp;Entity[[#This Row],[Link]],"Doku"))</f>
        <v>Doku</v>
      </c>
      <c r="D537" s="6">
        <v>35</v>
      </c>
      <c r="E537" s="20" t="str">
        <f>IFERROR(IF(VLOOKUP(Entity[ID-Modul],Modul[],3,FALSE)=0,VLOOKUP(Entity[ID-Modul],Modul[],2,FALSE),VLOOKUP(Entity[ID-Modul],Modul[],3,FALSE)),"unbekannt")</f>
        <v>IfcSharedBldgServiceElements</v>
      </c>
      <c r="F537" s="21" t="b">
        <v>1</v>
      </c>
      <c r="G537" s="21" t="b">
        <v>0</v>
      </c>
      <c r="H537" s="22" t="s">
        <v>846</v>
      </c>
      <c r="I537" s="19">
        <f>LEN(Entity[[#This Row],[IFC-Name]])</f>
        <v>20</v>
      </c>
      <c r="J537" s="7" t="s">
        <v>226</v>
      </c>
      <c r="K537" s="19">
        <f>LEN(Entity[[#This Row],[Klassen-Name]])</f>
        <v>20</v>
      </c>
      <c r="L537" s="7"/>
      <c r="M537" s="19" t="b">
        <f>IF(NOT(Entity[[#This Row],[Supertype]]),TRUE,AND(Entity[[#This Row],[Supertype]],Entity[[#This Row],[Subtype]]))</f>
        <v>1</v>
      </c>
      <c r="N537" s="28" t="s">
        <v>3156</v>
      </c>
      <c r="O537" s="29" t="s">
        <v>2045</v>
      </c>
    </row>
    <row r="538" spans="2:15" ht="20.100000000000001" customHeight="1" x14ac:dyDescent="0.25">
      <c r="B538" s="7" t="s">
        <v>227</v>
      </c>
      <c r="C538" s="7" t="str">
        <f>IF(Entity[[#This Row],[Link]]="","",HYPERLINK(HTMLDokuPath&amp;Entity[[#This Row],[Link]],"Doku"))</f>
        <v>Doku</v>
      </c>
      <c r="D538" s="6">
        <v>35</v>
      </c>
      <c r="E538" s="20" t="str">
        <f>IFERROR(IF(VLOOKUP(Entity[ID-Modul],Modul[],3,FALSE)=0,VLOOKUP(Entity[ID-Modul],Modul[],2,FALSE),VLOOKUP(Entity[ID-Modul],Modul[],3,FALSE)),"unbekannt")</f>
        <v>IfcSharedBldgServiceElements</v>
      </c>
      <c r="F538" s="21" t="b">
        <v>1</v>
      </c>
      <c r="G538" s="21" t="b">
        <v>1</v>
      </c>
      <c r="H538" s="22" t="s">
        <v>1355</v>
      </c>
      <c r="I538" s="19">
        <f>LEN(Entity[[#This Row],[IFC-Name]])</f>
        <v>24</v>
      </c>
      <c r="J538" s="7" t="s">
        <v>227</v>
      </c>
      <c r="K538" s="19">
        <f>LEN(Entity[[#This Row],[Klassen-Name]])</f>
        <v>24</v>
      </c>
      <c r="L538" s="7"/>
      <c r="M538" s="19" t="b">
        <f>IF(NOT(Entity[[#This Row],[Supertype]]),TRUE,AND(Entity[[#This Row],[Supertype]],Entity[[#This Row],[Subtype]]))</f>
        <v>1</v>
      </c>
      <c r="N538" s="28" t="s">
        <v>3157</v>
      </c>
      <c r="O538" s="29" t="s">
        <v>2046</v>
      </c>
    </row>
    <row r="539" spans="2:15" ht="20.100000000000001" customHeight="1" x14ac:dyDescent="0.25">
      <c r="B539" s="7" t="s">
        <v>228</v>
      </c>
      <c r="C539" s="7" t="str">
        <f>IF(Entity[[#This Row],[Link]]="","",HYPERLINK(HTMLDokuPath&amp;Entity[[#This Row],[Link]],"Doku"))</f>
        <v>Doku</v>
      </c>
      <c r="D539" s="6">
        <v>35</v>
      </c>
      <c r="E539" s="20" t="str">
        <f>IFERROR(IF(VLOOKUP(Entity[ID-Modul],Modul[],3,FALSE)=0,VLOOKUP(Entity[ID-Modul],Modul[],2,FALSE),VLOOKUP(Entity[ID-Modul],Modul[],3,FALSE)),"unbekannt")</f>
        <v>IfcSharedBldgServiceElements</v>
      </c>
      <c r="F539" s="21" t="b">
        <v>1</v>
      </c>
      <c r="G539" s="21" t="b">
        <v>0</v>
      </c>
      <c r="H539" s="22" t="s">
        <v>847</v>
      </c>
      <c r="I539" s="19">
        <f>LEN(Entity[[#This Row],[IFC-Name]])</f>
        <v>15</v>
      </c>
      <c r="J539" s="7" t="s">
        <v>228</v>
      </c>
      <c r="K539" s="19">
        <f>LEN(Entity[[#This Row],[Klassen-Name]])</f>
        <v>15</v>
      </c>
      <c r="L539" s="7"/>
      <c r="M539" s="19" t="b">
        <f>IF(NOT(Entity[[#This Row],[Supertype]]),TRUE,AND(Entity[[#This Row],[Supertype]],Entity[[#This Row],[Subtype]]))</f>
        <v>1</v>
      </c>
      <c r="N539" s="28" t="s">
        <v>3158</v>
      </c>
      <c r="O539" s="29" t="s">
        <v>2047</v>
      </c>
    </row>
    <row r="540" spans="2:15" ht="20.100000000000001" customHeight="1" x14ac:dyDescent="0.25">
      <c r="B540" s="7" t="s">
        <v>229</v>
      </c>
      <c r="C540" s="7" t="str">
        <f>IF(Entity[[#This Row],[Link]]="","",HYPERLINK(HTMLDokuPath&amp;Entity[[#This Row],[Link]],"Doku"))</f>
        <v>Doku</v>
      </c>
      <c r="D540" s="6">
        <v>35</v>
      </c>
      <c r="E540" s="20" t="str">
        <f>IFERROR(IF(VLOOKUP(Entity[ID-Modul],Modul[],3,FALSE)=0,VLOOKUP(Entity[ID-Modul],Modul[],2,FALSE),VLOOKUP(Entity[ID-Modul],Modul[],3,FALSE)),"unbekannt")</f>
        <v>IfcSharedBldgServiceElements</v>
      </c>
      <c r="F540" s="21" t="b">
        <v>1</v>
      </c>
      <c r="G540" s="21" t="b">
        <v>1</v>
      </c>
      <c r="H540" s="22" t="s">
        <v>1356</v>
      </c>
      <c r="I540" s="19">
        <f>LEN(Entity[[#This Row],[IFC-Name]])</f>
        <v>19</v>
      </c>
      <c r="J540" s="7" t="s">
        <v>229</v>
      </c>
      <c r="K540" s="19">
        <f>LEN(Entity[[#This Row],[Klassen-Name]])</f>
        <v>19</v>
      </c>
      <c r="L540" s="7"/>
      <c r="M540" s="19" t="b">
        <f>IF(NOT(Entity[[#This Row],[Supertype]]),TRUE,AND(Entity[[#This Row],[Supertype]],Entity[[#This Row],[Subtype]]))</f>
        <v>1</v>
      </c>
      <c r="N540" s="28" t="s">
        <v>3159</v>
      </c>
      <c r="O540" s="29" t="s">
        <v>2048</v>
      </c>
    </row>
    <row r="541" spans="2:15" ht="20.100000000000001" customHeight="1" x14ac:dyDescent="0.25">
      <c r="B541" s="7" t="s">
        <v>230</v>
      </c>
      <c r="C541" s="7" t="str">
        <f>IF(Entity[[#This Row],[Link]]="","",HYPERLINK(HTMLDokuPath&amp;Entity[[#This Row],[Link]],"Doku"))</f>
        <v>Doku</v>
      </c>
      <c r="D541" s="6">
        <v>35</v>
      </c>
      <c r="E541" s="20" t="str">
        <f>IFERROR(IF(VLOOKUP(Entity[ID-Modul],Modul[],3,FALSE)=0,VLOOKUP(Entity[ID-Modul],Modul[],2,FALSE),VLOOKUP(Entity[ID-Modul],Modul[],3,FALSE)),"unbekannt")</f>
        <v>IfcSharedBldgServiceElements</v>
      </c>
      <c r="F541" s="21" t="b">
        <v>1</v>
      </c>
      <c r="G541" s="21" t="b">
        <v>0</v>
      </c>
      <c r="H541" s="22" t="s">
        <v>848</v>
      </c>
      <c r="I541" s="19">
        <f>LEN(Entity[[#This Row],[IFC-Name]])</f>
        <v>22</v>
      </c>
      <c r="J541" s="7" t="s">
        <v>230</v>
      </c>
      <c r="K541" s="19">
        <f>LEN(Entity[[#This Row],[Klassen-Name]])</f>
        <v>22</v>
      </c>
      <c r="L541" s="7"/>
      <c r="M541" s="19" t="b">
        <f>IF(NOT(Entity[[#This Row],[Supertype]]),TRUE,AND(Entity[[#This Row],[Supertype]],Entity[[#This Row],[Subtype]]))</f>
        <v>1</v>
      </c>
      <c r="N541" s="28" t="s">
        <v>3160</v>
      </c>
      <c r="O541" s="29" t="s">
        <v>2049</v>
      </c>
    </row>
    <row r="542" spans="2:15" ht="20.100000000000001" customHeight="1" x14ac:dyDescent="0.25">
      <c r="B542" s="7" t="s">
        <v>231</v>
      </c>
      <c r="C542" s="7" t="str">
        <f>IF(Entity[[#This Row],[Link]]="","",HYPERLINK(HTMLDokuPath&amp;Entity[[#This Row],[Link]],"Doku"))</f>
        <v>Doku</v>
      </c>
      <c r="D542" s="6">
        <v>35</v>
      </c>
      <c r="E542" s="20" t="str">
        <f>IFERROR(IF(VLOOKUP(Entity[ID-Modul],Modul[],3,FALSE)=0,VLOOKUP(Entity[ID-Modul],Modul[],2,FALSE),VLOOKUP(Entity[ID-Modul],Modul[],3,FALSE)),"unbekannt")</f>
        <v>IfcSharedBldgServiceElements</v>
      </c>
      <c r="F542" s="21" t="b">
        <v>1</v>
      </c>
      <c r="G542" s="21" t="b">
        <v>1</v>
      </c>
      <c r="H542" s="22" t="s">
        <v>1357</v>
      </c>
      <c r="I542" s="19">
        <f>LEN(Entity[[#This Row],[IFC-Name]])</f>
        <v>26</v>
      </c>
      <c r="J542" s="7" t="s">
        <v>231</v>
      </c>
      <c r="K542" s="19">
        <f>LEN(Entity[[#This Row],[Klassen-Name]])</f>
        <v>26</v>
      </c>
      <c r="L542" s="7"/>
      <c r="M542" s="19" t="b">
        <f>IF(NOT(Entity[[#This Row],[Supertype]]),TRUE,AND(Entity[[#This Row],[Supertype]],Entity[[#This Row],[Subtype]]))</f>
        <v>1</v>
      </c>
      <c r="N542" s="28" t="s">
        <v>3161</v>
      </c>
      <c r="O542" s="29" t="s">
        <v>2050</v>
      </c>
    </row>
    <row r="543" spans="2:15" ht="20.100000000000001" customHeight="1" x14ac:dyDescent="0.25">
      <c r="B543" s="7" t="s">
        <v>232</v>
      </c>
      <c r="C543" s="7" t="str">
        <f>IF(Entity[[#This Row],[Link]]="","",HYPERLINK(HTMLDokuPath&amp;Entity[[#This Row],[Link]],"Doku"))</f>
        <v>Doku</v>
      </c>
      <c r="D543" s="6">
        <v>35</v>
      </c>
      <c r="E543" s="20" t="str">
        <f>IFERROR(IF(VLOOKUP(Entity[ID-Modul],Modul[],3,FALSE)=0,VLOOKUP(Entity[ID-Modul],Modul[],2,FALSE),VLOOKUP(Entity[ID-Modul],Modul[],3,FALSE)),"unbekannt")</f>
        <v>IfcSharedBldgServiceElements</v>
      </c>
      <c r="F543" s="21" t="b">
        <v>1</v>
      </c>
      <c r="G543" s="21" t="b">
        <v>0</v>
      </c>
      <c r="H543" s="22" t="s">
        <v>849</v>
      </c>
      <c r="I543" s="19">
        <f>LEN(Entity[[#This Row],[IFC-Name]])</f>
        <v>22</v>
      </c>
      <c r="J543" s="7" t="s">
        <v>232</v>
      </c>
      <c r="K543" s="19">
        <f>LEN(Entity[[#This Row],[Klassen-Name]])</f>
        <v>22</v>
      </c>
      <c r="L543" s="7"/>
      <c r="M543" s="19" t="b">
        <f>IF(NOT(Entity[[#This Row],[Supertype]]),TRUE,AND(Entity[[#This Row],[Supertype]],Entity[[#This Row],[Subtype]]))</f>
        <v>1</v>
      </c>
      <c r="N543" s="28" t="s">
        <v>3162</v>
      </c>
      <c r="O543" s="29" t="s">
        <v>2051</v>
      </c>
    </row>
    <row r="544" spans="2:15" ht="20.100000000000001" customHeight="1" x14ac:dyDescent="0.25">
      <c r="B544" s="7" t="s">
        <v>425</v>
      </c>
      <c r="C544" s="7" t="str">
        <f>IF(Entity[[#This Row],[Link]]="","",HYPERLINK(HTMLDokuPath&amp;Entity[[#This Row],[Link]],"Doku"))</f>
        <v>Doku</v>
      </c>
      <c r="D544" s="6">
        <v>35</v>
      </c>
      <c r="E544" s="20" t="str">
        <f>IFERROR(IF(VLOOKUP(Entity[ID-Modul],Modul[],3,FALSE)=0,VLOOKUP(Entity[ID-Modul],Modul[],2,FALSE),VLOOKUP(Entity[ID-Modul],Modul[],3,FALSE)),"unbekannt")</f>
        <v>IfcSharedBldgServiceElements</v>
      </c>
      <c r="F544" s="21" t="b">
        <v>1</v>
      </c>
      <c r="G544" s="21" t="b">
        <v>0</v>
      </c>
      <c r="H544" s="22" t="s">
        <v>1014</v>
      </c>
      <c r="I544" s="19">
        <f>LEN(Entity[[#This Row],[IFC-Name]])</f>
        <v>25</v>
      </c>
      <c r="J544" s="7" t="s">
        <v>425</v>
      </c>
      <c r="K544" s="19">
        <f>LEN(Entity[[#This Row],[Klassen-Name]])</f>
        <v>25</v>
      </c>
      <c r="L544" s="7"/>
      <c r="M544" s="19" t="b">
        <f>IF(NOT(Entity[[#This Row],[Supertype]]),TRUE,AND(Entity[[#This Row],[Supertype]],Entity[[#This Row],[Subtype]]))</f>
        <v>1</v>
      </c>
      <c r="N544" s="28" t="s">
        <v>3382</v>
      </c>
      <c r="O544" s="29" t="s">
        <v>2269</v>
      </c>
    </row>
    <row r="545" spans="2:15" ht="20.100000000000001" customHeight="1" x14ac:dyDescent="0.25">
      <c r="B545" s="7" t="s">
        <v>466</v>
      </c>
      <c r="C545" s="7" t="str">
        <f>IF(Entity[[#This Row],[Link]]="","",HYPERLINK(HTMLDokuPath&amp;Entity[[#This Row],[Link]],"Doku"))</f>
        <v>Doku</v>
      </c>
      <c r="D545" s="6">
        <v>35</v>
      </c>
      <c r="E545" s="20" t="str">
        <f>IFERROR(IF(VLOOKUP(Entity[ID-Modul],Modul[],3,FALSE)=0,VLOOKUP(Entity[ID-Modul],Modul[],2,FALSE),VLOOKUP(Entity[ID-Modul],Modul[],3,FALSE)),"unbekannt")</f>
        <v>IfcSharedBldgServiceElements</v>
      </c>
      <c r="F545" s="21" t="b">
        <v>1</v>
      </c>
      <c r="G545" s="21" t="b">
        <v>0</v>
      </c>
      <c r="H545" s="22" t="s">
        <v>1051</v>
      </c>
      <c r="I545" s="19">
        <f>LEN(Entity[[#This Row],[IFC-Name]])</f>
        <v>18</v>
      </c>
      <c r="J545" s="7" t="s">
        <v>466</v>
      </c>
      <c r="K545" s="19">
        <f>LEN(Entity[[#This Row],[Klassen-Name]])</f>
        <v>18</v>
      </c>
      <c r="L545" s="7"/>
      <c r="M545" s="19" t="b">
        <f>IF(NOT(Entity[[#This Row],[Supertype]]),TRUE,AND(Entity[[#This Row],[Supertype]],Entity[[#This Row],[Subtype]]))</f>
        <v>1</v>
      </c>
      <c r="N545" s="28" t="s">
        <v>3426</v>
      </c>
      <c r="O545" s="29" t="s">
        <v>2315</v>
      </c>
    </row>
    <row r="546" spans="2:15" ht="20.100000000000001" customHeight="1" x14ac:dyDescent="0.25">
      <c r="B546" s="7" t="s">
        <v>467</v>
      </c>
      <c r="C546" s="7" t="str">
        <f>IF(Entity[[#This Row],[Link]]="","",HYPERLINK(HTMLDokuPath&amp;Entity[[#This Row],[Link]],"Doku"))</f>
        <v>Doku</v>
      </c>
      <c r="D546" s="6">
        <v>35</v>
      </c>
      <c r="E546" s="20" t="str">
        <f>IFERROR(IF(VLOOKUP(Entity[ID-Modul],Modul[],3,FALSE)=0,VLOOKUP(Entity[ID-Modul],Modul[],2,FALSE),VLOOKUP(Entity[ID-Modul],Modul[],3,FALSE)),"unbekannt")</f>
        <v>IfcSharedBldgServiceElements</v>
      </c>
      <c r="F546" s="21" t="b">
        <v>1</v>
      </c>
      <c r="G546" s="21" t="b">
        <v>0</v>
      </c>
      <c r="H546" s="22" t="s">
        <v>1052</v>
      </c>
      <c r="I546" s="19">
        <f>LEN(Entity[[#This Row],[IFC-Name]])</f>
        <v>13</v>
      </c>
      <c r="J546" s="7" t="s">
        <v>467</v>
      </c>
      <c r="K546" s="19">
        <f>LEN(Entity[[#This Row],[Klassen-Name]])</f>
        <v>13</v>
      </c>
      <c r="L546" s="7"/>
      <c r="M546" s="19" t="b">
        <f>IF(NOT(Entity[[#This Row],[Supertype]]),TRUE,AND(Entity[[#This Row],[Supertype]],Entity[[#This Row],[Subtype]]))</f>
        <v>1</v>
      </c>
      <c r="N546" s="28" t="s">
        <v>3427</v>
      </c>
      <c r="O546" s="29" t="s">
        <v>2316</v>
      </c>
    </row>
    <row r="547" spans="2:15" ht="20.100000000000001" customHeight="1" x14ac:dyDescent="0.25">
      <c r="B547" s="7" t="s">
        <v>471</v>
      </c>
      <c r="C547" s="7" t="str">
        <f>IF(Entity[[#This Row],[Link]]="","",HYPERLINK(HTMLDokuPath&amp;Entity[[#This Row],[Link]],"Doku"))</f>
        <v>Doku</v>
      </c>
      <c r="D547" s="6">
        <v>35</v>
      </c>
      <c r="E547" s="20" t="str">
        <f>IFERROR(IF(VLOOKUP(Entity[ID-Modul],Modul[],3,FALSE)=0,VLOOKUP(Entity[ID-Modul],Modul[],2,FALSE),VLOOKUP(Entity[ID-Modul],Modul[],3,FALSE)),"unbekannt")</f>
        <v>IfcSharedBldgServiceElements</v>
      </c>
      <c r="F547" s="21" t="b">
        <v>1</v>
      </c>
      <c r="G547" s="21" t="b">
        <v>0</v>
      </c>
      <c r="H547" s="22" t="s">
        <v>1056</v>
      </c>
      <c r="I547" s="19">
        <f>LEN(Entity[[#This Row],[IFC-Name]])</f>
        <v>29</v>
      </c>
      <c r="J547" s="7" t="s">
        <v>471</v>
      </c>
      <c r="K547" s="19">
        <f>LEN(Entity[[#This Row],[Klassen-Name]])</f>
        <v>29</v>
      </c>
      <c r="L547" s="7"/>
      <c r="M547" s="19" t="b">
        <f>IF(NOT(Entity[[#This Row],[Supertype]]),TRUE,AND(Entity[[#This Row],[Supertype]],Entity[[#This Row],[Subtype]]))</f>
        <v>1</v>
      </c>
      <c r="N547" s="28" t="s">
        <v>3431</v>
      </c>
      <c r="O547" s="29" t="s">
        <v>2320</v>
      </c>
    </row>
    <row r="548" spans="2:15" ht="20.100000000000001" customHeight="1" x14ac:dyDescent="0.25">
      <c r="B548" s="7" t="s">
        <v>70</v>
      </c>
      <c r="C548" s="7" t="str">
        <f>IF(Entity[[#This Row],[Link]]="","",HYPERLINK(HTMLDokuPath&amp;Entity[[#This Row],[Link]],"Doku"))</f>
        <v>Doku</v>
      </c>
      <c r="D548" s="6">
        <v>36</v>
      </c>
      <c r="E548" s="20" t="str">
        <f>IFERROR(IF(VLOOKUP(Entity[ID-Modul],Modul[],3,FALSE)=0,VLOOKUP(Entity[ID-Modul],Modul[],2,FALSE),VLOOKUP(Entity[ID-Modul],Modul[],3,FALSE)),"unbekannt")</f>
        <v>IfcSharedComponentElements</v>
      </c>
      <c r="F548" s="21" t="b">
        <v>1</v>
      </c>
      <c r="G548" s="21" t="b">
        <v>0</v>
      </c>
      <c r="H548" s="22" t="s">
        <v>713</v>
      </c>
      <c r="I548" s="19">
        <f>LEN(Entity[[#This Row],[IFC-Name]])</f>
        <v>21</v>
      </c>
      <c r="J548" s="7" t="s">
        <v>70</v>
      </c>
      <c r="K548" s="19">
        <f>LEN(Entity[[#This Row],[Klassen-Name]])</f>
        <v>21</v>
      </c>
      <c r="L548" s="7"/>
      <c r="M548" s="19" t="b">
        <f>IF(NOT(Entity[[#This Row],[Supertype]]),TRUE,AND(Entity[[#This Row],[Supertype]],Entity[[#This Row],[Subtype]]))</f>
        <v>1</v>
      </c>
      <c r="N548" s="28" t="s">
        <v>2979</v>
      </c>
      <c r="O548" s="29" t="s">
        <v>1869</v>
      </c>
    </row>
    <row r="549" spans="2:15" ht="20.100000000000001" customHeight="1" x14ac:dyDescent="0.25">
      <c r="B549" s="7" t="s">
        <v>134</v>
      </c>
      <c r="C549" s="7" t="str">
        <f>IF(Entity[[#This Row],[Link]]="","",HYPERLINK(HTMLDokuPath&amp;Entity[[#This Row],[Link]],"Doku"))</f>
        <v>Doku</v>
      </c>
      <c r="D549" s="6">
        <v>36</v>
      </c>
      <c r="E549" s="20" t="str">
        <f>IFERROR(IF(VLOOKUP(Entity[ID-Modul],Modul[],3,FALSE)=0,VLOOKUP(Entity[ID-Modul],Modul[],2,FALSE),VLOOKUP(Entity[ID-Modul],Modul[],3,FALSE)),"unbekannt")</f>
        <v>IfcSharedComponentElements</v>
      </c>
      <c r="F549" s="21" t="b">
        <v>1</v>
      </c>
      <c r="G549" s="21" t="b">
        <v>0</v>
      </c>
      <c r="H549" s="22" t="s">
        <v>781</v>
      </c>
      <c r="I549" s="19">
        <f>LEN(Entity[[#This Row],[IFC-Name]])</f>
        <v>20</v>
      </c>
      <c r="J549" s="7" t="s">
        <v>134</v>
      </c>
      <c r="K549" s="19">
        <f>LEN(Entity[[#This Row],[Klassen-Name]])</f>
        <v>20</v>
      </c>
      <c r="L549" s="7"/>
      <c r="M549" s="19" t="b">
        <f>IF(NOT(Entity[[#This Row],[Supertype]]),TRUE,AND(Entity[[#This Row],[Supertype]],Entity[[#This Row],[Subtype]]))</f>
        <v>1</v>
      </c>
      <c r="N549" s="28" t="s">
        <v>3061</v>
      </c>
      <c r="O549" s="29" t="s">
        <v>1950</v>
      </c>
    </row>
    <row r="550" spans="2:15" ht="20.100000000000001" customHeight="1" x14ac:dyDescent="0.25">
      <c r="B550" s="7" t="s">
        <v>135</v>
      </c>
      <c r="C550" s="7" t="str">
        <f>IF(Entity[[#This Row],[Link]]="","",HYPERLINK(HTMLDokuPath&amp;Entity[[#This Row],[Link]],"Doku"))</f>
        <v>Doku</v>
      </c>
      <c r="D550" s="6">
        <v>36</v>
      </c>
      <c r="E550" s="20" t="str">
        <f>IFERROR(IF(VLOOKUP(Entity[ID-Modul],Modul[],3,FALSE)=0,VLOOKUP(Entity[ID-Modul],Modul[],2,FALSE),VLOOKUP(Entity[ID-Modul],Modul[],3,FALSE)),"unbekannt")</f>
        <v>IfcSharedComponentElements</v>
      </c>
      <c r="F550" s="21" t="b">
        <v>1</v>
      </c>
      <c r="G550" s="21" t="b">
        <v>1</v>
      </c>
      <c r="H550" s="22" t="s">
        <v>1325</v>
      </c>
      <c r="I550" s="19">
        <f>LEN(Entity[[#This Row],[IFC-Name]])</f>
        <v>24</v>
      </c>
      <c r="J550" s="7" t="s">
        <v>135</v>
      </c>
      <c r="K550" s="19">
        <f>LEN(Entity[[#This Row],[Klassen-Name]])</f>
        <v>24</v>
      </c>
      <c r="L550" s="7"/>
      <c r="M550" s="19" t="b">
        <f>IF(NOT(Entity[[#This Row],[Supertype]]),TRUE,AND(Entity[[#This Row],[Supertype]],Entity[[#This Row],[Subtype]]))</f>
        <v>1</v>
      </c>
      <c r="N550" s="28" t="s">
        <v>3062</v>
      </c>
      <c r="O550" s="29" t="s">
        <v>1951</v>
      </c>
    </row>
    <row r="551" spans="2:15" ht="20.100000000000001" customHeight="1" x14ac:dyDescent="0.25">
      <c r="B551" s="7" t="s">
        <v>160</v>
      </c>
      <c r="C551" s="7" t="str">
        <f>IF(Entity[[#This Row],[Link]]="","",HYPERLINK(HTMLDokuPath&amp;Entity[[#This Row],[Link]],"Doku"))</f>
        <v>Doku</v>
      </c>
      <c r="D551" s="6">
        <v>36</v>
      </c>
      <c r="E551" s="20" t="str">
        <f>IFERROR(IF(VLOOKUP(Entity[ID-Modul],Modul[],3,FALSE)=0,VLOOKUP(Entity[ID-Modul],Modul[],2,FALSE),VLOOKUP(Entity[ID-Modul],Modul[],3,FALSE)),"unbekannt")</f>
        <v>IfcSharedComponentElements</v>
      </c>
      <c r="F551" s="21" t="b">
        <v>1</v>
      </c>
      <c r="G551" s="21" t="b">
        <v>1</v>
      </c>
      <c r="H551" s="22" t="s">
        <v>1334</v>
      </c>
      <c r="I551" s="19">
        <f>LEN(Entity[[#This Row],[IFC-Name]])</f>
        <v>14</v>
      </c>
      <c r="J551" s="7" t="s">
        <v>160</v>
      </c>
      <c r="K551" s="19">
        <f>LEN(Entity[[#This Row],[Klassen-Name]])</f>
        <v>14</v>
      </c>
      <c r="L551" s="7"/>
      <c r="M551" s="19" t="b">
        <f>IF(NOT(Entity[[#This Row],[Supertype]]),TRUE,AND(Entity[[#This Row],[Supertype]],Entity[[#This Row],[Subtype]]))</f>
        <v>1</v>
      </c>
      <c r="N551" s="28" t="s">
        <v>3090</v>
      </c>
      <c r="O551" s="29" t="s">
        <v>1979</v>
      </c>
    </row>
    <row r="552" spans="2:15" ht="20.100000000000001" customHeight="1" x14ac:dyDescent="0.25">
      <c r="B552" s="7" t="s">
        <v>174</v>
      </c>
      <c r="C552" s="7" t="str">
        <f>IF(Entity[[#This Row],[Link]]="","",HYPERLINK(HTMLDokuPath&amp;Entity[[#This Row],[Link]],"Doku"))</f>
        <v>Doku</v>
      </c>
      <c r="D552" s="6">
        <v>36</v>
      </c>
      <c r="E552" s="20" t="str">
        <f>IFERROR(IF(VLOOKUP(Entity[ID-Modul],Modul[],3,FALSE)=0,VLOOKUP(Entity[ID-Modul],Modul[],2,FALSE),VLOOKUP(Entity[ID-Modul],Modul[],3,FALSE)),"unbekannt")</f>
        <v>IfcSharedComponentElements</v>
      </c>
      <c r="F552" s="21" t="b">
        <v>1</v>
      </c>
      <c r="G552" s="21" t="b">
        <v>1</v>
      </c>
      <c r="H552" s="22" t="s">
        <v>1336</v>
      </c>
      <c r="I552" s="19">
        <f>LEN(Entity[[#This Row],[IFC-Name]])</f>
        <v>19</v>
      </c>
      <c r="J552" s="7" t="s">
        <v>174</v>
      </c>
      <c r="K552" s="19">
        <f>LEN(Entity[[#This Row],[Klassen-Name]])</f>
        <v>19</v>
      </c>
      <c r="L552" s="7"/>
      <c r="M552" s="19" t="b">
        <f>IF(NOT(Entity[[#This Row],[Supertype]]),TRUE,AND(Entity[[#This Row],[Supertype]],Entity[[#This Row],[Subtype]]))</f>
        <v>1</v>
      </c>
      <c r="N552" s="28" t="s">
        <v>3105</v>
      </c>
      <c r="O552" s="29" t="s">
        <v>1993</v>
      </c>
    </row>
    <row r="553" spans="2:15" ht="20.100000000000001" customHeight="1" x14ac:dyDescent="0.25">
      <c r="B553" s="7" t="s">
        <v>175</v>
      </c>
      <c r="C553" s="7" t="str">
        <f>IF(Entity[[#This Row],[Link]]="","",HYPERLINK(HTMLDokuPath&amp;Entity[[#This Row],[Link]],"Doku"))</f>
        <v>Doku</v>
      </c>
      <c r="D553" s="6">
        <v>36</v>
      </c>
      <c r="E553" s="20" t="str">
        <f>IFERROR(IF(VLOOKUP(Entity[ID-Modul],Modul[],3,FALSE)=0,VLOOKUP(Entity[ID-Modul],Modul[],2,FALSE),VLOOKUP(Entity[ID-Modul],Modul[],3,FALSE)),"unbekannt")</f>
        <v>IfcSharedComponentElements</v>
      </c>
      <c r="F553" s="21" t="b">
        <v>1</v>
      </c>
      <c r="G553" s="21" t="b">
        <v>1</v>
      </c>
      <c r="H553" s="22" t="s">
        <v>1337</v>
      </c>
      <c r="I553" s="19">
        <f>LEN(Entity[[#This Row],[IFC-Name]])</f>
        <v>23</v>
      </c>
      <c r="J553" s="7" t="s">
        <v>175</v>
      </c>
      <c r="K553" s="19">
        <f>LEN(Entity[[#This Row],[Klassen-Name]])</f>
        <v>23</v>
      </c>
      <c r="L553" s="7"/>
      <c r="M553" s="19" t="b">
        <f>IF(NOT(Entity[[#This Row],[Supertype]]),TRUE,AND(Entity[[#This Row],[Supertype]],Entity[[#This Row],[Subtype]]))</f>
        <v>1</v>
      </c>
      <c r="N553" s="28" t="s">
        <v>3106</v>
      </c>
      <c r="O553" s="29" t="s">
        <v>1994</v>
      </c>
    </row>
    <row r="554" spans="2:15" ht="20.100000000000001" customHeight="1" x14ac:dyDescent="0.25">
      <c r="B554" s="7" t="s">
        <v>205</v>
      </c>
      <c r="C554" s="7" t="str">
        <f>IF(Entity[[#This Row],[Link]]="","",HYPERLINK(HTMLDokuPath&amp;Entity[[#This Row],[Link]],"Doku"))</f>
        <v>Doku</v>
      </c>
      <c r="D554" s="6">
        <v>36</v>
      </c>
      <c r="E554" s="20" t="str">
        <f>IFERROR(IF(VLOOKUP(Entity[ID-Modul],Modul[],3,FALSE)=0,VLOOKUP(Entity[ID-Modul],Modul[],2,FALSE),VLOOKUP(Entity[ID-Modul],Modul[],3,FALSE)),"unbekannt")</f>
        <v>IfcSharedComponentElements</v>
      </c>
      <c r="F554" s="21" t="b">
        <v>1</v>
      </c>
      <c r="G554" s="21" t="b">
        <v>1</v>
      </c>
      <c r="H554" s="22" t="s">
        <v>1345</v>
      </c>
      <c r="I554" s="19">
        <f>LEN(Entity[[#This Row],[IFC-Name]])</f>
        <v>11</v>
      </c>
      <c r="J554" s="7" t="s">
        <v>205</v>
      </c>
      <c r="K554" s="19">
        <f>LEN(Entity[[#This Row],[Klassen-Name]])</f>
        <v>11</v>
      </c>
      <c r="L554" s="7"/>
      <c r="M554" s="19" t="b">
        <f>IF(NOT(Entity[[#This Row],[Supertype]]),TRUE,AND(Entity[[#This Row],[Supertype]],Entity[[#This Row],[Subtype]]))</f>
        <v>1</v>
      </c>
      <c r="N554" s="28" t="s">
        <v>3135</v>
      </c>
      <c r="O554" s="29" t="s">
        <v>2024</v>
      </c>
    </row>
    <row r="555" spans="2:15" ht="20.100000000000001" customHeight="1" x14ac:dyDescent="0.25">
      <c r="B555" s="7" t="s">
        <v>206</v>
      </c>
      <c r="C555" s="7" t="str">
        <f>IF(Entity[[#This Row],[Link]]="","",HYPERLINK(HTMLDokuPath&amp;Entity[[#This Row],[Link]],"Doku"))</f>
        <v>Doku</v>
      </c>
      <c r="D555" s="6">
        <v>36</v>
      </c>
      <c r="E555" s="20" t="str">
        <f>IFERROR(IF(VLOOKUP(Entity[ID-Modul],Modul[],3,FALSE)=0,VLOOKUP(Entity[ID-Modul],Modul[],2,FALSE),VLOOKUP(Entity[ID-Modul],Modul[],3,FALSE)),"unbekannt")</f>
        <v>IfcSharedComponentElements</v>
      </c>
      <c r="F555" s="21" t="b">
        <v>1</v>
      </c>
      <c r="G555" s="21" t="b">
        <v>1</v>
      </c>
      <c r="H555" s="22" t="s">
        <v>1346</v>
      </c>
      <c r="I555" s="19">
        <f>LEN(Entity[[#This Row],[IFC-Name]])</f>
        <v>15</v>
      </c>
      <c r="J555" s="7" t="s">
        <v>206</v>
      </c>
      <c r="K555" s="19">
        <f>LEN(Entity[[#This Row],[Klassen-Name]])</f>
        <v>15</v>
      </c>
      <c r="L555" s="7"/>
      <c r="M555" s="19" t="b">
        <f>IF(NOT(Entity[[#This Row],[Supertype]]),TRUE,AND(Entity[[#This Row],[Supertype]],Entity[[#This Row],[Subtype]]))</f>
        <v>1</v>
      </c>
      <c r="N555" s="28" t="s">
        <v>3136</v>
      </c>
      <c r="O555" s="29" t="s">
        <v>2025</v>
      </c>
    </row>
    <row r="556" spans="2:15" ht="20.100000000000001" customHeight="1" x14ac:dyDescent="0.25">
      <c r="B556" s="7" t="s">
        <v>279</v>
      </c>
      <c r="C556" s="7" t="str">
        <f>IF(Entity[[#This Row],[Link]]="","",HYPERLINK(HTMLDokuPath&amp;Entity[[#This Row],[Link]],"Doku"))</f>
        <v>Doku</v>
      </c>
      <c r="D556" s="6">
        <v>36</v>
      </c>
      <c r="E556" s="20" t="str">
        <f>IFERROR(IF(VLOOKUP(Entity[ID-Modul],Modul[],3,FALSE)=0,VLOOKUP(Entity[ID-Modul],Modul[],2,FALSE),VLOOKUP(Entity[ID-Modul],Modul[],3,FALSE)),"unbekannt")</f>
        <v>IfcSharedComponentElements</v>
      </c>
      <c r="F556" s="21" t="b">
        <v>1</v>
      </c>
      <c r="G556" s="21" t="b">
        <v>0</v>
      </c>
      <c r="H556" s="22" t="s">
        <v>896</v>
      </c>
      <c r="I556" s="19">
        <f>LEN(Entity[[#This Row],[IFC-Name]])</f>
        <v>21</v>
      </c>
      <c r="J556" s="7" t="s">
        <v>279</v>
      </c>
      <c r="K556" s="19">
        <f>LEN(Entity[[#This Row],[Klassen-Name]])</f>
        <v>21</v>
      </c>
      <c r="L556" s="7"/>
      <c r="M556" s="19" t="b">
        <f>IF(NOT(Entity[[#This Row],[Supertype]]),TRUE,AND(Entity[[#This Row],[Supertype]],Entity[[#This Row],[Subtype]]))</f>
        <v>1</v>
      </c>
      <c r="N556" s="28" t="s">
        <v>3222</v>
      </c>
      <c r="O556" s="29" t="s">
        <v>2111</v>
      </c>
    </row>
    <row r="557" spans="2:15" ht="20.100000000000001" customHeight="1" x14ac:dyDescent="0.25">
      <c r="B557" s="7" t="s">
        <v>280</v>
      </c>
      <c r="C557" s="7" t="str">
        <f>IF(Entity[[#This Row],[Link]]="","",HYPERLINK(HTMLDokuPath&amp;Entity[[#This Row],[Link]],"Doku"))</f>
        <v>Doku</v>
      </c>
      <c r="D557" s="6">
        <v>36</v>
      </c>
      <c r="E557" s="20" t="str">
        <f>IFERROR(IF(VLOOKUP(Entity[ID-Modul],Modul[],3,FALSE)=0,VLOOKUP(Entity[ID-Modul],Modul[],2,FALSE),VLOOKUP(Entity[ID-Modul],Modul[],3,FALSE)),"unbekannt")</f>
        <v>IfcSharedComponentElements</v>
      </c>
      <c r="F557" s="21" t="b">
        <v>1</v>
      </c>
      <c r="G557" s="21" t="b">
        <v>0</v>
      </c>
      <c r="H557" s="22" t="s">
        <v>897</v>
      </c>
      <c r="I557" s="19">
        <f>LEN(Entity[[#This Row],[IFC-Name]])</f>
        <v>25</v>
      </c>
      <c r="J557" s="7" t="s">
        <v>280</v>
      </c>
      <c r="K557" s="19">
        <f>LEN(Entity[[#This Row],[Klassen-Name]])</f>
        <v>25</v>
      </c>
      <c r="L557" s="7"/>
      <c r="M557" s="19" t="b">
        <f>IF(NOT(Entity[[#This Row],[Supertype]]),TRUE,AND(Entity[[#This Row],[Supertype]],Entity[[#This Row],[Subtype]]))</f>
        <v>1</v>
      </c>
      <c r="N557" s="28" t="s">
        <v>3223</v>
      </c>
      <c r="O557" s="29" t="s">
        <v>2112</v>
      </c>
    </row>
    <row r="558" spans="2:15" ht="20.100000000000001" customHeight="1" x14ac:dyDescent="0.25">
      <c r="B558" s="7" t="s">
        <v>448</v>
      </c>
      <c r="C558" s="7" t="str">
        <f>IF(Entity[[#This Row],[Link]]="","",HYPERLINK(HTMLDokuPath&amp;Entity[[#This Row],[Link]],"Doku"))</f>
        <v>Doku</v>
      </c>
      <c r="D558" s="6">
        <v>36</v>
      </c>
      <c r="E558" s="20" t="str">
        <f>IFERROR(IF(VLOOKUP(Entity[ID-Modul],Modul[],3,FALSE)=0,VLOOKUP(Entity[ID-Modul],Modul[],2,FALSE),VLOOKUP(Entity[ID-Modul],Modul[],3,FALSE)),"unbekannt")</f>
        <v>IfcSharedComponentElements</v>
      </c>
      <c r="F558" s="21" t="b">
        <v>1</v>
      </c>
      <c r="G558" s="21" t="b">
        <v>0</v>
      </c>
      <c r="H558" s="22" t="s">
        <v>1033</v>
      </c>
      <c r="I558" s="19">
        <f>LEN(Entity[[#This Row],[IFC-Name]])</f>
        <v>21</v>
      </c>
      <c r="J558" s="7" t="s">
        <v>448</v>
      </c>
      <c r="K558" s="19">
        <f>LEN(Entity[[#This Row],[Klassen-Name]])</f>
        <v>21</v>
      </c>
      <c r="L558" s="7"/>
      <c r="M558" s="19" t="b">
        <f>IF(NOT(Entity[[#This Row],[Supertype]]),TRUE,AND(Entity[[#This Row],[Supertype]],Entity[[#This Row],[Subtype]]))</f>
        <v>1</v>
      </c>
      <c r="N558" s="28" t="s">
        <v>3405</v>
      </c>
      <c r="O558" s="29" t="s">
        <v>2294</v>
      </c>
    </row>
    <row r="559" spans="2:15" ht="20.100000000000001" customHeight="1" x14ac:dyDescent="0.25">
      <c r="B559" s="7" t="s">
        <v>28</v>
      </c>
      <c r="C559" s="7" t="str">
        <f>IF(Entity[[#This Row],[Link]]="","",HYPERLINK(HTMLDokuPath&amp;Entity[[#This Row],[Link]],"Doku"))</f>
        <v>Doku</v>
      </c>
      <c r="D559" s="6">
        <v>37</v>
      </c>
      <c r="E559" s="20" t="str">
        <f>IFERROR(IF(VLOOKUP(Entity[ID-Modul],Modul[],3,FALSE)=0,VLOOKUP(Entity[ID-Modul],Modul[],2,FALSE),VLOOKUP(Entity[ID-Modul],Modul[],3,FALSE)),"unbekannt")</f>
        <v>IfcSharedFacilitiesElements</v>
      </c>
      <c r="F559" s="21" t="b">
        <v>1</v>
      </c>
      <c r="G559" s="21" t="b">
        <v>0</v>
      </c>
      <c r="H559" s="22" t="s">
        <v>683</v>
      </c>
      <c r="I559" s="19">
        <f>LEN(Entity[[#This Row],[IFC-Name]])</f>
        <v>8</v>
      </c>
      <c r="J559" s="7" t="s">
        <v>28</v>
      </c>
      <c r="K559" s="19">
        <f>LEN(Entity[[#This Row],[Klassen-Name]])</f>
        <v>8</v>
      </c>
      <c r="L559" s="7"/>
      <c r="M559" s="19" t="b">
        <f>IF(NOT(Entity[[#This Row],[Supertype]]),TRUE,AND(Entity[[#This Row],[Supertype]],Entity[[#This Row],[Subtype]]))</f>
        <v>1</v>
      </c>
      <c r="N559" s="28" t="s">
        <v>2937</v>
      </c>
      <c r="O559" s="29" t="s">
        <v>1826</v>
      </c>
    </row>
    <row r="560" spans="2:15" ht="20.100000000000001" customHeight="1" x14ac:dyDescent="0.25">
      <c r="B560" s="7" t="s">
        <v>238</v>
      </c>
      <c r="C560" s="7" t="str">
        <f>IF(Entity[[#This Row],[Link]]="","",HYPERLINK(HTMLDokuPath&amp;Entity[[#This Row],[Link]],"Doku"))</f>
        <v>Doku</v>
      </c>
      <c r="D560" s="6">
        <v>37</v>
      </c>
      <c r="E560" s="20" t="str">
        <f>IFERROR(IF(VLOOKUP(Entity[ID-Modul],Modul[],3,FALSE)=0,VLOOKUP(Entity[ID-Modul],Modul[],2,FALSE),VLOOKUP(Entity[ID-Modul],Modul[],3,FALSE)),"unbekannt")</f>
        <v>IfcSharedFacilitiesElements</v>
      </c>
      <c r="F560" s="21" t="b">
        <v>1</v>
      </c>
      <c r="G560" s="21" t="b">
        <v>0</v>
      </c>
      <c r="H560" s="22" t="s">
        <v>854</v>
      </c>
      <c r="I560" s="19">
        <f>LEN(Entity[[#This Row],[IFC-Name]])</f>
        <v>16</v>
      </c>
      <c r="J560" s="7" t="s">
        <v>238</v>
      </c>
      <c r="K560" s="19">
        <f>LEN(Entity[[#This Row],[Klassen-Name]])</f>
        <v>16</v>
      </c>
      <c r="L560" s="7"/>
      <c r="M560" s="19" t="b">
        <f>IF(NOT(Entity[[#This Row],[Supertype]]),TRUE,AND(Entity[[#This Row],[Supertype]],Entity[[#This Row],[Subtype]]))</f>
        <v>1</v>
      </c>
      <c r="N560" s="28" t="s">
        <v>3168</v>
      </c>
      <c r="O560" s="29" t="s">
        <v>2057</v>
      </c>
    </row>
    <row r="561" spans="2:15" ht="20.100000000000001" customHeight="1" x14ac:dyDescent="0.25">
      <c r="B561" s="7" t="s">
        <v>256</v>
      </c>
      <c r="C561" s="7" t="str">
        <f>IF(Entity[[#This Row],[Link]]="","",HYPERLINK(HTMLDokuPath&amp;Entity[[#This Row],[Link]],"Doku"))</f>
        <v>Doku</v>
      </c>
      <c r="D561" s="6">
        <v>37</v>
      </c>
      <c r="E561" s="20" t="str">
        <f>IFERROR(IF(VLOOKUP(Entity[ID-Modul],Modul[],3,FALSE)=0,VLOOKUP(Entity[ID-Modul],Modul[],2,FALSE),VLOOKUP(Entity[ID-Modul],Modul[],3,FALSE)),"unbekannt")</f>
        <v>IfcSharedFacilitiesElements</v>
      </c>
      <c r="F561" s="21" t="b">
        <v>1</v>
      </c>
      <c r="G561" s="21" t="b">
        <v>0</v>
      </c>
      <c r="H561" s="22" t="s">
        <v>866</v>
      </c>
      <c r="I561" s="19">
        <f>LEN(Entity[[#This Row],[IFC-Name]])</f>
        <v>12</v>
      </c>
      <c r="J561" s="7" t="s">
        <v>256</v>
      </c>
      <c r="K561" s="19">
        <f>LEN(Entity[[#This Row],[Klassen-Name]])</f>
        <v>12</v>
      </c>
      <c r="L561" s="7"/>
      <c r="M561" s="19" t="b">
        <f>IF(NOT(Entity[[#This Row],[Supertype]]),TRUE,AND(Entity[[#This Row],[Supertype]],Entity[[#This Row],[Subtype]]))</f>
        <v>1</v>
      </c>
      <c r="N561" s="28" t="s">
        <v>3186</v>
      </c>
      <c r="O561" s="29" t="s">
        <v>2076</v>
      </c>
    </row>
    <row r="562" spans="2:15" ht="20.100000000000001" customHeight="1" x14ac:dyDescent="0.25">
      <c r="B562" s="7" t="s">
        <v>293</v>
      </c>
      <c r="C562" s="7" t="str">
        <f>IF(Entity[[#This Row],[Link]]="","",HYPERLINK(HTMLDokuPath&amp;Entity[[#This Row],[Link]],"Doku"))</f>
        <v>Doku</v>
      </c>
      <c r="D562" s="6">
        <v>37</v>
      </c>
      <c r="E562" s="20" t="str">
        <f>IFERROR(IF(VLOOKUP(Entity[ID-Modul],Modul[],3,FALSE)=0,VLOOKUP(Entity[ID-Modul],Modul[],2,FALSE),VLOOKUP(Entity[ID-Modul],Modul[],3,FALSE)),"unbekannt")</f>
        <v>IfcSharedFacilitiesElements</v>
      </c>
      <c r="F562" s="21" t="b">
        <v>1</v>
      </c>
      <c r="G562" s="21" t="b">
        <v>0</v>
      </c>
      <c r="H562" s="22" t="s">
        <v>906</v>
      </c>
      <c r="I562" s="19">
        <f>LEN(Entity[[#This Row],[IFC-Name]])</f>
        <v>11</v>
      </c>
      <c r="J562" s="7" t="s">
        <v>293</v>
      </c>
      <c r="K562" s="19">
        <f>LEN(Entity[[#This Row],[Klassen-Name]])</f>
        <v>11</v>
      </c>
      <c r="L562" s="7"/>
      <c r="M562" s="19" t="b">
        <f>IF(NOT(Entity[[#This Row],[Supertype]]),TRUE,AND(Entity[[#This Row],[Supertype]],Entity[[#This Row],[Subtype]]))</f>
        <v>1</v>
      </c>
      <c r="N562" s="28" t="s">
        <v>3237</v>
      </c>
      <c r="O562" s="29" t="s">
        <v>2126</v>
      </c>
    </row>
    <row r="563" spans="2:15" ht="20.100000000000001" customHeight="1" x14ac:dyDescent="0.25">
      <c r="B563" s="7" t="s">
        <v>428</v>
      </c>
      <c r="C563" s="7" t="str">
        <f>IF(Entity[[#This Row],[Link]]="","",HYPERLINK(HTMLDokuPath&amp;Entity[[#This Row],[Link]],"Doku"))</f>
        <v>Doku</v>
      </c>
      <c r="D563" s="6">
        <v>37</v>
      </c>
      <c r="E563" s="20" t="str">
        <f>IFERROR(IF(VLOOKUP(Entity[ID-Modul],Modul[],3,FALSE)=0,VLOOKUP(Entity[ID-Modul],Modul[],2,FALSE),VLOOKUP(Entity[ID-Modul],Modul[],3,FALSE)),"unbekannt")</f>
        <v>IfcSharedFacilitiesElements</v>
      </c>
      <c r="F563" s="21" t="b">
        <v>1</v>
      </c>
      <c r="G563" s="21" t="b">
        <v>0</v>
      </c>
      <c r="H563" s="22" t="s">
        <v>1017</v>
      </c>
      <c r="I563" s="19">
        <f>LEN(Entity[[#This Row],[IFC-Name]])</f>
        <v>20</v>
      </c>
      <c r="J563" s="7" t="s">
        <v>428</v>
      </c>
      <c r="K563" s="19">
        <f>LEN(Entity[[#This Row],[Klassen-Name]])</f>
        <v>20</v>
      </c>
      <c r="L563" s="7"/>
      <c r="M563" s="19" t="b">
        <f>IF(NOT(Entity[[#This Row],[Supertype]]),TRUE,AND(Entity[[#This Row],[Supertype]],Entity[[#This Row],[Subtype]]))</f>
        <v>1</v>
      </c>
      <c r="N563" s="28" t="s">
        <v>3385</v>
      </c>
      <c r="O563" s="29" t="s">
        <v>2272</v>
      </c>
    </row>
    <row r="564" spans="2:15" ht="20.100000000000001" customHeight="1" x14ac:dyDescent="0.25">
      <c r="B564" s="7" t="s">
        <v>455</v>
      </c>
      <c r="C564" s="7" t="str">
        <f>IF(Entity[[#This Row],[Link]]="","",HYPERLINK(HTMLDokuPath&amp;Entity[[#This Row],[Link]],"Doku"))</f>
        <v>Doku</v>
      </c>
      <c r="D564" s="6">
        <v>37</v>
      </c>
      <c r="E564" s="20" t="str">
        <f>IFERROR(IF(VLOOKUP(Entity[ID-Modul],Modul[],3,FALSE)=0,VLOOKUP(Entity[ID-Modul],Modul[],2,FALSE),VLOOKUP(Entity[ID-Modul],Modul[],3,FALSE)),"unbekannt")</f>
        <v>IfcSharedFacilitiesElements</v>
      </c>
      <c r="F564" s="21" t="b">
        <v>1</v>
      </c>
      <c r="G564" s="21" t="b">
        <v>0</v>
      </c>
      <c r="H564" s="22" t="s">
        <v>1042</v>
      </c>
      <c r="I564" s="19">
        <f>LEN(Entity[[#This Row],[IFC-Name]])</f>
        <v>14</v>
      </c>
      <c r="J564" s="7" t="s">
        <v>455</v>
      </c>
      <c r="K564" s="19">
        <f>LEN(Entity[[#This Row],[Klassen-Name]])</f>
        <v>14</v>
      </c>
      <c r="L564" s="7"/>
      <c r="M564" s="19" t="b">
        <f>IF(NOT(Entity[[#This Row],[Supertype]]),TRUE,AND(Entity[[#This Row],[Supertype]],Entity[[#This Row],[Subtype]]))</f>
        <v>1</v>
      </c>
      <c r="N564" s="28" t="s">
        <v>3413</v>
      </c>
      <c r="O564" s="29" t="s">
        <v>2303</v>
      </c>
    </row>
    <row r="565" spans="2:15" ht="20.100000000000001" customHeight="1" x14ac:dyDescent="0.25">
      <c r="B565" s="7" t="s">
        <v>456</v>
      </c>
      <c r="C565" s="7" t="str">
        <f>IF(Entity[[#This Row],[Link]]="","",HYPERLINK(HTMLDokuPath&amp;Entity[[#This Row],[Link]],"Doku"))</f>
        <v>Doku</v>
      </c>
      <c r="D565" s="6">
        <v>37</v>
      </c>
      <c r="E565" s="20" t="str">
        <f>IFERROR(IF(VLOOKUP(Entity[ID-Modul],Modul[],3,FALSE)=0,VLOOKUP(Entity[ID-Modul],Modul[],2,FALSE),VLOOKUP(Entity[ID-Modul],Modul[],3,FALSE)),"unbekannt")</f>
        <v>IfcSharedFacilitiesElements</v>
      </c>
      <c r="F565" s="21" t="b">
        <v>1</v>
      </c>
      <c r="G565" s="21" t="b">
        <v>0</v>
      </c>
      <c r="H565" s="22" t="s">
        <v>1043</v>
      </c>
      <c r="I565" s="19">
        <f>LEN(Entity[[#This Row],[IFC-Name]])</f>
        <v>20</v>
      </c>
      <c r="J565" s="7" t="s">
        <v>456</v>
      </c>
      <c r="K565" s="19">
        <f>LEN(Entity[[#This Row],[Klassen-Name]])</f>
        <v>20</v>
      </c>
      <c r="L565" s="7"/>
      <c r="M565" s="19" t="b">
        <f>IF(NOT(Entity[[#This Row],[Supertype]]),TRUE,AND(Entity[[#This Row],[Supertype]],Entity[[#This Row],[Subtype]]))</f>
        <v>1</v>
      </c>
      <c r="N565" s="28" t="s">
        <v>3414</v>
      </c>
      <c r="O565" s="29" t="s">
        <v>2304</v>
      </c>
    </row>
    <row r="566" spans="2:15" ht="20.100000000000001" customHeight="1" x14ac:dyDescent="0.25">
      <c r="B566" s="7" t="s">
        <v>534</v>
      </c>
      <c r="C566" s="7" t="str">
        <f>IF(Entity[[#This Row],[Link]]="","",HYPERLINK(HTMLDokuPath&amp;Entity[[#This Row],[Link]],"Doku"))</f>
        <v>Doku</v>
      </c>
      <c r="D566" s="6">
        <v>37</v>
      </c>
      <c r="E566" s="20" t="str">
        <f>IFERROR(IF(VLOOKUP(Entity[ID-Modul],Modul[],3,FALSE)=0,VLOOKUP(Entity[ID-Modul],Modul[],2,FALSE),VLOOKUP(Entity[ID-Modul],Modul[],3,FALSE)),"unbekannt")</f>
        <v>IfcSharedFacilitiesElements</v>
      </c>
      <c r="F566" s="21" t="b">
        <v>1</v>
      </c>
      <c r="G566" s="21" t="b">
        <v>0</v>
      </c>
      <c r="H566" s="22" t="s">
        <v>1096</v>
      </c>
      <c r="I566" s="19">
        <f>LEN(Entity[[#This Row],[IFC-Name]])</f>
        <v>29</v>
      </c>
      <c r="J566" s="7" t="s">
        <v>534</v>
      </c>
      <c r="K566" s="19">
        <f>LEN(Entity[[#This Row],[Klassen-Name]])</f>
        <v>29</v>
      </c>
      <c r="L566" s="7"/>
      <c r="M566" s="19" t="b">
        <f>IF(NOT(Entity[[#This Row],[Supertype]]),TRUE,AND(Entity[[#This Row],[Supertype]],Entity[[#This Row],[Subtype]]))</f>
        <v>1</v>
      </c>
      <c r="N566" s="28" t="s">
        <v>3497</v>
      </c>
      <c r="O566" s="29" t="s">
        <v>2386</v>
      </c>
    </row>
    <row r="567" spans="2:15" ht="20.100000000000001" customHeight="1" x14ac:dyDescent="0.25">
      <c r="B567" s="7" t="s">
        <v>109</v>
      </c>
      <c r="C567" s="7" t="str">
        <f>IF(Entity[[#This Row],[Link]]="","",HYPERLINK(HTMLDokuPath&amp;Entity[[#This Row],[Link]],"Doku"))</f>
        <v>Doku</v>
      </c>
      <c r="D567" s="6">
        <v>38</v>
      </c>
      <c r="E567" s="20" t="str">
        <f>IFERROR(IF(VLOOKUP(Entity[ID-Modul],Modul[],3,FALSE)=0,VLOOKUP(Entity[ID-Modul],Modul[],2,FALSE),VLOOKUP(Entity[ID-Modul],Modul[],3,FALSE)),"unbekannt")</f>
        <v>IfcSharedMgmtElements</v>
      </c>
      <c r="F567" s="21" t="b">
        <v>1</v>
      </c>
      <c r="G567" s="21" t="b">
        <v>0</v>
      </c>
      <c r="H567" s="22" t="s">
        <v>751</v>
      </c>
      <c r="I567" s="19">
        <f>LEN(Entity[[#This Row],[IFC-Name]])</f>
        <v>11</v>
      </c>
      <c r="J567" s="7" t="s">
        <v>109</v>
      </c>
      <c r="K567" s="19">
        <f>LEN(Entity[[#This Row],[Klassen-Name]])</f>
        <v>11</v>
      </c>
      <c r="L567" s="7"/>
      <c r="M567" s="19" t="b">
        <f>IF(NOT(Entity[[#This Row],[Supertype]]),TRUE,AND(Entity[[#This Row],[Supertype]],Entity[[#This Row],[Subtype]]))</f>
        <v>1</v>
      </c>
      <c r="N567" s="28" t="s">
        <v>3027</v>
      </c>
      <c r="O567" s="29" t="s">
        <v>1917</v>
      </c>
    </row>
    <row r="568" spans="2:15" ht="20.100000000000001" customHeight="1" x14ac:dyDescent="0.25">
      <c r="B568" s="7" t="s">
        <v>110</v>
      </c>
      <c r="C568" s="7" t="str">
        <f>IF(Entity[[#This Row],[Link]]="","",HYPERLINK(HTMLDokuPath&amp;Entity[[#This Row],[Link]],"Doku"))</f>
        <v>Doku</v>
      </c>
      <c r="D568" s="6">
        <v>38</v>
      </c>
      <c r="E568" s="20" t="str">
        <f>IFERROR(IF(VLOOKUP(Entity[ID-Modul],Modul[],3,FALSE)=0,VLOOKUP(Entity[ID-Modul],Modul[],2,FALSE),VLOOKUP(Entity[ID-Modul],Modul[],3,FALSE)),"unbekannt")</f>
        <v>IfcSharedMgmtElements</v>
      </c>
      <c r="F568" s="21" t="b">
        <v>1</v>
      </c>
      <c r="G568" s="21" t="b">
        <v>0</v>
      </c>
      <c r="H568" s="22" t="s">
        <v>752</v>
      </c>
      <c r="I568" s="19">
        <f>LEN(Entity[[#This Row],[IFC-Name]])</f>
        <v>15</v>
      </c>
      <c r="J568" s="7" t="s">
        <v>110</v>
      </c>
      <c r="K568" s="19">
        <f>LEN(Entity[[#This Row],[Klassen-Name]])</f>
        <v>15</v>
      </c>
      <c r="L568" s="7"/>
      <c r="M568" s="19" t="b">
        <f>IF(NOT(Entity[[#This Row],[Supertype]]),TRUE,AND(Entity[[#This Row],[Supertype]],Entity[[#This Row],[Subtype]]))</f>
        <v>1</v>
      </c>
      <c r="N568" s="28" t="s">
        <v>3028</v>
      </c>
      <c r="O568" s="29" t="s">
        <v>1918</v>
      </c>
    </row>
    <row r="569" spans="2:15" ht="20.100000000000001" customHeight="1" x14ac:dyDescent="0.25">
      <c r="B569" s="7" t="s">
        <v>349</v>
      </c>
      <c r="C569" s="7" t="str">
        <f>IF(Entity[[#This Row],[Link]]="","",HYPERLINK(HTMLDokuPath&amp;Entity[[#This Row],[Link]],"Doku"))</f>
        <v>Doku</v>
      </c>
      <c r="D569" s="6">
        <v>38</v>
      </c>
      <c r="E569" s="20" t="str">
        <f>IFERROR(IF(VLOOKUP(Entity[ID-Modul],Modul[],3,FALSE)=0,VLOOKUP(Entity[ID-Modul],Modul[],2,FALSE),VLOOKUP(Entity[ID-Modul],Modul[],3,FALSE)),"unbekannt")</f>
        <v>IfcSharedMgmtElements</v>
      </c>
      <c r="F569" s="21" t="b">
        <v>1</v>
      </c>
      <c r="G569" s="21" t="b">
        <v>0</v>
      </c>
      <c r="H569" s="22" t="s">
        <v>948</v>
      </c>
      <c r="I569" s="19">
        <f>LEN(Entity[[#This Row],[IFC-Name]])</f>
        <v>15</v>
      </c>
      <c r="J569" s="7" t="s">
        <v>349</v>
      </c>
      <c r="K569" s="19">
        <f>LEN(Entity[[#This Row],[Klassen-Name]])</f>
        <v>15</v>
      </c>
      <c r="L569" s="7"/>
      <c r="M569" s="19" t="b">
        <f>IF(NOT(Entity[[#This Row],[Supertype]]),TRUE,AND(Entity[[#This Row],[Supertype]],Entity[[#This Row],[Subtype]]))</f>
        <v>1</v>
      </c>
      <c r="N569" s="28" t="s">
        <v>3301</v>
      </c>
      <c r="O569" s="29" t="s">
        <v>2188</v>
      </c>
    </row>
    <row r="570" spans="2:15" ht="20.100000000000001" customHeight="1" x14ac:dyDescent="0.25">
      <c r="B570" s="7" t="s">
        <v>350</v>
      </c>
      <c r="C570" s="7" t="str">
        <f>IF(Entity[[#This Row],[Link]]="","",HYPERLINK(HTMLDokuPath&amp;Entity[[#This Row],[Link]],"Doku"))</f>
        <v>Doku</v>
      </c>
      <c r="D570" s="6">
        <v>38</v>
      </c>
      <c r="E570" s="20" t="str">
        <f>IFERROR(IF(VLOOKUP(Entity[ID-Modul],Modul[],3,FALSE)=0,VLOOKUP(Entity[ID-Modul],Modul[],2,FALSE),VLOOKUP(Entity[ID-Modul],Modul[],3,FALSE)),"unbekannt")</f>
        <v>IfcSharedMgmtElements</v>
      </c>
      <c r="F570" s="21" t="b">
        <v>1</v>
      </c>
      <c r="G570" s="21" t="b">
        <v>0</v>
      </c>
      <c r="H570" s="22" t="s">
        <v>949</v>
      </c>
      <c r="I570" s="19">
        <f>LEN(Entity[[#This Row],[IFC-Name]])</f>
        <v>21</v>
      </c>
      <c r="J570" s="7" t="s">
        <v>350</v>
      </c>
      <c r="K570" s="19">
        <f>LEN(Entity[[#This Row],[Klassen-Name]])</f>
        <v>21</v>
      </c>
      <c r="L570" s="7"/>
      <c r="M570" s="19" t="b">
        <f>IF(NOT(Entity[[#This Row],[Supertype]]),TRUE,AND(Entity[[#This Row],[Supertype]],Entity[[#This Row],[Subtype]]))</f>
        <v>1</v>
      </c>
      <c r="N570" s="28" t="s">
        <v>3302</v>
      </c>
      <c r="O570" s="29" t="s">
        <v>2189</v>
      </c>
    </row>
    <row r="571" spans="2:15" ht="20.100000000000001" customHeight="1" x14ac:dyDescent="0.25">
      <c r="B571" s="7" t="s">
        <v>396</v>
      </c>
      <c r="C571" s="7" t="str">
        <f>IF(Entity[[#This Row],[Link]]="","",HYPERLINK(HTMLDokuPath&amp;Entity[[#This Row],[Link]],"Doku"))</f>
        <v>Doku</v>
      </c>
      <c r="D571" s="6">
        <v>38</v>
      </c>
      <c r="E571" s="20" t="str">
        <f>IFERROR(IF(VLOOKUP(Entity[ID-Modul],Modul[],3,FALSE)=0,VLOOKUP(Entity[ID-Modul],Modul[],2,FALSE),VLOOKUP(Entity[ID-Modul],Modul[],3,FALSE)),"unbekannt")</f>
        <v>IfcSharedMgmtElements</v>
      </c>
      <c r="F571" s="21" t="b">
        <v>1</v>
      </c>
      <c r="G571" s="21" t="b">
        <v>0</v>
      </c>
      <c r="H571" s="22" t="s">
        <v>992</v>
      </c>
      <c r="I571" s="19">
        <f>LEN(Entity[[#This Row],[IFC-Name]])</f>
        <v>27</v>
      </c>
      <c r="J571" s="7" t="s">
        <v>396</v>
      </c>
      <c r="K571" s="19">
        <f>LEN(Entity[[#This Row],[Klassen-Name]])</f>
        <v>27</v>
      </c>
      <c r="L571" s="7"/>
      <c r="M571" s="19" t="b">
        <f>IF(NOT(Entity[[#This Row],[Supertype]]),TRUE,AND(Entity[[#This Row],[Supertype]],Entity[[#This Row],[Subtype]]))</f>
        <v>1</v>
      </c>
      <c r="N571" s="28" t="s">
        <v>3351</v>
      </c>
      <c r="O571" s="29" t="s">
        <v>2240</v>
      </c>
    </row>
    <row r="572" spans="2:15" ht="20.100000000000001" customHeight="1" x14ac:dyDescent="0.25">
      <c r="B572" s="7" t="s">
        <v>399</v>
      </c>
      <c r="C572" s="7" t="str">
        <f>IF(Entity[[#This Row],[Link]]="","",HYPERLINK(HTMLDokuPath&amp;Entity[[#This Row],[Link]],"Doku"))</f>
        <v>Doku</v>
      </c>
      <c r="D572" s="6">
        <v>38</v>
      </c>
      <c r="E572" s="20" t="str">
        <f>IFERROR(IF(VLOOKUP(Entity[ID-Modul],Modul[],3,FALSE)=0,VLOOKUP(Entity[ID-Modul],Modul[],2,FALSE),VLOOKUP(Entity[ID-Modul],Modul[],3,FALSE)),"unbekannt")</f>
        <v>IfcSharedMgmtElements</v>
      </c>
      <c r="F572" s="21" t="b">
        <v>1</v>
      </c>
      <c r="G572" s="21" t="b">
        <v>0</v>
      </c>
      <c r="H572" s="22" t="s">
        <v>994</v>
      </c>
      <c r="I572" s="19">
        <f>LEN(Entity[[#This Row],[IFC-Name]])</f>
        <v>28</v>
      </c>
      <c r="J572" s="7" t="s">
        <v>399</v>
      </c>
      <c r="K572" s="19">
        <f>LEN(Entity[[#This Row],[Klassen-Name]])</f>
        <v>28</v>
      </c>
      <c r="L572" s="7"/>
      <c r="M572" s="19" t="b">
        <f>IF(NOT(Entity[[#This Row],[Supertype]]),TRUE,AND(Entity[[#This Row],[Supertype]],Entity[[#This Row],[Subtype]]))</f>
        <v>1</v>
      </c>
      <c r="N572" s="28" t="s">
        <v>3354</v>
      </c>
      <c r="O572" s="29" t="s">
        <v>2243</v>
      </c>
    </row>
    <row r="573" spans="2:15" ht="20.100000000000001" customHeight="1" x14ac:dyDescent="0.25">
      <c r="B573" s="7" t="s">
        <v>432</v>
      </c>
      <c r="C573" s="7" t="str">
        <f>IF(Entity[[#This Row],[Link]]="","",HYPERLINK(HTMLDokuPath&amp;Entity[[#This Row],[Link]],"Doku"))</f>
        <v>Doku</v>
      </c>
      <c r="D573" s="6">
        <v>38</v>
      </c>
      <c r="E573" s="20" t="str">
        <f>IFERROR(IF(VLOOKUP(Entity[ID-Modul],Modul[],3,FALSE)=0,VLOOKUP(Entity[ID-Modul],Modul[],2,FALSE),VLOOKUP(Entity[ID-Modul],Modul[],3,FALSE)),"unbekannt")</f>
        <v>IfcSharedMgmtElements</v>
      </c>
      <c r="F573" s="21" t="b">
        <v>1</v>
      </c>
      <c r="G573" s="21" t="b">
        <v>0</v>
      </c>
      <c r="H573" s="22" t="s">
        <v>1021</v>
      </c>
      <c r="I573" s="19">
        <f>LEN(Entity[[#This Row],[IFC-Name]])</f>
        <v>24</v>
      </c>
      <c r="J573" s="7" t="s">
        <v>432</v>
      </c>
      <c r="K573" s="19">
        <f>LEN(Entity[[#This Row],[Klassen-Name]])</f>
        <v>24</v>
      </c>
      <c r="L573" s="7"/>
      <c r="M573" s="19" t="b">
        <f>IF(NOT(Entity[[#This Row],[Supertype]]),TRUE,AND(Entity[[#This Row],[Supertype]],Entity[[#This Row],[Subtype]]))</f>
        <v>1</v>
      </c>
      <c r="N573" s="28" t="s">
        <v>3389</v>
      </c>
      <c r="O573" s="29" t="s">
        <v>2276</v>
      </c>
    </row>
    <row r="574" spans="2:15" ht="20.100000000000001" customHeight="1" x14ac:dyDescent="0.25">
      <c r="B574" s="7" t="s">
        <v>406</v>
      </c>
      <c r="C574" s="7" t="str">
        <f>IF(Entity[[#This Row],[Link]]="","",HYPERLINK(HTMLDokuPath&amp;Entity[[#This Row],[Link]],"Doku"))</f>
        <v>Doku</v>
      </c>
      <c r="D574" s="6">
        <v>39</v>
      </c>
      <c r="E574" s="20" t="str">
        <f>IFERROR(IF(VLOOKUP(Entity[ID-Modul],Modul[],3,FALSE)=0,VLOOKUP(Entity[ID-Modul],Modul[],2,FALSE),VLOOKUP(Entity[ID-Modul],Modul[],3,FALSE)),"unbekannt")</f>
        <v>IfcStructuralAnalysisDomain</v>
      </c>
      <c r="F574" s="21" t="b">
        <v>1</v>
      </c>
      <c r="G574" s="21" t="b">
        <v>0</v>
      </c>
      <c r="H574" s="22" t="s">
        <v>1001</v>
      </c>
      <c r="I574" s="19">
        <f>LEN(Entity[[#This Row],[IFC-Name]])</f>
        <v>33</v>
      </c>
      <c r="J574" s="1" t="s">
        <v>2895</v>
      </c>
      <c r="K574" s="19">
        <f>LEN(Entity[[#This Row],[Klassen-Name]])</f>
        <v>27</v>
      </c>
      <c r="L574" s="7"/>
      <c r="M574" s="19" t="b">
        <f>IF(NOT(Entity[[#This Row],[Supertype]]),TRUE,AND(Entity[[#This Row],[Supertype]],Entity[[#This Row],[Subtype]]))</f>
        <v>1</v>
      </c>
      <c r="N574" s="28" t="s">
        <v>3361</v>
      </c>
      <c r="O574" s="29" t="s">
        <v>2250</v>
      </c>
    </row>
    <row r="575" spans="2:15" ht="20.100000000000001" customHeight="1" x14ac:dyDescent="0.25">
      <c r="B575" s="7" t="s">
        <v>412</v>
      </c>
      <c r="C575" s="7" t="str">
        <f>IF(Entity[[#This Row],[Link]]="","",HYPERLINK(HTMLDokuPath&amp;Entity[[#This Row],[Link]],"Doku"))</f>
        <v>Doku</v>
      </c>
      <c r="D575" s="6">
        <v>39</v>
      </c>
      <c r="E575" s="20" t="str">
        <f>IFERROR(IF(VLOOKUP(Entity[ID-Modul],Modul[],3,FALSE)=0,VLOOKUP(Entity[ID-Modul],Modul[],2,FALSE),VLOOKUP(Entity[ID-Modul],Modul[],3,FALSE)),"unbekannt")</f>
        <v>IfcStructuralAnalysisDomain</v>
      </c>
      <c r="F575" s="21" t="b">
        <v>1</v>
      </c>
      <c r="G575" s="21" t="b">
        <v>0</v>
      </c>
      <c r="H575" s="22" t="s">
        <v>1005</v>
      </c>
      <c r="I575" s="19">
        <f>LEN(Entity[[#This Row],[IFC-Name]])</f>
        <v>32</v>
      </c>
      <c r="J575" s="1" t="s">
        <v>2896</v>
      </c>
      <c r="K575" s="19">
        <f>LEN(Entity[[#This Row],[Klassen-Name]])</f>
        <v>29</v>
      </c>
      <c r="L575" s="7"/>
      <c r="M575" s="19" t="b">
        <f>IF(NOT(Entity[[#This Row],[Supertype]]),TRUE,AND(Entity[[#This Row],[Supertype]],Entity[[#This Row],[Subtype]]))</f>
        <v>1</v>
      </c>
      <c r="N575" s="28" t="s">
        <v>3369</v>
      </c>
      <c r="O575" s="29" t="s">
        <v>2256</v>
      </c>
    </row>
    <row r="576" spans="2:15" ht="20.100000000000001" customHeight="1" x14ac:dyDescent="0.25">
      <c r="B576" s="7" t="s">
        <v>413</v>
      </c>
      <c r="C576" s="7" t="str">
        <f>IF(Entity[[#This Row],[Link]]="","",HYPERLINK(HTMLDokuPath&amp;Entity[[#This Row],[Link]],"Doku"))</f>
        <v>Doku</v>
      </c>
      <c r="D576" s="6">
        <v>39</v>
      </c>
      <c r="E576" s="20" t="str">
        <f>IFERROR(IF(VLOOKUP(Entity[ID-Modul],Modul[],3,FALSE)=0,VLOOKUP(Entity[ID-Modul],Modul[],2,FALSE),VLOOKUP(Entity[ID-Modul],Modul[],3,FALSE)),"unbekannt")</f>
        <v>IfcStructuralAnalysisDomain</v>
      </c>
      <c r="F576" s="21" t="b">
        <v>1</v>
      </c>
      <c r="G576" s="21" t="b">
        <v>0</v>
      </c>
      <c r="H576" s="22" t="s">
        <v>1006</v>
      </c>
      <c r="I576" s="19">
        <f>LEN(Entity[[#This Row],[IFC-Name]])</f>
        <v>31</v>
      </c>
      <c r="J576" s="7" t="s">
        <v>413</v>
      </c>
      <c r="K576" s="19">
        <f>LEN(Entity[[#This Row],[Klassen-Name]])</f>
        <v>31</v>
      </c>
      <c r="L576" s="7"/>
      <c r="M576" s="19" t="b">
        <f>IF(NOT(Entity[[#This Row],[Supertype]]),TRUE,AND(Entity[[#This Row],[Supertype]],Entity[[#This Row],[Subtype]]))</f>
        <v>1</v>
      </c>
      <c r="N576" s="28" t="s">
        <v>3370</v>
      </c>
      <c r="O576" s="29" t="s">
        <v>2257</v>
      </c>
    </row>
    <row r="577" spans="2:15" ht="20.100000000000001" customHeight="1" x14ac:dyDescent="0.25">
      <c r="B577" s="7" t="s">
        <v>414</v>
      </c>
      <c r="C577" s="7" t="str">
        <f>IF(Entity[[#This Row],[Link]]="","",HYPERLINK(HTMLDokuPath&amp;Entity[[#This Row],[Link]],"Doku"))</f>
        <v>Doku</v>
      </c>
      <c r="D577" s="6">
        <v>39</v>
      </c>
      <c r="E577" s="20" t="str">
        <f>IFERROR(IF(VLOOKUP(Entity[ID-Modul],Modul[],3,FALSE)=0,VLOOKUP(Entity[ID-Modul],Modul[],2,FALSE),VLOOKUP(Entity[ID-Modul],Modul[],3,FALSE)),"unbekannt")</f>
        <v>IfcStructuralAnalysisDomain</v>
      </c>
      <c r="F577" s="21" t="b">
        <v>1</v>
      </c>
      <c r="G577" s="21" t="b">
        <v>1</v>
      </c>
      <c r="H577" s="22" t="s">
        <v>1407</v>
      </c>
      <c r="I577" s="19">
        <f>LEN(Entity[[#This Row],[IFC-Name]])</f>
        <v>30</v>
      </c>
      <c r="J577" s="7" t="s">
        <v>414</v>
      </c>
      <c r="K577" s="19">
        <f>LEN(Entity[[#This Row],[Klassen-Name]])</f>
        <v>30</v>
      </c>
      <c r="L577" s="7"/>
      <c r="M577" s="19" t="b">
        <f>IF(NOT(Entity[[#This Row],[Supertype]]),TRUE,AND(Entity[[#This Row],[Supertype]],Entity[[#This Row],[Subtype]]))</f>
        <v>1</v>
      </c>
      <c r="N577" s="28" t="s">
        <v>3371</v>
      </c>
      <c r="O577" s="29" t="s">
        <v>2258</v>
      </c>
    </row>
    <row r="578" spans="2:15" ht="20.100000000000001" customHeight="1" x14ac:dyDescent="0.25">
      <c r="B578" s="7" t="s">
        <v>415</v>
      </c>
      <c r="C578" s="7" t="str">
        <f>IF(Entity[[#This Row],[Link]]="","",HYPERLINK(HTMLDokuPath&amp;Entity[[#This Row],[Link]],"Doku"))</f>
        <v>Doku</v>
      </c>
      <c r="D578" s="6">
        <v>39</v>
      </c>
      <c r="E578" s="20" t="str">
        <f>IFERROR(IF(VLOOKUP(Entity[ID-Modul],Modul[],3,FALSE)=0,VLOOKUP(Entity[ID-Modul],Modul[],2,FALSE),VLOOKUP(Entity[ID-Modul],Modul[],3,FALSE)),"unbekannt")</f>
        <v>IfcStructuralAnalysisDomain</v>
      </c>
      <c r="F578" s="21" t="b">
        <v>1</v>
      </c>
      <c r="G578" s="21" t="b">
        <v>0</v>
      </c>
      <c r="H578" s="22" t="s">
        <v>1007</v>
      </c>
      <c r="I578" s="19">
        <f>LEN(Entity[[#This Row],[IFC-Name]])</f>
        <v>30</v>
      </c>
      <c r="J578" s="7" t="s">
        <v>415</v>
      </c>
      <c r="K578" s="19">
        <f>LEN(Entity[[#This Row],[Klassen-Name]])</f>
        <v>30</v>
      </c>
      <c r="L578" s="7"/>
      <c r="M578" s="19" t="b">
        <f>IF(NOT(Entity[[#This Row],[Supertype]]),TRUE,AND(Entity[[#This Row],[Supertype]],Entity[[#This Row],[Subtype]]))</f>
        <v>1</v>
      </c>
      <c r="N578" s="28" t="s">
        <v>3372</v>
      </c>
      <c r="O578" s="29" t="s">
        <v>2259</v>
      </c>
    </row>
    <row r="579" spans="2:15" ht="20.100000000000001" customHeight="1" x14ac:dyDescent="0.25">
      <c r="B579" s="7" t="s">
        <v>480</v>
      </c>
      <c r="C579" s="7" t="str">
        <f>IF(Entity[[#This Row],[Link]]="","",HYPERLINK(HTMLDokuPath&amp;Entity[[#This Row],[Link]],"Doku"))</f>
        <v>Doku</v>
      </c>
      <c r="D579" s="6">
        <v>39</v>
      </c>
      <c r="E579" s="20" t="str">
        <f>IFERROR(IF(VLOOKUP(Entity[ID-Modul],Modul[],3,FALSE)=0,VLOOKUP(Entity[ID-Modul],Modul[],2,FALSE),VLOOKUP(Entity[ID-Modul],Modul[],3,FALSE)),"unbekannt")</f>
        <v>IfcStructuralAnalysisDomain</v>
      </c>
      <c r="F579" s="21" t="b">
        <v>1</v>
      </c>
      <c r="G579" s="21" t="b">
        <v>1</v>
      </c>
      <c r="H579" s="22" t="s">
        <v>1422</v>
      </c>
      <c r="I579" s="19">
        <f>LEN(Entity[[#This Row],[IFC-Name]])</f>
        <v>19</v>
      </c>
      <c r="J579" s="7" t="s">
        <v>480</v>
      </c>
      <c r="K579" s="19">
        <f>LEN(Entity[[#This Row],[Klassen-Name]])</f>
        <v>19</v>
      </c>
      <c r="L579" s="7"/>
      <c r="M579" s="19" t="b">
        <f>IF(NOT(Entity[[#This Row],[Supertype]]),TRUE,AND(Entity[[#This Row],[Supertype]],Entity[[#This Row],[Subtype]]))</f>
        <v>1</v>
      </c>
      <c r="N579" s="28" t="s">
        <v>3440</v>
      </c>
      <c r="O579" s="29" t="s">
        <v>2329</v>
      </c>
    </row>
    <row r="580" spans="2:15" ht="20.100000000000001" customHeight="1" x14ac:dyDescent="0.25">
      <c r="B580" s="7" t="s">
        <v>481</v>
      </c>
      <c r="C580" s="7" t="str">
        <f>IF(Entity[[#This Row],[Link]]="","",HYPERLINK(HTMLDokuPath&amp;Entity[[#This Row],[Link]],"Doku"))</f>
        <v>Doku</v>
      </c>
      <c r="D580" s="6">
        <v>39</v>
      </c>
      <c r="E580" s="20" t="str">
        <f>IFERROR(IF(VLOOKUP(Entity[ID-Modul],Modul[],3,FALSE)=0,VLOOKUP(Entity[ID-Modul],Modul[],2,FALSE),VLOOKUP(Entity[ID-Modul],Modul[],3,FALSE)),"unbekannt")</f>
        <v>IfcStructuralAnalysisDomain</v>
      </c>
      <c r="F580" s="21" t="b">
        <v>1</v>
      </c>
      <c r="G580" s="21" t="b">
        <v>1</v>
      </c>
      <c r="H580" s="22" t="s">
        <v>1423</v>
      </c>
      <c r="I580" s="19">
        <f>LEN(Entity[[#This Row],[IFC-Name]])</f>
        <v>21</v>
      </c>
      <c r="J580" s="7" t="s">
        <v>481</v>
      </c>
      <c r="K580" s="19">
        <f>LEN(Entity[[#This Row],[Klassen-Name]])</f>
        <v>21</v>
      </c>
      <c r="L580" s="7"/>
      <c r="M580" s="19" t="b">
        <f>IF(NOT(Entity[[#This Row],[Supertype]]),TRUE,AND(Entity[[#This Row],[Supertype]],Entity[[#This Row],[Subtype]]))</f>
        <v>1</v>
      </c>
      <c r="N580" s="28" t="s">
        <v>3441</v>
      </c>
      <c r="O580" s="29" t="s">
        <v>2330</v>
      </c>
    </row>
    <row r="581" spans="2:15" ht="20.100000000000001" customHeight="1" x14ac:dyDescent="0.25">
      <c r="B581" s="7" t="s">
        <v>482</v>
      </c>
      <c r="C581" s="7" t="str">
        <f>IF(Entity[[#This Row],[Link]]="","",HYPERLINK(HTMLDokuPath&amp;Entity[[#This Row],[Link]],"Doku"))</f>
        <v>Doku</v>
      </c>
      <c r="D581" s="6">
        <v>39</v>
      </c>
      <c r="E581" s="20" t="str">
        <f>IFERROR(IF(VLOOKUP(Entity[ID-Modul],Modul[],3,FALSE)=0,VLOOKUP(Entity[ID-Modul],Modul[],2,FALSE),VLOOKUP(Entity[ID-Modul],Modul[],3,FALSE)),"unbekannt")</f>
        <v>IfcStructuralAnalysisDomain</v>
      </c>
      <c r="F581" s="21" t="b">
        <v>1</v>
      </c>
      <c r="G581" s="21" t="b">
        <v>0</v>
      </c>
      <c r="H581" s="22" t="s">
        <v>1063</v>
      </c>
      <c r="I581" s="19">
        <f>LEN(Entity[[#This Row],[IFC-Name]])</f>
        <v>26</v>
      </c>
      <c r="J581" s="7" t="s">
        <v>482</v>
      </c>
      <c r="K581" s="19">
        <f>LEN(Entity[[#This Row],[Klassen-Name]])</f>
        <v>26</v>
      </c>
      <c r="L581" s="7"/>
      <c r="M581" s="19" t="b">
        <f>IF(NOT(Entity[[#This Row],[Supertype]]),TRUE,AND(Entity[[#This Row],[Supertype]],Entity[[#This Row],[Subtype]]))</f>
        <v>1</v>
      </c>
      <c r="N581" s="28" t="s">
        <v>3442</v>
      </c>
      <c r="O581" s="29" t="s">
        <v>2331</v>
      </c>
    </row>
    <row r="582" spans="2:15" ht="20.100000000000001" customHeight="1" x14ac:dyDescent="0.25">
      <c r="B582" s="7" t="s">
        <v>483</v>
      </c>
      <c r="C582" s="7" t="str">
        <f>IF(Entity[[#This Row],[Link]]="","",HYPERLINK(HTMLDokuPath&amp;Entity[[#This Row],[Link]],"Doku"))</f>
        <v>Doku</v>
      </c>
      <c r="D582" s="6">
        <v>39</v>
      </c>
      <c r="E582" s="20" t="str">
        <f>IFERROR(IF(VLOOKUP(Entity[ID-Modul],Modul[],3,FALSE)=0,VLOOKUP(Entity[ID-Modul],Modul[],2,FALSE),VLOOKUP(Entity[ID-Modul],Modul[],3,FALSE)),"unbekannt")</f>
        <v>IfcStructuralAnalysisDomain</v>
      </c>
      <c r="F582" s="21" t="b">
        <v>1</v>
      </c>
      <c r="G582" s="21" t="b">
        <v>1</v>
      </c>
      <c r="H582" s="22" t="s">
        <v>1424</v>
      </c>
      <c r="I582" s="19">
        <f>LEN(Entity[[#This Row],[IFC-Name]])</f>
        <v>23</v>
      </c>
      <c r="J582" s="7" t="s">
        <v>483</v>
      </c>
      <c r="K582" s="19">
        <f>LEN(Entity[[#This Row],[Klassen-Name]])</f>
        <v>23</v>
      </c>
      <c r="L582" s="7"/>
      <c r="M582" s="19" t="b">
        <f>IF(NOT(Entity[[#This Row],[Supertype]]),TRUE,AND(Entity[[#This Row],[Supertype]],Entity[[#This Row],[Subtype]]))</f>
        <v>1</v>
      </c>
      <c r="N582" s="28" t="s">
        <v>3443</v>
      </c>
      <c r="O582" s="29" t="s">
        <v>2332</v>
      </c>
    </row>
    <row r="583" spans="2:15" ht="20.100000000000001" customHeight="1" x14ac:dyDescent="0.25">
      <c r="B583" s="7" t="s">
        <v>485</v>
      </c>
      <c r="C583" s="7" t="str">
        <f>IF(Entity[[#This Row],[Link]]="","",HYPERLINK(HTMLDokuPath&amp;Entity[[#This Row],[Link]],"Doku"))</f>
        <v>Doku</v>
      </c>
      <c r="D583" s="6">
        <v>39</v>
      </c>
      <c r="E583" s="20" t="str">
        <f>IFERROR(IF(VLOOKUP(Entity[ID-Modul],Modul[],3,FALSE)=0,VLOOKUP(Entity[ID-Modul],Modul[],2,FALSE),VLOOKUP(Entity[ID-Modul],Modul[],3,FALSE)),"unbekannt")</f>
        <v>IfcStructuralAnalysisDomain</v>
      </c>
      <c r="F583" s="21" t="b">
        <v>1</v>
      </c>
      <c r="G583" s="21" t="b">
        <v>0</v>
      </c>
      <c r="H583" s="22" t="s">
        <v>1064</v>
      </c>
      <c r="I583" s="19">
        <f>LEN(Entity[[#This Row],[IFC-Name]])</f>
        <v>28</v>
      </c>
      <c r="J583" s="7" t="s">
        <v>485</v>
      </c>
      <c r="K583" s="19">
        <f>LEN(Entity[[#This Row],[Klassen-Name]])</f>
        <v>28</v>
      </c>
      <c r="L583" s="7"/>
      <c r="M583" s="19" t="b">
        <f>IF(NOT(Entity[[#This Row],[Supertype]]),TRUE,AND(Entity[[#This Row],[Supertype]],Entity[[#This Row],[Subtype]]))</f>
        <v>1</v>
      </c>
      <c r="N583" s="28" t="s">
        <v>3445</v>
      </c>
      <c r="O583" s="29" t="s">
        <v>2334</v>
      </c>
    </row>
    <row r="584" spans="2:15" ht="20.100000000000001" customHeight="1" x14ac:dyDescent="0.25">
      <c r="B584" s="7" t="s">
        <v>486</v>
      </c>
      <c r="C584" s="7" t="str">
        <f>IF(Entity[[#This Row],[Link]]="","",HYPERLINK(HTMLDokuPath&amp;Entity[[#This Row],[Link]],"Doku"))</f>
        <v>Doku</v>
      </c>
      <c r="D584" s="6">
        <v>39</v>
      </c>
      <c r="E584" s="20" t="str">
        <f>IFERROR(IF(VLOOKUP(Entity[ID-Modul],Modul[],3,FALSE)=0,VLOOKUP(Entity[ID-Modul],Modul[],2,FALSE),VLOOKUP(Entity[ID-Modul],Modul[],3,FALSE)),"unbekannt")</f>
        <v>IfcStructuralAnalysisDomain</v>
      </c>
      <c r="F584" s="21" t="b">
        <v>1</v>
      </c>
      <c r="G584" s="21" t="b">
        <v>1</v>
      </c>
      <c r="H584" s="22" t="s">
        <v>1426</v>
      </c>
      <c r="I584" s="19">
        <f>LEN(Entity[[#This Row],[IFC-Name]])</f>
        <v>24</v>
      </c>
      <c r="J584" s="7" t="s">
        <v>486</v>
      </c>
      <c r="K584" s="19">
        <f>LEN(Entity[[#This Row],[Klassen-Name]])</f>
        <v>24</v>
      </c>
      <c r="L584" s="7"/>
      <c r="M584" s="19" t="b">
        <f>IF(NOT(Entity[[#This Row],[Supertype]]),TRUE,AND(Entity[[#This Row],[Supertype]],Entity[[#This Row],[Subtype]]))</f>
        <v>1</v>
      </c>
      <c r="N584" s="28" t="s">
        <v>3446</v>
      </c>
      <c r="O584" s="29" t="s">
        <v>2335</v>
      </c>
    </row>
    <row r="585" spans="2:15" ht="20.100000000000001" customHeight="1" x14ac:dyDescent="0.25">
      <c r="B585" s="7" t="s">
        <v>487</v>
      </c>
      <c r="C585" s="7" t="str">
        <f>IF(Entity[[#This Row],[Link]]="","",HYPERLINK(HTMLDokuPath&amp;Entity[[#This Row],[Link]],"Doku"))</f>
        <v>Doku</v>
      </c>
      <c r="D585" s="6">
        <v>39</v>
      </c>
      <c r="E585" s="20" t="str">
        <f>IFERROR(IF(VLOOKUP(Entity[ID-Modul],Modul[],3,FALSE)=0,VLOOKUP(Entity[ID-Modul],Modul[],2,FALSE),VLOOKUP(Entity[ID-Modul],Modul[],3,FALSE)),"unbekannt")</f>
        <v>IfcStructuralAnalysisDomain</v>
      </c>
      <c r="F585" s="21" t="b">
        <v>1</v>
      </c>
      <c r="G585" s="21" t="b">
        <v>0</v>
      </c>
      <c r="H585" s="22" t="s">
        <v>1065</v>
      </c>
      <c r="I585" s="19">
        <f>LEN(Entity[[#This Row],[IFC-Name]])</f>
        <v>31</v>
      </c>
      <c r="J585" s="7" t="s">
        <v>487</v>
      </c>
      <c r="K585" s="19">
        <f>LEN(Entity[[#This Row],[Klassen-Name]])</f>
        <v>31</v>
      </c>
      <c r="L585" s="7"/>
      <c r="M585" s="19" t="b">
        <f>IF(NOT(Entity[[#This Row],[Supertype]]),TRUE,AND(Entity[[#This Row],[Supertype]],Entity[[#This Row],[Subtype]]))</f>
        <v>1</v>
      </c>
      <c r="N585" s="28" t="s">
        <v>3447</v>
      </c>
      <c r="O585" s="29" t="s">
        <v>2336</v>
      </c>
    </row>
    <row r="586" spans="2:15" ht="20.100000000000001" customHeight="1" x14ac:dyDescent="0.25">
      <c r="B586" s="7" t="s">
        <v>488</v>
      </c>
      <c r="C586" s="7" t="str">
        <f>IF(Entity[[#This Row],[Link]]="","",HYPERLINK(HTMLDokuPath&amp;Entity[[#This Row],[Link]],"Doku"))</f>
        <v>Doku</v>
      </c>
      <c r="D586" s="6">
        <v>39</v>
      </c>
      <c r="E586" s="20" t="str">
        <f>IFERROR(IF(VLOOKUP(Entity[ID-Modul],Modul[],3,FALSE)=0,VLOOKUP(Entity[ID-Modul],Modul[],2,FALSE),VLOOKUP(Entity[ID-Modul],Modul[],3,FALSE)),"unbekannt")</f>
        <v>IfcStructuralAnalysisDomain</v>
      </c>
      <c r="F586" s="21" t="b">
        <v>1</v>
      </c>
      <c r="G586" s="21" t="b">
        <v>1</v>
      </c>
      <c r="H586" s="22" t="s">
        <v>1427</v>
      </c>
      <c r="I586" s="19">
        <f>LEN(Entity[[#This Row],[IFC-Name]])</f>
        <v>17</v>
      </c>
      <c r="J586" s="7" t="s">
        <v>488</v>
      </c>
      <c r="K586" s="19">
        <f>LEN(Entity[[#This Row],[Klassen-Name]])</f>
        <v>17</v>
      </c>
      <c r="L586" s="7"/>
      <c r="M586" s="19" t="b">
        <f>IF(NOT(Entity[[#This Row],[Supertype]]),TRUE,AND(Entity[[#This Row],[Supertype]],Entity[[#This Row],[Subtype]]))</f>
        <v>1</v>
      </c>
      <c r="N586" s="28" t="s">
        <v>3448</v>
      </c>
      <c r="O586" s="29" t="s">
        <v>2337</v>
      </c>
    </row>
    <row r="587" spans="2:15" ht="20.100000000000001" customHeight="1" x14ac:dyDescent="0.25">
      <c r="B587" s="7" t="s">
        <v>489</v>
      </c>
      <c r="C587" s="7" t="str">
        <f>IF(Entity[[#This Row],[Link]]="","",HYPERLINK(HTMLDokuPath&amp;Entity[[#This Row],[Link]],"Doku"))</f>
        <v>Doku</v>
      </c>
      <c r="D587" s="6">
        <v>39</v>
      </c>
      <c r="E587" s="20" t="str">
        <f>IFERROR(IF(VLOOKUP(Entity[ID-Modul],Modul[],3,FALSE)=0,VLOOKUP(Entity[ID-Modul],Modul[],2,FALSE),VLOOKUP(Entity[ID-Modul],Modul[],3,FALSE)),"unbekannt")</f>
        <v>IfcStructuralAnalysisDomain</v>
      </c>
      <c r="F587" s="21" t="b">
        <v>1</v>
      </c>
      <c r="G587" s="21" t="b">
        <v>1</v>
      </c>
      <c r="H587" s="22" t="s">
        <v>1428</v>
      </c>
      <c r="I587" s="19">
        <f>LEN(Entity[[#This Row],[IFC-Name]])</f>
        <v>25</v>
      </c>
      <c r="J587" s="7" t="s">
        <v>489</v>
      </c>
      <c r="K587" s="19">
        <f>LEN(Entity[[#This Row],[Klassen-Name]])</f>
        <v>25</v>
      </c>
      <c r="L587" s="7"/>
      <c r="M587" s="19" t="b">
        <f>IF(NOT(Entity[[#This Row],[Supertype]]),TRUE,AND(Entity[[#This Row],[Supertype]],Entity[[#This Row],[Subtype]]))</f>
        <v>1</v>
      </c>
      <c r="N587" s="28" t="s">
        <v>3449</v>
      </c>
      <c r="O587" s="29" t="s">
        <v>2338</v>
      </c>
    </row>
    <row r="588" spans="2:15" ht="20.100000000000001" customHeight="1" x14ac:dyDescent="0.25">
      <c r="B588" s="7" t="s">
        <v>490</v>
      </c>
      <c r="C588" s="7" t="str">
        <f>IF(Entity[[#This Row],[Link]]="","",HYPERLINK(HTMLDokuPath&amp;Entity[[#This Row],[Link]],"Doku"))</f>
        <v>Doku</v>
      </c>
      <c r="D588" s="6">
        <v>39</v>
      </c>
      <c r="E588" s="20" t="str">
        <f>IFERROR(IF(VLOOKUP(Entity[ID-Modul],Modul[],3,FALSE)=0,VLOOKUP(Entity[ID-Modul],Modul[],2,FALSE),VLOOKUP(Entity[ID-Modul],Modul[],3,FALSE)),"unbekannt")</f>
        <v>IfcStructuralAnalysisDomain</v>
      </c>
      <c r="F588" s="21" t="b">
        <v>1</v>
      </c>
      <c r="G588" s="21" t="b">
        <v>0</v>
      </c>
      <c r="H588" s="22" t="s">
        <v>1066</v>
      </c>
      <c r="I588" s="19">
        <f>LEN(Entity[[#This Row],[IFC-Name]])</f>
        <v>32</v>
      </c>
      <c r="J588" s="1" t="s">
        <v>2899</v>
      </c>
      <c r="K588" s="19">
        <f>LEN(Entity[[#This Row],[Klassen-Name]])</f>
        <v>28</v>
      </c>
      <c r="L588" s="7"/>
      <c r="M588" s="19" t="b">
        <f>IF(NOT(Entity[[#This Row],[Supertype]]),TRUE,AND(Entity[[#This Row],[Supertype]],Entity[[#This Row],[Subtype]]))</f>
        <v>1</v>
      </c>
      <c r="N588" s="28" t="s">
        <v>3450</v>
      </c>
      <c r="O588" s="29" t="s">
        <v>2339</v>
      </c>
    </row>
    <row r="589" spans="2:15" ht="20.100000000000001" customHeight="1" x14ac:dyDescent="0.25">
      <c r="B589" s="7" t="s">
        <v>492</v>
      </c>
      <c r="C589" s="7" t="str">
        <f>IF(Entity[[#This Row],[Link]]="","",HYPERLINK(HTMLDokuPath&amp;Entity[[#This Row],[Link]],"Doku"))</f>
        <v>Doku</v>
      </c>
      <c r="D589" s="6">
        <v>39</v>
      </c>
      <c r="E589" s="20" t="str">
        <f>IFERROR(IF(VLOOKUP(Entity[ID-Modul],Modul[],3,FALSE)=0,VLOOKUP(Entity[ID-Modul],Modul[],2,FALSE),VLOOKUP(Entity[ID-Modul],Modul[],3,FALSE)),"unbekannt")</f>
        <v>IfcStructuralAnalysisDomain</v>
      </c>
      <c r="F589" s="21" t="b">
        <v>1</v>
      </c>
      <c r="G589" s="21" t="b">
        <v>0</v>
      </c>
      <c r="H589" s="22" t="s">
        <v>1067</v>
      </c>
      <c r="I589" s="19">
        <f>LEN(Entity[[#This Row],[IFC-Name]])</f>
        <v>22</v>
      </c>
      <c r="J589" s="7" t="s">
        <v>492</v>
      </c>
      <c r="K589" s="19">
        <f>LEN(Entity[[#This Row],[Klassen-Name]])</f>
        <v>22</v>
      </c>
      <c r="L589" s="7"/>
      <c r="M589" s="19" t="b">
        <f>IF(NOT(Entity[[#This Row],[Supertype]]),TRUE,AND(Entity[[#This Row],[Supertype]],Entity[[#This Row],[Subtype]]))</f>
        <v>1</v>
      </c>
      <c r="N589" s="28" t="s">
        <v>3452</v>
      </c>
      <c r="O589" s="29" t="s">
        <v>2341</v>
      </c>
    </row>
    <row r="590" spans="2:15" ht="20.100000000000001" customHeight="1" x14ac:dyDescent="0.25">
      <c r="B590" s="7" t="s">
        <v>501</v>
      </c>
      <c r="C590" s="7" t="str">
        <f>IF(Entity[[#This Row],[Link]]="","",HYPERLINK(HTMLDokuPath&amp;Entity[[#This Row],[Link]],"Doku"))</f>
        <v>Doku</v>
      </c>
      <c r="D590" s="6">
        <v>39</v>
      </c>
      <c r="E590" s="20" t="str">
        <f>IFERROR(IF(VLOOKUP(Entity[ID-Modul],Modul[],3,FALSE)=0,VLOOKUP(Entity[ID-Modul],Modul[],2,FALSE),VLOOKUP(Entity[ID-Modul],Modul[],3,FALSE)),"unbekannt")</f>
        <v>IfcStructuralAnalysisDomain</v>
      </c>
      <c r="F590" s="21" t="b">
        <v>1</v>
      </c>
      <c r="G590" s="21" t="b">
        <v>1</v>
      </c>
      <c r="H590" s="22" t="s">
        <v>1433</v>
      </c>
      <c r="I590" s="19">
        <f>LEN(Entity[[#This Row],[IFC-Name]])</f>
        <v>19</v>
      </c>
      <c r="J590" s="7" t="s">
        <v>501</v>
      </c>
      <c r="K590" s="19">
        <f>LEN(Entity[[#This Row],[Klassen-Name]])</f>
        <v>19</v>
      </c>
      <c r="L590" s="7"/>
      <c r="M590" s="19" t="b">
        <f>IF(NOT(Entity[[#This Row],[Supertype]]),TRUE,AND(Entity[[#This Row],[Supertype]],Entity[[#This Row],[Subtype]]))</f>
        <v>1</v>
      </c>
      <c r="N590" s="28" t="s">
        <v>3461</v>
      </c>
      <c r="O590" s="29" t="s">
        <v>2350</v>
      </c>
    </row>
    <row r="591" spans="2:15" ht="20.100000000000001" customHeight="1" x14ac:dyDescent="0.25">
      <c r="B591" s="7" t="s">
        <v>502</v>
      </c>
      <c r="C591" s="7" t="str">
        <f>IF(Entity[[#This Row],[Link]]="","",HYPERLINK(HTMLDokuPath&amp;Entity[[#This Row],[Link]],"Doku"))</f>
        <v>Doku</v>
      </c>
      <c r="D591" s="6">
        <v>39</v>
      </c>
      <c r="E591" s="20" t="str">
        <f>IFERROR(IF(VLOOKUP(Entity[ID-Modul],Modul[],3,FALSE)=0,VLOOKUP(Entity[ID-Modul],Modul[],2,FALSE),VLOOKUP(Entity[ID-Modul],Modul[],3,FALSE)),"unbekannt")</f>
        <v>IfcStructuralAnalysisDomain</v>
      </c>
      <c r="F591" s="21" t="b">
        <v>1</v>
      </c>
      <c r="G591" s="21" t="b">
        <v>1</v>
      </c>
      <c r="H591" s="22" t="s">
        <v>1434</v>
      </c>
      <c r="I591" s="19">
        <f>LEN(Entity[[#This Row],[IFC-Name]])</f>
        <v>25</v>
      </c>
      <c r="J591" s="7" t="s">
        <v>502</v>
      </c>
      <c r="K591" s="19">
        <f>LEN(Entity[[#This Row],[Klassen-Name]])</f>
        <v>25</v>
      </c>
      <c r="L591" s="7"/>
      <c r="M591" s="19" t="b">
        <f>IF(NOT(Entity[[#This Row],[Supertype]]),TRUE,AND(Entity[[#This Row],[Supertype]],Entity[[#This Row],[Subtype]]))</f>
        <v>1</v>
      </c>
      <c r="N591" s="28" t="s">
        <v>3462</v>
      </c>
      <c r="O591" s="29" t="s">
        <v>2351</v>
      </c>
    </row>
    <row r="592" spans="2:15" ht="20.100000000000001" customHeight="1" x14ac:dyDescent="0.25">
      <c r="B592" s="7" t="s">
        <v>503</v>
      </c>
      <c r="C592" s="7" t="str">
        <f>IF(Entity[[#This Row],[Link]]="","",HYPERLINK(HTMLDokuPath&amp;Entity[[#This Row],[Link]],"Doku"))</f>
        <v>Doku</v>
      </c>
      <c r="D592" s="6">
        <v>39</v>
      </c>
      <c r="E592" s="20" t="str">
        <f>IFERROR(IF(VLOOKUP(Entity[ID-Modul],Modul[],3,FALSE)=0,VLOOKUP(Entity[ID-Modul],Modul[],2,FALSE),VLOOKUP(Entity[ID-Modul],Modul[],3,FALSE)),"unbekannt")</f>
        <v>IfcStructuralAnalysisDomain</v>
      </c>
      <c r="F592" s="21" t="b">
        <v>1</v>
      </c>
      <c r="G592" s="21" t="b">
        <v>0</v>
      </c>
      <c r="H592" s="22" t="s">
        <v>1073</v>
      </c>
      <c r="I592" s="19">
        <f>LEN(Entity[[#This Row],[IFC-Name]])</f>
        <v>32</v>
      </c>
      <c r="J592" s="1" t="s">
        <v>2898</v>
      </c>
      <c r="K592" s="19">
        <f>LEN(Entity[[#This Row],[Klassen-Name]])</f>
        <v>28</v>
      </c>
      <c r="L592" s="7"/>
      <c r="M592" s="19" t="b">
        <f>IF(NOT(Entity[[#This Row],[Supertype]]),TRUE,AND(Entity[[#This Row],[Supertype]],Entity[[#This Row],[Subtype]]))</f>
        <v>1</v>
      </c>
      <c r="N592" s="28" t="s">
        <v>3463</v>
      </c>
      <c r="O592" s="29" t="s">
        <v>2352</v>
      </c>
    </row>
    <row r="593" spans="2:15" ht="20.100000000000001" customHeight="1" x14ac:dyDescent="0.25">
      <c r="B593" s="7" t="s">
        <v>504</v>
      </c>
      <c r="C593" s="7" t="str">
        <f>IF(Entity[[#This Row],[Link]]="","",HYPERLINK(HTMLDokuPath&amp;Entity[[#This Row],[Link]],"Doku"))</f>
        <v>Doku</v>
      </c>
      <c r="D593" s="6">
        <v>39</v>
      </c>
      <c r="E593" s="20" t="str">
        <f>IFERROR(IF(VLOOKUP(Entity[ID-Modul],Modul[],3,FALSE)=0,VLOOKUP(Entity[ID-Modul],Modul[],2,FALSE),VLOOKUP(Entity[ID-Modul],Modul[],3,FALSE)),"unbekannt")</f>
        <v>IfcStructuralAnalysisDomain</v>
      </c>
      <c r="F593" s="21" t="b">
        <v>1</v>
      </c>
      <c r="G593" s="21" t="b">
        <v>0</v>
      </c>
      <c r="H593" s="22" t="s">
        <v>1074</v>
      </c>
      <c r="I593" s="19">
        <f>LEN(Entity[[#This Row],[IFC-Name]])</f>
        <v>24</v>
      </c>
      <c r="J593" s="7" t="s">
        <v>504</v>
      </c>
      <c r="K593" s="19">
        <f>LEN(Entity[[#This Row],[Klassen-Name]])</f>
        <v>24</v>
      </c>
      <c r="L593" s="7"/>
      <c r="M593" s="19" t="b">
        <f>IF(NOT(Entity[[#This Row],[Supertype]]),TRUE,AND(Entity[[#This Row],[Supertype]],Entity[[#This Row],[Subtype]]))</f>
        <v>1</v>
      </c>
      <c r="N593" s="28" t="s">
        <v>3464</v>
      </c>
      <c r="O593" s="29" t="s">
        <v>2353</v>
      </c>
    </row>
    <row r="594" spans="2:15" ht="20.100000000000001" customHeight="1" x14ac:dyDescent="0.25">
      <c r="B594" s="7" t="s">
        <v>505</v>
      </c>
      <c r="C594" s="7" t="str">
        <f>IF(Entity[[#This Row],[Link]]="","",HYPERLINK(HTMLDokuPath&amp;Entity[[#This Row],[Link]],"Doku"))</f>
        <v>Doku</v>
      </c>
      <c r="D594" s="6">
        <v>39</v>
      </c>
      <c r="E594" s="20" t="str">
        <f>IFERROR(IF(VLOOKUP(Entity[ID-Modul],Modul[],3,FALSE)=0,VLOOKUP(Entity[ID-Modul],Modul[],2,FALSE),VLOOKUP(Entity[ID-Modul],Modul[],3,FALSE)),"unbekannt")</f>
        <v>IfcStructuralAnalysisDomain</v>
      </c>
      <c r="F594" s="21" t="b">
        <v>1</v>
      </c>
      <c r="G594" s="21" t="b">
        <v>0</v>
      </c>
      <c r="H594" s="22" t="s">
        <v>1075</v>
      </c>
      <c r="I594" s="19">
        <f>LEN(Entity[[#This Row],[IFC-Name]])</f>
        <v>28</v>
      </c>
      <c r="J594" s="7" t="s">
        <v>505</v>
      </c>
      <c r="K594" s="19">
        <f>LEN(Entity[[#This Row],[Klassen-Name]])</f>
        <v>28</v>
      </c>
      <c r="L594" s="7"/>
      <c r="M594" s="19" t="b">
        <f>IF(NOT(Entity[[#This Row],[Supertype]]),TRUE,AND(Entity[[#This Row],[Supertype]],Entity[[#This Row],[Subtype]]))</f>
        <v>1</v>
      </c>
      <c r="N594" s="28" t="s">
        <v>3465</v>
      </c>
      <c r="O594" s="29" t="s">
        <v>2354</v>
      </c>
    </row>
    <row r="595" spans="2:15" ht="20.100000000000001" customHeight="1" x14ac:dyDescent="0.25">
      <c r="B595" s="7" t="s">
        <v>506</v>
      </c>
      <c r="C595" s="7" t="str">
        <f>IF(Entity[[#This Row],[Link]]="","",HYPERLINK(HTMLDokuPath&amp;Entity[[#This Row],[Link]],"Doku"))</f>
        <v>Doku</v>
      </c>
      <c r="D595" s="6">
        <v>39</v>
      </c>
      <c r="E595" s="20" t="str">
        <f>IFERROR(IF(VLOOKUP(Entity[ID-Modul],Modul[],3,FALSE)=0,VLOOKUP(Entity[ID-Modul],Modul[],2,FALSE),VLOOKUP(Entity[ID-Modul],Modul[],3,FALSE)),"unbekannt")</f>
        <v>IfcStructuralAnalysisDomain</v>
      </c>
      <c r="F595" s="21" t="b">
        <v>1</v>
      </c>
      <c r="G595" s="21" t="b">
        <v>0</v>
      </c>
      <c r="H595" s="22" t="s">
        <v>1076</v>
      </c>
      <c r="I595" s="19">
        <f>LEN(Entity[[#This Row],[IFC-Name]])</f>
        <v>26</v>
      </c>
      <c r="J595" s="7" t="s">
        <v>506</v>
      </c>
      <c r="K595" s="19">
        <f>LEN(Entity[[#This Row],[Klassen-Name]])</f>
        <v>26</v>
      </c>
      <c r="L595" s="7"/>
      <c r="M595" s="19" t="b">
        <f>IF(NOT(Entity[[#This Row],[Supertype]]),TRUE,AND(Entity[[#This Row],[Supertype]],Entity[[#This Row],[Subtype]]))</f>
        <v>1</v>
      </c>
      <c r="N595" s="28" t="s">
        <v>3466</v>
      </c>
      <c r="O595" s="29" t="s">
        <v>2355</v>
      </c>
    </row>
    <row r="596" spans="2:15" ht="20.100000000000001" customHeight="1" x14ac:dyDescent="0.25">
      <c r="B596" s="7" t="s">
        <v>508</v>
      </c>
      <c r="C596" s="7" t="str">
        <f>IF(Entity[[#This Row],[Link]]="","",HYPERLINK(HTMLDokuPath&amp;Entity[[#This Row],[Link]],"Doku"))</f>
        <v>Doku</v>
      </c>
      <c r="D596" s="6">
        <v>39</v>
      </c>
      <c r="E596" s="20" t="str">
        <f>IFERROR(IF(VLOOKUP(Entity[ID-Modul],Modul[],3,FALSE)=0,VLOOKUP(Entity[ID-Modul],Modul[],2,FALSE),VLOOKUP(Entity[ID-Modul],Modul[],3,FALSE)),"unbekannt")</f>
        <v>IfcStructuralAnalysisDomain</v>
      </c>
      <c r="F596" s="21" t="b">
        <v>1</v>
      </c>
      <c r="G596" s="21" t="b">
        <v>1</v>
      </c>
      <c r="H596" s="22" t="s">
        <v>1436</v>
      </c>
      <c r="I596" s="19">
        <f>LEN(Entity[[#This Row],[IFC-Name]])</f>
        <v>21</v>
      </c>
      <c r="J596" s="7" t="s">
        <v>508</v>
      </c>
      <c r="K596" s="19">
        <f>LEN(Entity[[#This Row],[Klassen-Name]])</f>
        <v>21</v>
      </c>
      <c r="L596" s="7"/>
      <c r="M596" s="19" t="b">
        <f>IF(NOT(Entity[[#This Row],[Supertype]]),TRUE,AND(Entity[[#This Row],[Supertype]],Entity[[#This Row],[Subtype]]))</f>
        <v>1</v>
      </c>
      <c r="N596" s="28" t="s">
        <v>3468</v>
      </c>
      <c r="O596" s="29" t="s">
        <v>2357</v>
      </c>
    </row>
    <row r="597" spans="2:15" ht="20.100000000000001" customHeight="1" x14ac:dyDescent="0.25">
      <c r="B597" s="7" t="s">
        <v>509</v>
      </c>
      <c r="C597" s="7" t="str">
        <f>IF(Entity[[#This Row],[Link]]="","",HYPERLINK(HTMLDokuPath&amp;Entity[[#This Row],[Link]],"Doku"))</f>
        <v>Doku</v>
      </c>
      <c r="D597" s="6">
        <v>39</v>
      </c>
      <c r="E597" s="20" t="str">
        <f>IFERROR(IF(VLOOKUP(Entity[ID-Modul],Modul[],3,FALSE)=0,VLOOKUP(Entity[ID-Modul],Modul[],2,FALSE),VLOOKUP(Entity[ID-Modul],Modul[],3,FALSE)),"unbekannt")</f>
        <v>IfcStructuralAnalysisDomain</v>
      </c>
      <c r="F597" s="21" t="b">
        <v>1</v>
      </c>
      <c r="G597" s="21" t="b">
        <v>0</v>
      </c>
      <c r="H597" s="22" t="s">
        <v>1077</v>
      </c>
      <c r="I597" s="19">
        <f>LEN(Entity[[#This Row],[IFC-Name]])</f>
        <v>24</v>
      </c>
      <c r="J597" s="7" t="s">
        <v>509</v>
      </c>
      <c r="K597" s="19">
        <f>LEN(Entity[[#This Row],[Klassen-Name]])</f>
        <v>24</v>
      </c>
      <c r="L597" s="7"/>
      <c r="M597" s="19" t="b">
        <f>IF(NOT(Entity[[#This Row],[Supertype]]),TRUE,AND(Entity[[#This Row],[Supertype]],Entity[[#This Row],[Subtype]]))</f>
        <v>1</v>
      </c>
      <c r="N597" s="28" t="s">
        <v>3469</v>
      </c>
      <c r="O597" s="29" t="s">
        <v>2358</v>
      </c>
    </row>
    <row r="598" spans="2:15" ht="20.100000000000001" customHeight="1" x14ac:dyDescent="0.25">
      <c r="B598" s="7" t="s">
        <v>511</v>
      </c>
      <c r="C598" s="7" t="str">
        <f>IF(Entity[[#This Row],[Link]]="","",HYPERLINK(HTMLDokuPath&amp;Entity[[#This Row],[Link]],"Doku"))</f>
        <v>Doku</v>
      </c>
      <c r="D598" s="6">
        <v>39</v>
      </c>
      <c r="E598" s="20" t="str">
        <f>IFERROR(IF(VLOOKUP(Entity[ID-Modul],Modul[],3,FALSE)=0,VLOOKUP(Entity[ID-Modul],Modul[],2,FALSE),VLOOKUP(Entity[ID-Modul],Modul[],3,FALSE)),"unbekannt")</f>
        <v>IfcStructuralAnalysisDomain</v>
      </c>
      <c r="F598" s="21" t="b">
        <v>1</v>
      </c>
      <c r="G598" s="21" t="b">
        <v>0</v>
      </c>
      <c r="H598" s="22" t="s">
        <v>1079</v>
      </c>
      <c r="I598" s="19">
        <f>LEN(Entity[[#This Row],[IFC-Name]])</f>
        <v>30</v>
      </c>
      <c r="J598" s="7" t="s">
        <v>511</v>
      </c>
      <c r="K598" s="19">
        <f>LEN(Entity[[#This Row],[Klassen-Name]])</f>
        <v>30</v>
      </c>
      <c r="L598" s="7"/>
      <c r="M598" s="19" t="b">
        <f>IF(NOT(Entity[[#This Row],[Supertype]]),TRUE,AND(Entity[[#This Row],[Supertype]],Entity[[#This Row],[Subtype]]))</f>
        <v>1</v>
      </c>
      <c r="N598" s="28" t="s">
        <v>3471</v>
      </c>
      <c r="O598" s="29" t="s">
        <v>2360</v>
      </c>
    </row>
    <row r="599" spans="2:15" ht="20.100000000000001" customHeight="1" x14ac:dyDescent="0.25">
      <c r="B599" s="7" t="s">
        <v>512</v>
      </c>
      <c r="C599" s="7" t="str">
        <f>IF(Entity[[#This Row],[Link]]="","",HYPERLINK(HTMLDokuPath&amp;Entity[[#This Row],[Link]],"Doku"))</f>
        <v>Doku</v>
      </c>
      <c r="D599" s="6">
        <v>39</v>
      </c>
      <c r="E599" s="20" t="str">
        <f>IFERROR(IF(VLOOKUP(Entity[ID-Modul],Modul[],3,FALSE)=0,VLOOKUP(Entity[ID-Modul],Modul[],2,FALSE),VLOOKUP(Entity[ID-Modul],Modul[],3,FALSE)),"unbekannt")</f>
        <v>IfcStructuralAnalysisDomain</v>
      </c>
      <c r="F599" s="21" t="b">
        <v>1</v>
      </c>
      <c r="G599" s="21" t="b">
        <v>1</v>
      </c>
      <c r="H599" s="22" t="s">
        <v>1437</v>
      </c>
      <c r="I599" s="19">
        <f>LEN(Entity[[#This Row],[IFC-Name]])</f>
        <v>26</v>
      </c>
      <c r="J599" s="7" t="s">
        <v>512</v>
      </c>
      <c r="K599" s="19">
        <f>LEN(Entity[[#This Row],[Klassen-Name]])</f>
        <v>26</v>
      </c>
      <c r="L599" s="7"/>
      <c r="M599" s="19" t="b">
        <f>IF(NOT(Entity[[#This Row],[Supertype]]),TRUE,AND(Entity[[#This Row],[Supertype]],Entity[[#This Row],[Subtype]]))</f>
        <v>1</v>
      </c>
      <c r="N599" s="28" t="s">
        <v>3472</v>
      </c>
      <c r="O599" s="29" t="s">
        <v>2361</v>
      </c>
    </row>
    <row r="600" spans="2:15" ht="20.100000000000001" customHeight="1" x14ac:dyDescent="0.25">
      <c r="B600" s="7" t="s">
        <v>513</v>
      </c>
      <c r="C600" s="7" t="str">
        <f>IF(Entity[[#This Row],[Link]]="","",HYPERLINK(HTMLDokuPath&amp;Entity[[#This Row],[Link]],"Doku"))</f>
        <v>Doku</v>
      </c>
      <c r="D600" s="6">
        <v>39</v>
      </c>
      <c r="E600" s="20" t="str">
        <f>IFERROR(IF(VLOOKUP(Entity[ID-Modul],Modul[],3,FALSE)=0,VLOOKUP(Entity[ID-Modul],Modul[],2,FALSE),VLOOKUP(Entity[ID-Modul],Modul[],3,FALSE)),"unbekannt")</f>
        <v>IfcStructuralAnalysisDomain</v>
      </c>
      <c r="F600" s="21" t="b">
        <v>1</v>
      </c>
      <c r="G600" s="21" t="b">
        <v>0</v>
      </c>
      <c r="H600" s="22" t="s">
        <v>1080</v>
      </c>
      <c r="I600" s="19">
        <f>LEN(Entity[[#This Row],[IFC-Name]])</f>
        <v>33</v>
      </c>
      <c r="J600" s="1" t="s">
        <v>2897</v>
      </c>
      <c r="K600" s="19">
        <f>LEN(Entity[[#This Row],[Klassen-Name]])</f>
        <v>29</v>
      </c>
      <c r="L600" s="7"/>
      <c r="M600" s="19" t="b">
        <f>IF(NOT(Entity[[#This Row],[Supertype]]),TRUE,AND(Entity[[#This Row],[Supertype]],Entity[[#This Row],[Subtype]]))</f>
        <v>1</v>
      </c>
      <c r="N600" s="28" t="s">
        <v>3473</v>
      </c>
      <c r="O600" s="29" t="s">
        <v>2362</v>
      </c>
    </row>
    <row r="601" spans="2:15" ht="20.100000000000001" customHeight="1" x14ac:dyDescent="0.25">
      <c r="B601" s="7" t="s">
        <v>53</v>
      </c>
      <c r="C601" s="7" t="str">
        <f>IF(Entity[[#This Row],[Link]]="","",HYPERLINK(HTMLDokuPath&amp;Entity[[#This Row],[Link]],"Doku"))</f>
        <v>Doku</v>
      </c>
      <c r="D601" s="6">
        <v>40</v>
      </c>
      <c r="E601" s="20" t="str">
        <f>IFERROR(IF(VLOOKUP(Entity[ID-Modul],Modul[],3,FALSE)=0,VLOOKUP(Entity[ID-Modul],Modul[],2,FALSE),VLOOKUP(Entity[ID-Modul],Modul[],3,FALSE)),"unbekannt")</f>
        <v>IfcStructuralElementsDomain</v>
      </c>
      <c r="F601" s="21" t="b">
        <v>1</v>
      </c>
      <c r="G601" s="21" t="b">
        <v>1</v>
      </c>
      <c r="H601" s="22" t="s">
        <v>1307</v>
      </c>
      <c r="I601" s="19">
        <f>LEN(Entity[[#This Row],[IFC-Name]])</f>
        <v>27</v>
      </c>
      <c r="J601" s="7" t="s">
        <v>53</v>
      </c>
      <c r="K601" s="19">
        <f>LEN(Entity[[#This Row],[Klassen-Name]])</f>
        <v>27</v>
      </c>
      <c r="L601" s="7"/>
      <c r="M601" s="19" t="b">
        <f>IF(NOT(Entity[[#This Row],[Supertype]]),TRUE,AND(Entity[[#This Row],[Supertype]],Entity[[#This Row],[Subtype]]))</f>
        <v>1</v>
      </c>
      <c r="N601" s="28" t="s">
        <v>2962</v>
      </c>
      <c r="O601" s="29" t="s">
        <v>1851</v>
      </c>
    </row>
    <row r="602" spans="2:15" ht="20.100000000000001" customHeight="1" x14ac:dyDescent="0.25">
      <c r="B602" s="7" t="s">
        <v>54</v>
      </c>
      <c r="C602" s="7" t="str">
        <f>IF(Entity[[#This Row],[Link]]="","",HYPERLINK(HTMLDokuPath&amp;Entity[[#This Row],[Link]],"Doku"))</f>
        <v>Doku</v>
      </c>
      <c r="D602" s="6">
        <v>40</v>
      </c>
      <c r="E602" s="20" t="str">
        <f>IFERROR(IF(VLOOKUP(Entity[ID-Modul],Modul[],3,FALSE)=0,VLOOKUP(Entity[ID-Modul],Modul[],2,FALSE),VLOOKUP(Entity[ID-Modul],Modul[],3,FALSE)),"unbekannt")</f>
        <v>IfcStructuralElementsDomain</v>
      </c>
      <c r="F602" s="21" t="b">
        <v>1</v>
      </c>
      <c r="G602" s="21" t="b">
        <v>0</v>
      </c>
      <c r="H602" s="22" t="s">
        <v>700</v>
      </c>
      <c r="I602" s="19">
        <f>LEN(Entity[[#This Row],[IFC-Name]])</f>
        <v>22</v>
      </c>
      <c r="J602" s="7" t="s">
        <v>54</v>
      </c>
      <c r="K602" s="19">
        <f>LEN(Entity[[#This Row],[Klassen-Name]])</f>
        <v>22</v>
      </c>
      <c r="L602" s="7"/>
      <c r="M602" s="19" t="b">
        <f>IF(NOT(Entity[[#This Row],[Supertype]]),TRUE,AND(Entity[[#This Row],[Supertype]],Entity[[#This Row],[Subtype]]))</f>
        <v>1</v>
      </c>
      <c r="N602" s="28" t="s">
        <v>2963</v>
      </c>
      <c r="O602" s="29" t="s">
        <v>1852</v>
      </c>
    </row>
    <row r="603" spans="2:15" ht="20.100000000000001" customHeight="1" x14ac:dyDescent="0.25">
      <c r="B603" s="7" t="s">
        <v>233</v>
      </c>
      <c r="C603" s="7" t="str">
        <f>IF(Entity[[#This Row],[Link]]="","",HYPERLINK(HTMLDokuPath&amp;Entity[[#This Row],[Link]],"Doku"))</f>
        <v>Doku</v>
      </c>
      <c r="D603" s="6">
        <v>40</v>
      </c>
      <c r="E603" s="20" t="str">
        <f>IFERROR(IF(VLOOKUP(Entity[ID-Modul],Modul[],3,FALSE)=0,VLOOKUP(Entity[ID-Modul],Modul[],2,FALSE),VLOOKUP(Entity[ID-Modul],Modul[],3,FALSE)),"unbekannt")</f>
        <v>IfcStructuralElementsDomain</v>
      </c>
      <c r="F603" s="21" t="b">
        <v>1</v>
      </c>
      <c r="G603" s="21" t="b">
        <v>0</v>
      </c>
      <c r="H603" s="22" t="s">
        <v>850</v>
      </c>
      <c r="I603" s="19">
        <f>LEN(Entity[[#This Row],[IFC-Name]])</f>
        <v>10</v>
      </c>
      <c r="J603" s="7" t="s">
        <v>233</v>
      </c>
      <c r="K603" s="19">
        <f>LEN(Entity[[#This Row],[Klassen-Name]])</f>
        <v>10</v>
      </c>
      <c r="L603" s="7"/>
      <c r="M603" s="19" t="b">
        <f>IF(NOT(Entity[[#This Row],[Supertype]]),TRUE,AND(Entity[[#This Row],[Supertype]],Entity[[#This Row],[Subtype]]))</f>
        <v>1</v>
      </c>
      <c r="N603" s="28" t="s">
        <v>3163</v>
      </c>
      <c r="O603" s="29" t="s">
        <v>2052</v>
      </c>
    </row>
    <row r="604" spans="2:15" ht="20.100000000000001" customHeight="1" x14ac:dyDescent="0.25">
      <c r="B604" s="7" t="s">
        <v>311</v>
      </c>
      <c r="C604" s="7" t="str">
        <f>IF(Entity[[#This Row],[Link]]="","",HYPERLINK(HTMLDokuPath&amp;Entity[[#This Row],[Link]],"Doku"))</f>
        <v>Doku</v>
      </c>
      <c r="D604" s="6">
        <v>40</v>
      </c>
      <c r="E604" s="20" t="str">
        <f>IFERROR(IF(VLOOKUP(Entity[ID-Modul],Modul[],3,FALSE)=0,VLOOKUP(Entity[ID-Modul],Modul[],2,FALSE),VLOOKUP(Entity[ID-Modul],Modul[],3,FALSE)),"unbekannt")</f>
        <v>IfcStructuralElementsDomain</v>
      </c>
      <c r="F604" s="21" t="b">
        <v>1</v>
      </c>
      <c r="G604" s="21" t="b">
        <v>0</v>
      </c>
      <c r="H604" s="22" t="s">
        <v>925</v>
      </c>
      <c r="I604" s="19">
        <f>LEN(Entity[[#This Row],[IFC-Name]])</f>
        <v>7</v>
      </c>
      <c r="J604" s="7" t="s">
        <v>311</v>
      </c>
      <c r="K604" s="19">
        <f>LEN(Entity[[#This Row],[Klassen-Name]])</f>
        <v>7</v>
      </c>
      <c r="L604" s="7"/>
      <c r="M604" s="19" t="b">
        <f>IF(NOT(Entity[[#This Row],[Supertype]]),TRUE,AND(Entity[[#This Row],[Supertype]],Entity[[#This Row],[Subtype]]))</f>
        <v>1</v>
      </c>
      <c r="N604" s="28" t="s">
        <v>3260</v>
      </c>
      <c r="O604" s="29" t="s">
        <v>2149</v>
      </c>
    </row>
    <row r="605" spans="2:15" ht="20.100000000000001" customHeight="1" x14ac:dyDescent="0.25">
      <c r="B605" s="7" t="s">
        <v>384</v>
      </c>
      <c r="C605" s="7" t="str">
        <f>IF(Entity[[#This Row],[Link]]="","",HYPERLINK(HTMLDokuPath&amp;Entity[[#This Row],[Link]],"Doku"))</f>
        <v>Doku</v>
      </c>
      <c r="D605" s="6">
        <v>40</v>
      </c>
      <c r="E605" s="20" t="str">
        <f>IFERROR(IF(VLOOKUP(Entity[ID-Modul],Modul[],3,FALSE)=0,VLOOKUP(Entity[ID-Modul],Modul[],2,FALSE),VLOOKUP(Entity[ID-Modul],Modul[],3,FALSE)),"unbekannt")</f>
        <v>IfcStructuralElementsDomain</v>
      </c>
      <c r="F605" s="21" t="b">
        <v>1</v>
      </c>
      <c r="G605" s="21" t="b">
        <v>0</v>
      </c>
      <c r="H605" s="22" t="s">
        <v>984</v>
      </c>
      <c r="I605" s="19">
        <f>LEN(Entity[[#This Row],[IFC-Name]])</f>
        <v>36</v>
      </c>
      <c r="J605" s="1" t="s">
        <v>2900</v>
      </c>
      <c r="K605" s="19">
        <f>LEN(Entity[[#This Row],[Klassen-Name]])</f>
        <v>30</v>
      </c>
      <c r="L605" s="7"/>
      <c r="M605" s="19" t="b">
        <f>IF(NOT(Entity[[#This Row],[Supertype]]),TRUE,AND(Entity[[#This Row],[Supertype]],Entity[[#This Row],[Subtype]]))</f>
        <v>1</v>
      </c>
      <c r="N605" s="28" t="s">
        <v>3339</v>
      </c>
      <c r="O605" s="29" t="s">
        <v>2228</v>
      </c>
    </row>
    <row r="606" spans="2:15" ht="20.100000000000001" customHeight="1" x14ac:dyDescent="0.25">
      <c r="B606" s="7" t="s">
        <v>385</v>
      </c>
      <c r="C606" s="7" t="str">
        <f>IF(Entity[[#This Row],[Link]]="","",HYPERLINK(HTMLDokuPath&amp;Entity[[#This Row],[Link]],"Doku"))</f>
        <v>Doku</v>
      </c>
      <c r="D606" s="6">
        <v>40</v>
      </c>
      <c r="E606" s="20" t="str">
        <f>IFERROR(IF(VLOOKUP(Entity[ID-Modul],Modul[],3,FALSE)=0,VLOOKUP(Entity[ID-Modul],Modul[],2,FALSE),VLOOKUP(Entity[ID-Modul],Modul[],3,FALSE)),"unbekannt")</f>
        <v>IfcStructuralElementsDomain</v>
      </c>
      <c r="F606" s="21" t="b">
        <v>1</v>
      </c>
      <c r="G606" s="21" t="b">
        <v>0</v>
      </c>
      <c r="H606" s="22" t="s">
        <v>985</v>
      </c>
      <c r="I606" s="19">
        <f>LEN(Entity[[#This Row],[IFC-Name]])</f>
        <v>17</v>
      </c>
      <c r="J606" s="7" t="s">
        <v>385</v>
      </c>
      <c r="K606" s="19">
        <f>LEN(Entity[[#This Row],[Klassen-Name]])</f>
        <v>17</v>
      </c>
      <c r="L606" s="7"/>
      <c r="M606" s="19" t="b">
        <f>IF(NOT(Entity[[#This Row],[Supertype]]),TRUE,AND(Entity[[#This Row],[Supertype]],Entity[[#This Row],[Subtype]]))</f>
        <v>1</v>
      </c>
      <c r="N606" s="28" t="s">
        <v>3340</v>
      </c>
      <c r="O606" s="29" t="s">
        <v>2229</v>
      </c>
    </row>
    <row r="607" spans="2:15" ht="20.100000000000001" customHeight="1" x14ac:dyDescent="0.25">
      <c r="B607" s="7" t="s">
        <v>386</v>
      </c>
      <c r="C607" s="7" t="str">
        <f>IF(Entity[[#This Row],[Link]]="","",HYPERLINK(HTMLDokuPath&amp;Entity[[#This Row],[Link]],"Doku"))</f>
        <v>Doku</v>
      </c>
      <c r="D607" s="6">
        <v>40</v>
      </c>
      <c r="E607" s="20" t="str">
        <f>IFERROR(IF(VLOOKUP(Entity[ID-Modul],Modul[],3,FALSE)=0,VLOOKUP(Entity[ID-Modul],Modul[],2,FALSE),VLOOKUP(Entity[ID-Modul],Modul[],3,FALSE)),"unbekannt")</f>
        <v>IfcStructuralElementsDomain</v>
      </c>
      <c r="F607" s="21" t="b">
        <v>1</v>
      </c>
      <c r="G607" s="21" t="b">
        <v>1</v>
      </c>
      <c r="H607" s="22" t="s">
        <v>1400</v>
      </c>
      <c r="I607" s="19">
        <f>LEN(Entity[[#This Row],[IFC-Name]])</f>
        <v>21</v>
      </c>
      <c r="J607" s="7" t="s">
        <v>386</v>
      </c>
      <c r="K607" s="19">
        <f>LEN(Entity[[#This Row],[Klassen-Name]])</f>
        <v>21</v>
      </c>
      <c r="L607" s="7"/>
      <c r="M607" s="19" t="b">
        <f>IF(NOT(Entity[[#This Row],[Supertype]]),TRUE,AND(Entity[[#This Row],[Supertype]],Entity[[#This Row],[Subtype]]))</f>
        <v>1</v>
      </c>
      <c r="N607" s="28" t="s">
        <v>3341</v>
      </c>
      <c r="O607" s="29" t="s">
        <v>2230</v>
      </c>
    </row>
    <row r="608" spans="2:15" ht="20.100000000000001" customHeight="1" x14ac:dyDescent="0.25">
      <c r="B608" s="7" t="s">
        <v>387</v>
      </c>
      <c r="C608" s="7" t="str">
        <f>IF(Entity[[#This Row],[Link]]="","",HYPERLINK(HTMLDokuPath&amp;Entity[[#This Row],[Link]],"Doku"))</f>
        <v>Doku</v>
      </c>
      <c r="D608" s="6">
        <v>40</v>
      </c>
      <c r="E608" s="20" t="str">
        <f>IFERROR(IF(VLOOKUP(Entity[ID-Modul],Modul[],3,FALSE)=0,VLOOKUP(Entity[ID-Modul],Modul[],2,FALSE),VLOOKUP(Entity[ID-Modul],Modul[],3,FALSE)),"unbekannt")</f>
        <v>IfcStructuralElementsDomain</v>
      </c>
      <c r="F608" s="21" t="b">
        <v>1</v>
      </c>
      <c r="G608" s="21" t="b">
        <v>0</v>
      </c>
      <c r="H608" s="22" t="s">
        <v>986</v>
      </c>
      <c r="I608" s="19">
        <f>LEN(Entity[[#This Row],[IFC-Name]])</f>
        <v>18</v>
      </c>
      <c r="J608" s="7" t="s">
        <v>387</v>
      </c>
      <c r="K608" s="19">
        <f>LEN(Entity[[#This Row],[Klassen-Name]])</f>
        <v>18</v>
      </c>
      <c r="L608" s="7"/>
      <c r="M608" s="19" t="b">
        <f>IF(NOT(Entity[[#This Row],[Supertype]]),TRUE,AND(Entity[[#This Row],[Supertype]],Entity[[#This Row],[Subtype]]))</f>
        <v>1</v>
      </c>
      <c r="N608" s="28" t="s">
        <v>3342</v>
      </c>
      <c r="O608" s="29" t="s">
        <v>2231</v>
      </c>
    </row>
    <row r="609" spans="2:15" ht="20.100000000000001" customHeight="1" x14ac:dyDescent="0.25">
      <c r="B609" s="7" t="s">
        <v>539</v>
      </c>
      <c r="C609" s="7" t="str">
        <f>IF(Entity[[#This Row],[Link]]="","",HYPERLINK(HTMLDokuPath&amp;Entity[[#This Row],[Link]],"Doku"))</f>
        <v>Doku</v>
      </c>
      <c r="D609" s="6">
        <v>40</v>
      </c>
      <c r="E609" s="20" t="str">
        <f>IFERROR(IF(VLOOKUP(Entity[ID-Modul],Modul[],3,FALSE)=0,VLOOKUP(Entity[ID-Modul],Modul[],2,FALSE),VLOOKUP(Entity[ID-Modul],Modul[],3,FALSE)),"unbekannt")</f>
        <v>IfcStructuralElementsDomain</v>
      </c>
      <c r="F609" s="21" t="b">
        <v>1</v>
      </c>
      <c r="G609" s="21" t="b">
        <v>0</v>
      </c>
      <c r="H609" s="22" t="s">
        <v>1102</v>
      </c>
      <c r="I609" s="19">
        <f>LEN(Entity[[#This Row],[IFC-Name]])</f>
        <v>9</v>
      </c>
      <c r="J609" s="7" t="s">
        <v>539</v>
      </c>
      <c r="K609" s="19">
        <f>LEN(Entity[[#This Row],[Klassen-Name]])</f>
        <v>9</v>
      </c>
      <c r="L609" s="7"/>
      <c r="M609" s="19" t="b">
        <f>IF(NOT(Entity[[#This Row],[Supertype]]),TRUE,AND(Entity[[#This Row],[Supertype]],Entity[[#This Row],[Subtype]]))</f>
        <v>1</v>
      </c>
      <c r="N609" s="28" t="s">
        <v>3503</v>
      </c>
      <c r="O609" s="29" t="s">
        <v>2393</v>
      </c>
    </row>
    <row r="610" spans="2:15" ht="20.100000000000001" customHeight="1" x14ac:dyDescent="0.25">
      <c r="B610" s="7" t="s">
        <v>540</v>
      </c>
      <c r="C610" s="7" t="str">
        <f>IF(Entity[[#This Row],[Link]]="","",HYPERLINK(HTMLDokuPath&amp;Entity[[#This Row],[Link]],"Doku"))</f>
        <v>Doku</v>
      </c>
      <c r="D610" s="6">
        <v>40</v>
      </c>
      <c r="E610" s="20" t="str">
        <f>IFERROR(IF(VLOOKUP(Entity[ID-Modul],Modul[],3,FALSE)=0,VLOOKUP(Entity[ID-Modul],Modul[],2,FALSE),VLOOKUP(Entity[ID-Modul],Modul[],3,FALSE)),"unbekannt")</f>
        <v>IfcStructuralElementsDomain</v>
      </c>
      <c r="F610" s="21" t="b">
        <v>1</v>
      </c>
      <c r="G610" s="21" t="b">
        <v>0</v>
      </c>
      <c r="H610" s="22" t="s">
        <v>1103</v>
      </c>
      <c r="I610" s="19">
        <f>LEN(Entity[[#This Row],[IFC-Name]])</f>
        <v>15</v>
      </c>
      <c r="J610" s="7" t="s">
        <v>540</v>
      </c>
      <c r="K610" s="19">
        <f>LEN(Entity[[#This Row],[Klassen-Name]])</f>
        <v>15</v>
      </c>
      <c r="L610" s="7"/>
      <c r="M610" s="19" t="b">
        <f>IF(NOT(Entity[[#This Row],[Supertype]]),TRUE,AND(Entity[[#This Row],[Supertype]],Entity[[#This Row],[Subtype]]))</f>
        <v>1</v>
      </c>
      <c r="N610" s="28" t="s">
        <v>3504</v>
      </c>
      <c r="O610" s="29" t="s">
        <v>2394</v>
      </c>
    </row>
    <row r="611" spans="2:15" ht="20.100000000000001" customHeight="1" x14ac:dyDescent="0.25">
      <c r="B611" s="7" t="s">
        <v>42</v>
      </c>
      <c r="C611" s="7" t="str">
        <f>IF(Entity[[#This Row],[Link]]="","",HYPERLINK(HTMLDokuPath&amp;Entity[[#This Row],[Link]],"Doku"))</f>
        <v>Doku</v>
      </c>
      <c r="D611" s="6">
        <v>41</v>
      </c>
      <c r="E611" s="20" t="str">
        <f>IFERROR(IF(VLOOKUP(Entity[ID-Modul],Modul[],3,FALSE)=0,VLOOKUP(Entity[ID-Modul],Modul[],2,FALSE),VLOOKUP(Entity[ID-Modul],Modul[],3,FALSE)),"unbekannt")</f>
        <v>IfcStructuralLoadResource</v>
      </c>
      <c r="F611" s="21" t="b">
        <v>0</v>
      </c>
      <c r="G611" s="21" t="b">
        <v>1</v>
      </c>
      <c r="H611" s="22" t="s">
        <v>1302</v>
      </c>
      <c r="I611" s="19">
        <f>LEN(Entity[[#This Row],[IFC-Name]])</f>
        <v>20</v>
      </c>
      <c r="J611" s="7" t="s">
        <v>2859</v>
      </c>
      <c r="K611" s="19">
        <f>LEN(Entity[[#This Row],[Klassen-Name]])</f>
        <v>0</v>
      </c>
      <c r="L611" s="7"/>
      <c r="M611" s="19" t="b">
        <f>IF(NOT(Entity[[#This Row],[Supertype]]),TRUE,AND(Entity[[#This Row],[Supertype]],Entity[[#This Row],[Subtype]]))</f>
        <v>0</v>
      </c>
      <c r="N611" s="28" t="s">
        <v>2950</v>
      </c>
      <c r="O611" s="29" t="s">
        <v>1840</v>
      </c>
    </row>
    <row r="612" spans="2:15" ht="20.100000000000001" customHeight="1" x14ac:dyDescent="0.25">
      <c r="B612" s="7" t="s">
        <v>43</v>
      </c>
      <c r="C612" s="7" t="str">
        <f>IF(Entity[[#This Row],[Link]]="","",HYPERLINK(HTMLDokuPath&amp;Entity[[#This Row],[Link]],"Doku"))</f>
        <v>Doku</v>
      </c>
      <c r="D612" s="6">
        <v>41</v>
      </c>
      <c r="E612" s="20" t="str">
        <f>IFERROR(IF(VLOOKUP(Entity[ID-Modul],Modul[],3,FALSE)=0,VLOOKUP(Entity[ID-Modul],Modul[],2,FALSE),VLOOKUP(Entity[ID-Modul],Modul[],3,FALSE)),"unbekannt")</f>
        <v>IfcStructuralLoadResource</v>
      </c>
      <c r="F612" s="21" t="b">
        <v>1</v>
      </c>
      <c r="G612" s="21" t="b">
        <v>0</v>
      </c>
      <c r="H612" s="22" t="s">
        <v>694</v>
      </c>
      <c r="I612" s="19">
        <f>LEN(Entity[[#This Row],[IFC-Name]])</f>
        <v>24</v>
      </c>
      <c r="J612" s="7" t="s">
        <v>43</v>
      </c>
      <c r="K612" s="19">
        <f>LEN(Entity[[#This Row],[Klassen-Name]])</f>
        <v>24</v>
      </c>
      <c r="L612" s="7"/>
      <c r="M612" s="19" t="b">
        <f>IF(NOT(Entity[[#This Row],[Supertype]]),TRUE,AND(Entity[[#This Row],[Supertype]],Entity[[#This Row],[Subtype]]))</f>
        <v>1</v>
      </c>
      <c r="N612" s="28" t="s">
        <v>2951</v>
      </c>
      <c r="O612" s="29" t="s">
        <v>1841</v>
      </c>
    </row>
    <row r="613" spans="2:15" ht="20.100000000000001" customHeight="1" x14ac:dyDescent="0.25">
      <c r="B613" s="7" t="s">
        <v>44</v>
      </c>
      <c r="C613" s="7" t="str">
        <f>IF(Entity[[#This Row],[Link]]="","",HYPERLINK(HTMLDokuPath&amp;Entity[[#This Row],[Link]],"Doku"))</f>
        <v>Doku</v>
      </c>
      <c r="D613" s="6">
        <v>41</v>
      </c>
      <c r="E613" s="20" t="str">
        <f>IFERROR(IF(VLOOKUP(Entity[ID-Modul],Modul[],3,FALSE)=0,VLOOKUP(Entity[ID-Modul],Modul[],2,FALSE),VLOOKUP(Entity[ID-Modul],Modul[],3,FALSE)),"unbekannt")</f>
        <v>IfcStructuralLoadResource</v>
      </c>
      <c r="F613" s="21" t="b">
        <v>1</v>
      </c>
      <c r="G613" s="21" t="b">
        <v>0</v>
      </c>
      <c r="H613" s="22" t="s">
        <v>695</v>
      </c>
      <c r="I613" s="19">
        <f>LEN(Entity[[#This Row],[IFC-Name]])</f>
        <v>24</v>
      </c>
      <c r="J613" s="7" t="s">
        <v>44</v>
      </c>
      <c r="K613" s="19">
        <f>LEN(Entity[[#This Row],[Klassen-Name]])</f>
        <v>24</v>
      </c>
      <c r="L613" s="7"/>
      <c r="M613" s="19" t="b">
        <f>IF(NOT(Entity[[#This Row],[Supertype]]),TRUE,AND(Entity[[#This Row],[Supertype]],Entity[[#This Row],[Subtype]]))</f>
        <v>1</v>
      </c>
      <c r="N613" s="28" t="s">
        <v>2952</v>
      </c>
      <c r="O613" s="29" t="s">
        <v>1842</v>
      </c>
    </row>
    <row r="614" spans="2:15" ht="20.100000000000001" customHeight="1" x14ac:dyDescent="0.25">
      <c r="B614" s="7" t="s">
        <v>45</v>
      </c>
      <c r="C614" s="7" t="str">
        <f>IF(Entity[[#This Row],[Link]]="","",HYPERLINK(HTMLDokuPath&amp;Entity[[#This Row],[Link]],"Doku"))</f>
        <v>Doku</v>
      </c>
      <c r="D614" s="6">
        <v>41</v>
      </c>
      <c r="E614" s="20" t="str">
        <f>IFERROR(IF(VLOOKUP(Entity[ID-Modul],Modul[],3,FALSE)=0,VLOOKUP(Entity[ID-Modul],Modul[],2,FALSE),VLOOKUP(Entity[ID-Modul],Modul[],3,FALSE)),"unbekannt")</f>
        <v>IfcStructuralLoadResource</v>
      </c>
      <c r="F614" s="21" t="b">
        <v>1</v>
      </c>
      <c r="G614" s="21" t="b">
        <v>1</v>
      </c>
      <c r="H614" s="22" t="s">
        <v>1303</v>
      </c>
      <c r="I614" s="19">
        <f>LEN(Entity[[#This Row],[IFC-Name]])</f>
        <v>24</v>
      </c>
      <c r="J614" s="7" t="s">
        <v>45</v>
      </c>
      <c r="K614" s="19">
        <f>LEN(Entity[[#This Row],[Klassen-Name]])</f>
        <v>24</v>
      </c>
      <c r="L614" s="7"/>
      <c r="M614" s="19" t="b">
        <f>IF(NOT(Entity[[#This Row],[Supertype]]),TRUE,AND(Entity[[#This Row],[Supertype]],Entity[[#This Row],[Subtype]]))</f>
        <v>1</v>
      </c>
      <c r="N614" s="28" t="s">
        <v>2953</v>
      </c>
      <c r="O614" s="29" t="s">
        <v>1843</v>
      </c>
    </row>
    <row r="615" spans="2:15" ht="20.100000000000001" customHeight="1" x14ac:dyDescent="0.25">
      <c r="B615" s="7" t="s">
        <v>46</v>
      </c>
      <c r="C615" s="7" t="str">
        <f>IF(Entity[[#This Row],[Link]]="","",HYPERLINK(HTMLDokuPath&amp;Entity[[#This Row],[Link]],"Doku"))</f>
        <v>Doku</v>
      </c>
      <c r="D615" s="6">
        <v>41</v>
      </c>
      <c r="E615" s="20" t="str">
        <f>IFERROR(IF(VLOOKUP(Entity[ID-Modul],Modul[],3,FALSE)=0,VLOOKUP(Entity[ID-Modul],Modul[],2,FALSE),VLOOKUP(Entity[ID-Modul],Modul[],3,FALSE)),"unbekannt")</f>
        <v>IfcStructuralLoadResource</v>
      </c>
      <c r="F615" s="21" t="b">
        <v>1</v>
      </c>
      <c r="G615" s="21" t="b">
        <v>0</v>
      </c>
      <c r="H615" s="22" t="s">
        <v>696</v>
      </c>
      <c r="I615" s="19">
        <f>LEN(Entity[[#This Row],[IFC-Name]])</f>
        <v>31</v>
      </c>
      <c r="J615" s="7" t="s">
        <v>46</v>
      </c>
      <c r="K615" s="19">
        <f>LEN(Entity[[#This Row],[Klassen-Name]])</f>
        <v>31</v>
      </c>
      <c r="L615" s="7"/>
      <c r="M615" s="19" t="b">
        <f>IF(NOT(Entity[[#This Row],[Supertype]]),TRUE,AND(Entity[[#This Row],[Supertype]],Entity[[#This Row],[Subtype]]))</f>
        <v>1</v>
      </c>
      <c r="N615" s="28" t="s">
        <v>2954</v>
      </c>
      <c r="O615" s="29" t="s">
        <v>1844</v>
      </c>
    </row>
    <row r="616" spans="2:15" ht="20.100000000000001" customHeight="1" x14ac:dyDescent="0.25">
      <c r="B616" s="7" t="s">
        <v>203</v>
      </c>
      <c r="C616" s="7" t="str">
        <f>IF(Entity[[#This Row],[Link]]="","",HYPERLINK(HTMLDokuPath&amp;Entity[[#This Row],[Link]],"Doku"))</f>
        <v>Doku</v>
      </c>
      <c r="D616" s="6">
        <v>41</v>
      </c>
      <c r="E616" s="20" t="str">
        <f>IFERROR(IF(VLOOKUP(Entity[ID-Modul],Modul[],3,FALSE)=0,VLOOKUP(Entity[ID-Modul],Modul[],2,FALSE),VLOOKUP(Entity[ID-Modul],Modul[],3,FALSE)),"unbekannt")</f>
        <v>IfcStructuralLoadResource</v>
      </c>
      <c r="F616" s="21" t="b">
        <v>1</v>
      </c>
      <c r="G616" s="21" t="b">
        <v>0</v>
      </c>
      <c r="H616" s="22" t="s">
        <v>833</v>
      </c>
      <c r="I616" s="19">
        <f>LEN(Entity[[#This Row],[IFC-Name]])</f>
        <v>29</v>
      </c>
      <c r="J616" s="7" t="s">
        <v>203</v>
      </c>
      <c r="K616" s="19">
        <f>LEN(Entity[[#This Row],[Klassen-Name]])</f>
        <v>29</v>
      </c>
      <c r="L616" s="7"/>
      <c r="M616" s="19" t="b">
        <f>IF(NOT(Entity[[#This Row],[Supertype]]),TRUE,AND(Entity[[#This Row],[Supertype]],Entity[[#This Row],[Subtype]]))</f>
        <v>1</v>
      </c>
      <c r="N616" s="28" t="s">
        <v>3133</v>
      </c>
      <c r="O616" s="29" t="s">
        <v>2022</v>
      </c>
    </row>
    <row r="617" spans="2:15" ht="20.100000000000001" customHeight="1" x14ac:dyDescent="0.25">
      <c r="B617" s="7" t="s">
        <v>464</v>
      </c>
      <c r="C617" s="7" t="str">
        <f>IF(Entity[[#This Row],[Link]]="","",HYPERLINK(HTMLDokuPath&amp;Entity[[#This Row],[Link]],"Doku"))</f>
        <v>Doku</v>
      </c>
      <c r="D617" s="6">
        <v>41</v>
      </c>
      <c r="E617" s="20" t="str">
        <f>IFERROR(IF(VLOOKUP(Entity[ID-Modul],Modul[],3,FALSE)=0,VLOOKUP(Entity[ID-Modul],Modul[],2,FALSE),VLOOKUP(Entity[ID-Modul],Modul[],3,FALSE)),"unbekannt")</f>
        <v>IfcStructuralLoadResource</v>
      </c>
      <c r="F617" s="21" t="b">
        <v>1</v>
      </c>
      <c r="G617" s="21" t="b">
        <v>0</v>
      </c>
      <c r="H617" s="22" t="s">
        <v>1050</v>
      </c>
      <c r="I617" s="19">
        <f>LEN(Entity[[#This Row],[IFC-Name]])</f>
        <v>30</v>
      </c>
      <c r="J617" s="7" t="s">
        <v>464</v>
      </c>
      <c r="K617" s="19">
        <f>LEN(Entity[[#This Row],[Klassen-Name]])</f>
        <v>30</v>
      </c>
      <c r="L617" s="7"/>
      <c r="M617" s="19" t="b">
        <f>IF(NOT(Entity[[#This Row],[Supertype]]),TRUE,AND(Entity[[#This Row],[Supertype]],Entity[[#This Row],[Subtype]]))</f>
        <v>1</v>
      </c>
      <c r="N617" s="28" t="s">
        <v>3424</v>
      </c>
      <c r="O617" s="29" t="s">
        <v>2313</v>
      </c>
    </row>
    <row r="618" spans="2:15" ht="20.100000000000001" customHeight="1" x14ac:dyDescent="0.25">
      <c r="B618" s="7" t="s">
        <v>484</v>
      </c>
      <c r="C618" s="7" t="str">
        <f>IF(Entity[[#This Row],[Link]]="","",HYPERLINK(HTMLDokuPath&amp;Entity[[#This Row],[Link]],"Doku"))</f>
        <v>Doku</v>
      </c>
      <c r="D618" s="6">
        <v>41</v>
      </c>
      <c r="E618" s="20" t="str">
        <f>IFERROR(IF(VLOOKUP(Entity[ID-Modul],Modul[],3,FALSE)=0,VLOOKUP(Entity[ID-Modul],Modul[],2,FALSE),VLOOKUP(Entity[ID-Modul],Modul[],3,FALSE)),"unbekannt")</f>
        <v>IfcStructuralLoadResource</v>
      </c>
      <c r="F618" s="21" t="b">
        <v>0</v>
      </c>
      <c r="G618" s="21" t="b">
        <v>1</v>
      </c>
      <c r="H618" s="22" t="s">
        <v>1425</v>
      </c>
      <c r="I618" s="19">
        <f>LEN(Entity[[#This Row],[IFC-Name]])</f>
        <v>32</v>
      </c>
      <c r="J618" s="7" t="s">
        <v>2859</v>
      </c>
      <c r="K618" s="19">
        <f>LEN(Entity[[#This Row],[Klassen-Name]])</f>
        <v>0</v>
      </c>
      <c r="L618" s="7"/>
      <c r="M618" s="19" t="b">
        <f>IF(NOT(Entity[[#This Row],[Supertype]]),TRUE,AND(Entity[[#This Row],[Supertype]],Entity[[#This Row],[Subtype]]))</f>
        <v>0</v>
      </c>
      <c r="N618" s="28" t="s">
        <v>3444</v>
      </c>
      <c r="O618" s="29" t="s">
        <v>2333</v>
      </c>
    </row>
    <row r="619" spans="2:15" ht="20.100000000000001" customHeight="1" x14ac:dyDescent="0.25">
      <c r="B619" s="7" t="s">
        <v>491</v>
      </c>
      <c r="C619" s="7" t="str">
        <f>IF(Entity[[#This Row],[Link]]="","",HYPERLINK(HTMLDokuPath&amp;Entity[[#This Row],[Link]],"Doku"))</f>
        <v>Doku</v>
      </c>
      <c r="D619" s="6">
        <v>41</v>
      </c>
      <c r="E619" s="20" t="str">
        <f>IFERROR(IF(VLOOKUP(Entity[ID-Modul],Modul[],3,FALSE)=0,VLOOKUP(Entity[ID-Modul],Modul[],2,FALSE),VLOOKUP(Entity[ID-Modul],Modul[],3,FALSE)),"unbekannt")</f>
        <v>IfcStructuralLoadResource</v>
      </c>
      <c r="F619" s="21" t="b">
        <v>0</v>
      </c>
      <c r="G619" s="21" t="b">
        <v>1</v>
      </c>
      <c r="H619" s="22" t="s">
        <v>1429</v>
      </c>
      <c r="I619" s="19">
        <f>LEN(Entity[[#This Row],[IFC-Name]])</f>
        <v>17</v>
      </c>
      <c r="J619" s="7" t="s">
        <v>2859</v>
      </c>
      <c r="K619" s="19">
        <f>LEN(Entity[[#This Row],[Klassen-Name]])</f>
        <v>0</v>
      </c>
      <c r="L619" s="7"/>
      <c r="M619" s="19" t="b">
        <f>IF(NOT(Entity[[#This Row],[Supertype]]),TRUE,AND(Entity[[#This Row],[Supertype]],Entity[[#This Row],[Subtype]]))</f>
        <v>0</v>
      </c>
      <c r="N619" s="28" t="s">
        <v>3451</v>
      </c>
      <c r="O619" s="29" t="s">
        <v>2340</v>
      </c>
    </row>
    <row r="620" spans="2:15" ht="20.100000000000001" customHeight="1" x14ac:dyDescent="0.25">
      <c r="B620" s="7" t="s">
        <v>493</v>
      </c>
      <c r="C620" s="7" t="str">
        <f>IF(Entity[[#This Row],[Link]]="","",HYPERLINK(HTMLDokuPath&amp;Entity[[#This Row],[Link]],"Doku"))</f>
        <v>Doku</v>
      </c>
      <c r="D620" s="6">
        <v>41</v>
      </c>
      <c r="E620" s="20" t="str">
        <f>IFERROR(IF(VLOOKUP(Entity[ID-Modul],Modul[],3,FALSE)=0,VLOOKUP(Entity[ID-Modul],Modul[],2,FALSE),VLOOKUP(Entity[ID-Modul],Modul[],3,FALSE)),"unbekannt")</f>
        <v>IfcStructuralLoadResource</v>
      </c>
      <c r="F620" s="21" t="b">
        <v>1</v>
      </c>
      <c r="G620" s="21" t="b">
        <v>0</v>
      </c>
      <c r="H620" s="22" t="s">
        <v>1068</v>
      </c>
      <c r="I620" s="19">
        <f>LEN(Entity[[#This Row],[IFC-Name]])</f>
        <v>28</v>
      </c>
      <c r="J620" s="7" t="s">
        <v>493</v>
      </c>
      <c r="K620" s="19">
        <f>LEN(Entity[[#This Row],[Klassen-Name]])</f>
        <v>28</v>
      </c>
      <c r="L620" s="7"/>
      <c r="M620" s="19" t="b">
        <f>IF(NOT(Entity[[#This Row],[Supertype]]),TRUE,AND(Entity[[#This Row],[Supertype]],Entity[[#This Row],[Subtype]]))</f>
        <v>1</v>
      </c>
      <c r="N620" s="28" t="s">
        <v>3453</v>
      </c>
      <c r="O620" s="29" t="s">
        <v>2342</v>
      </c>
    </row>
    <row r="621" spans="2:15" ht="20.100000000000001" customHeight="1" x14ac:dyDescent="0.25">
      <c r="B621" s="7" t="s">
        <v>494</v>
      </c>
      <c r="C621" s="7" t="str">
        <f>IF(Entity[[#This Row],[Link]]="","",HYPERLINK(HTMLDokuPath&amp;Entity[[#This Row],[Link]],"Doku"))</f>
        <v>Doku</v>
      </c>
      <c r="D621" s="6">
        <v>41</v>
      </c>
      <c r="E621" s="20" t="str">
        <f>IFERROR(IF(VLOOKUP(Entity[ID-Modul],Modul[],3,FALSE)=0,VLOOKUP(Entity[ID-Modul],Modul[],2,FALSE),VLOOKUP(Entity[ID-Modul],Modul[],3,FALSE)),"unbekannt")</f>
        <v>IfcStructuralLoadResource</v>
      </c>
      <c r="F621" s="21" t="b">
        <v>1</v>
      </c>
      <c r="G621" s="21" t="b">
        <v>0</v>
      </c>
      <c r="H621" s="22" t="s">
        <v>1069</v>
      </c>
      <c r="I621" s="19">
        <f>LEN(Entity[[#This Row],[IFC-Name]])</f>
        <v>28</v>
      </c>
      <c r="J621" s="7" t="s">
        <v>494</v>
      </c>
      <c r="K621" s="19">
        <f>LEN(Entity[[#This Row],[Klassen-Name]])</f>
        <v>28</v>
      </c>
      <c r="L621" s="7"/>
      <c r="M621" s="19" t="b">
        <f>IF(NOT(Entity[[#This Row],[Supertype]]),TRUE,AND(Entity[[#This Row],[Supertype]],Entity[[#This Row],[Subtype]]))</f>
        <v>1</v>
      </c>
      <c r="N621" s="28" t="s">
        <v>3454</v>
      </c>
      <c r="O621" s="29" t="s">
        <v>2343</v>
      </c>
    </row>
    <row r="622" spans="2:15" ht="20.100000000000001" customHeight="1" x14ac:dyDescent="0.25">
      <c r="B622" s="7" t="s">
        <v>495</v>
      </c>
      <c r="C622" s="7" t="str">
        <f>IF(Entity[[#This Row],[Link]]="","",HYPERLINK(HTMLDokuPath&amp;Entity[[#This Row],[Link]],"Doku"))</f>
        <v>Doku</v>
      </c>
      <c r="D622" s="6">
        <v>41</v>
      </c>
      <c r="E622" s="20" t="str">
        <f>IFERROR(IF(VLOOKUP(Entity[ID-Modul],Modul[],3,FALSE)=0,VLOOKUP(Entity[ID-Modul],Modul[],2,FALSE),VLOOKUP(Entity[ID-Modul],Modul[],3,FALSE)),"unbekannt")</f>
        <v>IfcStructuralLoadResource</v>
      </c>
      <c r="F622" s="21" t="b">
        <v>1</v>
      </c>
      <c r="G622" s="21" t="b">
        <v>1</v>
      </c>
      <c r="H622" s="22" t="s">
        <v>1430</v>
      </c>
      <c r="I622" s="19">
        <f>LEN(Entity[[#This Row],[IFC-Name]])</f>
        <v>35</v>
      </c>
      <c r="J622" s="1" t="s">
        <v>2902</v>
      </c>
      <c r="K622" s="19">
        <f>LEN(Entity[[#This Row],[Klassen-Name]])</f>
        <v>29</v>
      </c>
      <c r="L622" s="7"/>
      <c r="M622" s="19" t="b">
        <f>IF(NOT(Entity[[#This Row],[Supertype]]),TRUE,AND(Entity[[#This Row],[Supertype]],Entity[[#This Row],[Subtype]]))</f>
        <v>1</v>
      </c>
      <c r="N622" s="28" t="s">
        <v>3455</v>
      </c>
      <c r="O622" s="29" t="s">
        <v>2344</v>
      </c>
    </row>
    <row r="623" spans="2:15" ht="20.100000000000001" customHeight="1" x14ac:dyDescent="0.25">
      <c r="B623" s="7" t="s">
        <v>496</v>
      </c>
      <c r="C623" s="7" t="str">
        <f>IF(Entity[[#This Row],[Link]]="","",HYPERLINK(HTMLDokuPath&amp;Entity[[#This Row],[Link]],"Doku"))</f>
        <v>Doku</v>
      </c>
      <c r="D623" s="6">
        <v>41</v>
      </c>
      <c r="E623" s="20" t="str">
        <f>IFERROR(IF(VLOOKUP(Entity[ID-Modul],Modul[],3,FALSE)=0,VLOOKUP(Entity[ID-Modul],Modul[],2,FALSE),VLOOKUP(Entity[ID-Modul],Modul[],3,FALSE)),"unbekannt")</f>
        <v>IfcStructuralLoadResource</v>
      </c>
      <c r="F623" s="21" t="b">
        <v>1</v>
      </c>
      <c r="G623" s="21" t="b">
        <v>0</v>
      </c>
      <c r="H623" s="22" t="s">
        <v>1070</v>
      </c>
      <c r="I623" s="19">
        <f>LEN(Entity[[#This Row],[IFC-Name]])</f>
        <v>45</v>
      </c>
      <c r="J623" s="1" t="s">
        <v>2901</v>
      </c>
      <c r="K623" s="19">
        <f>LEN(Entity[[#This Row],[Klassen-Name]])</f>
        <v>31</v>
      </c>
      <c r="L623" s="7"/>
      <c r="M623" s="19" t="b">
        <f>IF(NOT(Entity[[#This Row],[Supertype]]),TRUE,AND(Entity[[#This Row],[Supertype]],Entity[[#This Row],[Subtype]]))</f>
        <v>1</v>
      </c>
      <c r="N623" s="28" t="s">
        <v>3456</v>
      </c>
      <c r="O623" s="29" t="s">
        <v>2345</v>
      </c>
    </row>
    <row r="624" spans="2:15" ht="20.100000000000001" customHeight="1" x14ac:dyDescent="0.25">
      <c r="B624" s="7" t="s">
        <v>497</v>
      </c>
      <c r="C624" s="7" t="str">
        <f>IF(Entity[[#This Row],[Link]]="","",HYPERLINK(HTMLDokuPath&amp;Entity[[#This Row],[Link]],"Doku"))</f>
        <v>Doku</v>
      </c>
      <c r="D624" s="6">
        <v>41</v>
      </c>
      <c r="E624" s="20" t="str">
        <f>IFERROR(IF(VLOOKUP(Entity[ID-Modul],Modul[],3,FALSE)=0,VLOOKUP(Entity[ID-Modul],Modul[],2,FALSE),VLOOKUP(Entity[ID-Modul],Modul[],3,FALSE)),"unbekannt")</f>
        <v>IfcStructuralLoadResource</v>
      </c>
      <c r="F624" s="21" t="b">
        <v>1</v>
      </c>
      <c r="G624" s="21" t="b">
        <v>1</v>
      </c>
      <c r="H624" s="22" t="s">
        <v>1431</v>
      </c>
      <c r="I624" s="19">
        <f>LEN(Entity[[#This Row],[IFC-Name]])</f>
        <v>28</v>
      </c>
      <c r="J624" s="1" t="s">
        <v>2904</v>
      </c>
      <c r="K624" s="19">
        <f>LEN(Entity[[#This Row],[Klassen-Name]])</f>
        <v>26</v>
      </c>
      <c r="L624" s="7"/>
      <c r="M624" s="19" t="b">
        <f>IF(NOT(Entity[[#This Row],[Supertype]]),TRUE,AND(Entity[[#This Row],[Supertype]],Entity[[#This Row],[Subtype]]))</f>
        <v>1</v>
      </c>
      <c r="N624" s="28" t="s">
        <v>3457</v>
      </c>
      <c r="O624" s="29" t="s">
        <v>2346</v>
      </c>
    </row>
    <row r="625" spans="2:15" ht="20.100000000000001" customHeight="1" x14ac:dyDescent="0.25">
      <c r="B625" s="7" t="s">
        <v>498</v>
      </c>
      <c r="C625" s="7" t="str">
        <f>IF(Entity[[#This Row],[Link]]="","",HYPERLINK(HTMLDokuPath&amp;Entity[[#This Row],[Link]],"Doku"))</f>
        <v>Doku</v>
      </c>
      <c r="D625" s="6">
        <v>41</v>
      </c>
      <c r="E625" s="20" t="str">
        <f>IFERROR(IF(VLOOKUP(Entity[ID-Modul],Modul[],3,FALSE)=0,VLOOKUP(Entity[ID-Modul],Modul[],2,FALSE),VLOOKUP(Entity[ID-Modul],Modul[],3,FALSE)),"unbekannt")</f>
        <v>IfcStructuralLoadResource</v>
      </c>
      <c r="F625" s="21" t="b">
        <v>1</v>
      </c>
      <c r="G625" s="21" t="b">
        <v>0</v>
      </c>
      <c r="H625" s="22" t="s">
        <v>1071</v>
      </c>
      <c r="I625" s="19">
        <f>LEN(Entity[[#This Row],[IFC-Name]])</f>
        <v>35</v>
      </c>
      <c r="J625" s="1" t="s">
        <v>2903</v>
      </c>
      <c r="K625" s="19">
        <f>LEN(Entity[[#This Row],[Klassen-Name]])</f>
        <v>30</v>
      </c>
      <c r="L625" s="7"/>
      <c r="M625" s="19" t="b">
        <f>IF(NOT(Entity[[#This Row],[Supertype]]),TRUE,AND(Entity[[#This Row],[Supertype]],Entity[[#This Row],[Subtype]]))</f>
        <v>1</v>
      </c>
      <c r="N625" s="28" t="s">
        <v>3458</v>
      </c>
      <c r="O625" s="29" t="s">
        <v>2347</v>
      </c>
    </row>
    <row r="626" spans="2:15" ht="20.100000000000001" customHeight="1" x14ac:dyDescent="0.25">
      <c r="B626" s="7" t="s">
        <v>499</v>
      </c>
      <c r="C626" s="7" t="str">
        <f>IF(Entity[[#This Row],[Link]]="","",HYPERLINK(HTMLDokuPath&amp;Entity[[#This Row],[Link]],"Doku"))</f>
        <v>Doku</v>
      </c>
      <c r="D626" s="6">
        <v>41</v>
      </c>
      <c r="E626" s="20" t="str">
        <f>IFERROR(IF(VLOOKUP(Entity[ID-Modul],Modul[],3,FALSE)=0,VLOOKUP(Entity[ID-Modul],Modul[],2,FALSE),VLOOKUP(Entity[ID-Modul],Modul[],3,FALSE)),"unbekannt")</f>
        <v>IfcStructuralLoadResource</v>
      </c>
      <c r="F626" s="21" t="b">
        <v>1</v>
      </c>
      <c r="G626" s="21" t="b">
        <v>1</v>
      </c>
      <c r="H626" s="22" t="s">
        <v>1432</v>
      </c>
      <c r="I626" s="19">
        <f>LEN(Entity[[#This Row],[IFC-Name]])</f>
        <v>23</v>
      </c>
      <c r="J626" s="7" t="s">
        <v>499</v>
      </c>
      <c r="K626" s="19">
        <f>LEN(Entity[[#This Row],[Klassen-Name]])</f>
        <v>23</v>
      </c>
      <c r="L626" s="7"/>
      <c r="M626" s="19" t="b">
        <f>IF(NOT(Entity[[#This Row],[Supertype]]),TRUE,AND(Entity[[#This Row],[Supertype]],Entity[[#This Row],[Subtype]]))</f>
        <v>1</v>
      </c>
      <c r="N626" s="28" t="s">
        <v>3459</v>
      </c>
      <c r="O626" s="29" t="s">
        <v>2348</v>
      </c>
    </row>
    <row r="627" spans="2:15" ht="20.100000000000001" customHeight="1" x14ac:dyDescent="0.25">
      <c r="B627" s="7" t="s">
        <v>500</v>
      </c>
      <c r="C627" s="7" t="str">
        <f>IF(Entity[[#This Row],[Link]]="","",HYPERLINK(HTMLDokuPath&amp;Entity[[#This Row],[Link]],"Doku"))</f>
        <v>Doku</v>
      </c>
      <c r="D627" s="6">
        <v>41</v>
      </c>
      <c r="E627" s="20" t="str">
        <f>IFERROR(IF(VLOOKUP(Entity[ID-Modul],Modul[],3,FALSE)=0,VLOOKUP(Entity[ID-Modul],Modul[],2,FALSE),VLOOKUP(Entity[ID-Modul],Modul[],3,FALSE)),"unbekannt")</f>
        <v>IfcStructuralLoadResource</v>
      </c>
      <c r="F627" s="21" t="b">
        <v>1</v>
      </c>
      <c r="G627" s="21" t="b">
        <v>0</v>
      </c>
      <c r="H627" s="22" t="s">
        <v>1072</v>
      </c>
      <c r="I627" s="19">
        <f>LEN(Entity[[#This Row],[IFC-Name]])</f>
        <v>28</v>
      </c>
      <c r="J627" s="7" t="s">
        <v>500</v>
      </c>
      <c r="K627" s="19">
        <f>LEN(Entity[[#This Row],[Klassen-Name]])</f>
        <v>28</v>
      </c>
      <c r="L627" s="7"/>
      <c r="M627" s="19" t="b">
        <f>IF(NOT(Entity[[#This Row],[Supertype]]),TRUE,AND(Entity[[#This Row],[Supertype]],Entity[[#This Row],[Subtype]]))</f>
        <v>1</v>
      </c>
      <c r="N627" s="28" t="s">
        <v>3460</v>
      </c>
      <c r="O627" s="29" t="s">
        <v>2349</v>
      </c>
    </row>
    <row r="628" spans="2:15" ht="20.100000000000001" customHeight="1" x14ac:dyDescent="0.25">
      <c r="B628" s="7" t="s">
        <v>257</v>
      </c>
      <c r="C628" s="7" t="str">
        <f>IF(Entity[[#This Row],[Link]]="","",HYPERLINK(HTMLDokuPath&amp;Entity[[#This Row],[Link]],"Doku"))</f>
        <v>Doku</v>
      </c>
      <c r="D628" s="6">
        <v>42</v>
      </c>
      <c r="E628" s="20" t="str">
        <f>IFERROR(IF(VLOOKUP(Entity[ID-Modul],Modul[],3,FALSE)=0,VLOOKUP(Entity[ID-Modul],Modul[],2,FALSE),VLOOKUP(Entity[ID-Modul],Modul[],3,FALSE)),"unbekannt")</f>
        <v>IfcTimeSeriesResource</v>
      </c>
      <c r="F628" s="21" t="b">
        <v>1</v>
      </c>
      <c r="G628" s="21" t="b">
        <v>0</v>
      </c>
      <c r="H628" s="22" t="s">
        <v>867</v>
      </c>
      <c r="I628" s="19">
        <f>LEN(Entity[[#This Row],[IFC-Name]])</f>
        <v>22</v>
      </c>
      <c r="J628" s="7" t="s">
        <v>257</v>
      </c>
      <c r="K628" s="19">
        <f>LEN(Entity[[#This Row],[Klassen-Name]])</f>
        <v>22</v>
      </c>
      <c r="L628" s="7"/>
      <c r="M628" s="19" t="b">
        <f>IF(NOT(Entity[[#This Row],[Supertype]]),TRUE,AND(Entity[[#This Row],[Supertype]],Entity[[#This Row],[Subtype]]))</f>
        <v>1</v>
      </c>
      <c r="N628" s="28" t="s">
        <v>3187</v>
      </c>
      <c r="O628" s="29" t="s">
        <v>2077</v>
      </c>
    </row>
    <row r="629" spans="2:15" ht="20.100000000000001" customHeight="1" x14ac:dyDescent="0.25">
      <c r="B629" s="7" t="s">
        <v>618</v>
      </c>
      <c r="C629" s="7" t="str">
        <f>IF(Entity[[#This Row],[Link]]="","",HYPERLINK(HTMLDokuPath&amp;Entity[[#This Row],[Link]],"Doku"))</f>
        <v>Doku</v>
      </c>
      <c r="D629" s="6">
        <v>42</v>
      </c>
      <c r="E629" s="20" t="str">
        <f>IFERROR(IF(VLOOKUP(Entity[ID-Modul],Modul[],3,FALSE)=0,VLOOKUP(Entity[ID-Modul],Modul[],2,FALSE),VLOOKUP(Entity[ID-Modul],Modul[],3,FALSE)),"unbekannt")</f>
        <v>IfcTimeSeriesResource</v>
      </c>
      <c r="F629" s="21" t="b">
        <v>0</v>
      </c>
      <c r="G629" s="21" t="b">
        <v>0</v>
      </c>
      <c r="H629" s="22" t="s">
        <v>868</v>
      </c>
      <c r="I629" s="19">
        <f>LEN(Entity[[#This Row],[IFC-Name]])</f>
        <v>27</v>
      </c>
      <c r="J629" s="7" t="s">
        <v>618</v>
      </c>
      <c r="K629" s="19">
        <f>LEN(Entity[[#This Row],[Klassen-Name]])</f>
        <v>27</v>
      </c>
      <c r="L629" s="7"/>
      <c r="M629" s="19" t="b">
        <f>IF(NOT(Entity[[#This Row],[Supertype]]),TRUE,AND(Entity[[#This Row],[Supertype]],Entity[[#This Row],[Subtype]]))</f>
        <v>1</v>
      </c>
      <c r="N629" s="28" t="s">
        <v>3188</v>
      </c>
      <c r="O629" s="29" t="s">
        <v>2078</v>
      </c>
    </row>
    <row r="630" spans="2:15" ht="20.100000000000001" customHeight="1" x14ac:dyDescent="0.25">
      <c r="B630" s="7" t="s">
        <v>383</v>
      </c>
      <c r="C630" s="7" t="str">
        <f>IF(Entity[[#This Row],[Link]]="","",HYPERLINK(HTMLDokuPath&amp;Entity[[#This Row],[Link]],"Doku"))</f>
        <v>Doku</v>
      </c>
      <c r="D630" s="6">
        <v>42</v>
      </c>
      <c r="E630" s="20" t="str">
        <f>IFERROR(IF(VLOOKUP(Entity[ID-Modul],Modul[],3,FALSE)=0,VLOOKUP(Entity[ID-Modul],Modul[],2,FALSE),VLOOKUP(Entity[ID-Modul],Modul[],3,FALSE)),"unbekannt")</f>
        <v>IfcTimeSeriesResource</v>
      </c>
      <c r="F630" s="21" t="b">
        <v>1</v>
      </c>
      <c r="G630" s="21" t="b">
        <v>0</v>
      </c>
      <c r="H630" s="22" t="s">
        <v>982</v>
      </c>
      <c r="I630" s="19">
        <f>LEN(Entity[[#This Row],[IFC-Name]])</f>
        <v>20</v>
      </c>
      <c r="J630" s="7" t="s">
        <v>383</v>
      </c>
      <c r="K630" s="19">
        <f>LEN(Entity[[#This Row],[Klassen-Name]])</f>
        <v>20</v>
      </c>
      <c r="L630" s="7"/>
      <c r="M630" s="19" t="b">
        <f>IF(NOT(Entity[[#This Row],[Supertype]]),TRUE,AND(Entity[[#This Row],[Supertype]],Entity[[#This Row],[Subtype]]))</f>
        <v>1</v>
      </c>
      <c r="N630" s="28" t="s">
        <v>3337</v>
      </c>
      <c r="O630" s="29" t="s">
        <v>2226</v>
      </c>
    </row>
    <row r="631" spans="2:15" ht="20.100000000000001" customHeight="1" x14ac:dyDescent="0.25">
      <c r="B631" s="7" t="s">
        <v>550</v>
      </c>
      <c r="C631" s="7" t="str">
        <f>IF(Entity[[#This Row],[Link]]="","",HYPERLINK(HTMLDokuPath&amp;Entity[[#This Row],[Link]],"Doku"))</f>
        <v>Doku</v>
      </c>
      <c r="D631" s="6">
        <v>42</v>
      </c>
      <c r="E631" s="20" t="str">
        <f>IFERROR(IF(VLOOKUP(Entity[ID-Modul],Modul[],3,FALSE)=0,VLOOKUP(Entity[ID-Modul],Modul[],2,FALSE),VLOOKUP(Entity[ID-Modul],Modul[],3,FALSE)),"unbekannt")</f>
        <v>IfcTimeSeriesResource</v>
      </c>
      <c r="F631" s="21" t="b">
        <v>0</v>
      </c>
      <c r="G631" s="21" t="b">
        <v>1</v>
      </c>
      <c r="H631" s="22" t="s">
        <v>1450</v>
      </c>
      <c r="I631" s="19">
        <f>LEN(Entity[[#This Row],[IFC-Name]])</f>
        <v>13</v>
      </c>
      <c r="J631" s="7" t="s">
        <v>2859</v>
      </c>
      <c r="K631" s="19">
        <f>LEN(Entity[[#This Row],[Klassen-Name]])</f>
        <v>0</v>
      </c>
      <c r="L631" s="7"/>
      <c r="M631" s="19" t="b">
        <f>IF(NOT(Entity[[#This Row],[Supertype]]),TRUE,AND(Entity[[#This Row],[Supertype]],Entity[[#This Row],[Subtype]]))</f>
        <v>0</v>
      </c>
      <c r="N631" s="28" t="s">
        <v>3518</v>
      </c>
      <c r="O631" s="29" t="s">
        <v>2408</v>
      </c>
    </row>
    <row r="632" spans="2:15" ht="20.100000000000001" customHeight="1" x14ac:dyDescent="0.25">
      <c r="B632" s="7" t="s">
        <v>656</v>
      </c>
      <c r="C632" s="7" t="str">
        <f>IF(Entity[[#This Row],[Link]]="","",HYPERLINK(HTMLDokuPath&amp;Entity[[#This Row],[Link]],"Doku"))</f>
        <v>Doku</v>
      </c>
      <c r="D632" s="6">
        <v>42</v>
      </c>
      <c r="E632" s="20" t="str">
        <f>IFERROR(IF(VLOOKUP(Entity[ID-Modul],Modul[],3,FALSE)=0,VLOOKUP(Entity[ID-Modul],Modul[],2,FALSE),VLOOKUP(Entity[ID-Modul],Modul[],3,FALSE)),"unbekannt")</f>
        <v>IfcTimeSeriesResource</v>
      </c>
      <c r="F632" s="21" t="b">
        <v>0</v>
      </c>
      <c r="G632" s="21" t="b">
        <v>0</v>
      </c>
      <c r="H632" s="22" t="s">
        <v>1114</v>
      </c>
      <c r="I632" s="19">
        <f>LEN(Entity[[#This Row],[IFC-Name]])</f>
        <v>34</v>
      </c>
      <c r="J632" s="1" t="s">
        <v>2905</v>
      </c>
      <c r="K632" s="19">
        <f>LEN(Entity[[#This Row],[Klassen-Name]])</f>
        <v>25</v>
      </c>
      <c r="L632" s="7"/>
      <c r="M632" s="19" t="b">
        <f>IF(NOT(Entity[[#This Row],[Supertype]]),TRUE,AND(Entity[[#This Row],[Supertype]],Entity[[#This Row],[Subtype]]))</f>
        <v>1</v>
      </c>
      <c r="N632" s="28" t="s">
        <v>3519</v>
      </c>
      <c r="O632" s="29" t="s">
        <v>2409</v>
      </c>
    </row>
    <row r="633" spans="2:15" ht="20.100000000000001" customHeight="1" x14ac:dyDescent="0.25">
      <c r="B633" s="7" t="s">
        <v>657</v>
      </c>
      <c r="C633" s="7" t="str">
        <f>IF(Entity[[#This Row],[Link]]="","",HYPERLINK(HTMLDokuPath&amp;Entity[[#This Row],[Link]],"Doku"))</f>
        <v>Doku</v>
      </c>
      <c r="D633" s="6">
        <v>42</v>
      </c>
      <c r="E633" s="20" t="str">
        <f>IFERROR(IF(VLOOKUP(Entity[ID-Modul],Modul[],3,FALSE)=0,VLOOKUP(Entity[ID-Modul],Modul[],2,FALSE),VLOOKUP(Entity[ID-Modul],Modul[],3,FALSE)),"unbekannt")</f>
        <v>IfcTimeSeriesResource</v>
      </c>
      <c r="F633" s="21" t="b">
        <v>0</v>
      </c>
      <c r="G633" s="21" t="b">
        <v>0</v>
      </c>
      <c r="H633" s="22" t="s">
        <v>1116</v>
      </c>
      <c r="I633" s="19">
        <f>LEN(Entity[[#This Row],[IFC-Name]])</f>
        <v>18</v>
      </c>
      <c r="J633" s="7" t="s">
        <v>657</v>
      </c>
      <c r="K633" s="19">
        <f>LEN(Entity[[#This Row],[Klassen-Name]])</f>
        <v>18</v>
      </c>
      <c r="L633" s="7"/>
      <c r="M633" s="19" t="b">
        <f>IF(NOT(Entity[[#This Row],[Supertype]]),TRUE,AND(Entity[[#This Row],[Supertype]],Entity[[#This Row],[Subtype]]))</f>
        <v>1</v>
      </c>
      <c r="N633" s="28" t="s">
        <v>3521</v>
      </c>
      <c r="O633" s="29" t="s">
        <v>2411</v>
      </c>
    </row>
    <row r="634" spans="2:15" ht="20.100000000000001" customHeight="1" x14ac:dyDescent="0.25">
      <c r="B634" s="7" t="s">
        <v>76</v>
      </c>
      <c r="C634" s="7" t="str">
        <f>IF(Entity[[#This Row],[Link]]="","",HYPERLINK(HTMLDokuPath&amp;Entity[[#This Row],[Link]],"Doku"))</f>
        <v>Doku</v>
      </c>
      <c r="D634" s="6">
        <v>43</v>
      </c>
      <c r="E634" s="20" t="str">
        <f>IFERROR(IF(VLOOKUP(Entity[ID-Modul],Modul[],3,FALSE)=0,VLOOKUP(Entity[ID-Modul],Modul[],2,FALSE),VLOOKUP(Entity[ID-Modul],Modul[],3,FALSE)),"unbekannt")</f>
        <v>IfcTopologyResource</v>
      </c>
      <c r="F634" s="21" t="b">
        <v>1</v>
      </c>
      <c r="G634" s="21" t="b">
        <v>0</v>
      </c>
      <c r="H634" s="22" t="s">
        <v>723</v>
      </c>
      <c r="I634" s="19">
        <f>LEN(Entity[[#This Row],[IFC-Name]])</f>
        <v>14</v>
      </c>
      <c r="J634" s="7" t="s">
        <v>76</v>
      </c>
      <c r="K634" s="19">
        <f>LEN(Entity[[#This Row],[Klassen-Name]])</f>
        <v>14</v>
      </c>
      <c r="L634" s="7"/>
      <c r="M634" s="19" t="b">
        <f>IF(NOT(Entity[[#This Row],[Supertype]]),TRUE,AND(Entity[[#This Row],[Supertype]],Entity[[#This Row],[Subtype]]))</f>
        <v>1</v>
      </c>
      <c r="N634" s="28" t="s">
        <v>2990</v>
      </c>
      <c r="O634" s="29" t="s">
        <v>1880</v>
      </c>
    </row>
    <row r="635" spans="2:15" ht="20.100000000000001" customHeight="1" x14ac:dyDescent="0.25">
      <c r="B635" s="7" t="s">
        <v>91</v>
      </c>
      <c r="C635" s="7" t="str">
        <f>IF(Entity[[#This Row],[Link]]="","",HYPERLINK(HTMLDokuPath&amp;Entity[[#This Row],[Link]],"Doku"))</f>
        <v>Doku</v>
      </c>
      <c r="D635" s="6">
        <v>43</v>
      </c>
      <c r="E635" s="20" t="str">
        <f>IFERROR(IF(VLOOKUP(Entity[ID-Modul],Modul[],3,FALSE)=0,VLOOKUP(Entity[ID-Modul],Modul[],2,FALSE),VLOOKUP(Entity[ID-Modul],Modul[],3,FALSE)),"unbekannt")</f>
        <v>IfcTopologyResource</v>
      </c>
      <c r="F635" s="21" t="b">
        <v>1</v>
      </c>
      <c r="G635" s="21" t="b">
        <v>1</v>
      </c>
      <c r="H635" s="22" t="s">
        <v>1316</v>
      </c>
      <c r="I635" s="19">
        <f>LEN(Entity[[#This Row],[IFC-Name]])</f>
        <v>19</v>
      </c>
      <c r="J635" s="7" t="s">
        <v>91</v>
      </c>
      <c r="K635" s="19">
        <f>LEN(Entity[[#This Row],[Klassen-Name]])</f>
        <v>19</v>
      </c>
      <c r="L635" s="7"/>
      <c r="M635" s="19" t="b">
        <f>IF(NOT(Entity[[#This Row],[Supertype]]),TRUE,AND(Entity[[#This Row],[Supertype]],Entity[[#This Row],[Subtype]]))</f>
        <v>1</v>
      </c>
      <c r="N635" s="28" t="s">
        <v>3005</v>
      </c>
      <c r="O635" s="29" t="s">
        <v>1895</v>
      </c>
    </row>
    <row r="636" spans="2:15" ht="20.100000000000001" customHeight="1" x14ac:dyDescent="0.25">
      <c r="B636" s="7" t="s">
        <v>158</v>
      </c>
      <c r="C636" s="7" t="str">
        <f>IF(Entity[[#This Row],[Link]]="","",HYPERLINK(HTMLDokuPath&amp;Entity[[#This Row],[Link]],"Doku"))</f>
        <v>Doku</v>
      </c>
      <c r="D636" s="6">
        <v>43</v>
      </c>
      <c r="E636" s="20" t="str">
        <f>IFERROR(IF(VLOOKUP(Entity[ID-Modul],Modul[],3,FALSE)=0,VLOOKUP(Entity[ID-Modul],Modul[],2,FALSE),VLOOKUP(Entity[ID-Modul],Modul[],3,FALSE)),"unbekannt")</f>
        <v>IfcTopologyResource</v>
      </c>
      <c r="F636" s="21" t="b">
        <v>1</v>
      </c>
      <c r="G636" s="21" t="b">
        <v>1</v>
      </c>
      <c r="H636" s="22" t="s">
        <v>1333</v>
      </c>
      <c r="I636" s="19">
        <f>LEN(Entity[[#This Row],[IFC-Name]])</f>
        <v>7</v>
      </c>
      <c r="J636" s="7" t="s">
        <v>158</v>
      </c>
      <c r="K636" s="19">
        <f>LEN(Entity[[#This Row],[Klassen-Name]])</f>
        <v>7</v>
      </c>
      <c r="L636" s="7"/>
      <c r="M636" s="19" t="b">
        <f>IF(NOT(Entity[[#This Row],[Supertype]]),TRUE,AND(Entity[[#This Row],[Supertype]],Entity[[#This Row],[Subtype]]))</f>
        <v>1</v>
      </c>
      <c r="N636" s="28" t="s">
        <v>3088</v>
      </c>
      <c r="O636" s="29" t="s">
        <v>1977</v>
      </c>
    </row>
    <row r="637" spans="2:15" ht="20.100000000000001" customHeight="1" x14ac:dyDescent="0.25">
      <c r="B637" s="7" t="s">
        <v>159</v>
      </c>
      <c r="C637" s="7" t="str">
        <f>IF(Entity[[#This Row],[Link]]="","",HYPERLINK(HTMLDokuPath&amp;Entity[[#This Row],[Link]],"Doku"))</f>
        <v>Doku</v>
      </c>
      <c r="D637" s="6">
        <v>43</v>
      </c>
      <c r="E637" s="20" t="str">
        <f>IFERROR(IF(VLOOKUP(Entity[ID-Modul],Modul[],3,FALSE)=0,VLOOKUP(Entity[ID-Modul],Modul[],2,FALSE),VLOOKUP(Entity[ID-Modul],Modul[],3,FALSE)),"unbekannt")</f>
        <v>IfcTopologyResource</v>
      </c>
      <c r="F637" s="21" t="b">
        <v>1</v>
      </c>
      <c r="G637" s="21" t="b">
        <v>0</v>
      </c>
      <c r="H637" s="22" t="s">
        <v>800</v>
      </c>
      <c r="I637" s="19">
        <f>LEN(Entity[[#This Row],[IFC-Name]])</f>
        <v>12</v>
      </c>
      <c r="J637" s="7" t="s">
        <v>159</v>
      </c>
      <c r="K637" s="19">
        <f>LEN(Entity[[#This Row],[Klassen-Name]])</f>
        <v>12</v>
      </c>
      <c r="L637" s="7"/>
      <c r="M637" s="19" t="b">
        <f>IF(NOT(Entity[[#This Row],[Supertype]]),TRUE,AND(Entity[[#This Row],[Supertype]],Entity[[#This Row],[Subtype]]))</f>
        <v>1</v>
      </c>
      <c r="N637" s="28" t="s">
        <v>3089</v>
      </c>
      <c r="O637" s="29" t="s">
        <v>1978</v>
      </c>
    </row>
    <row r="638" spans="2:15" ht="20.100000000000001" customHeight="1" x14ac:dyDescent="0.25">
      <c r="B638" s="7" t="s">
        <v>161</v>
      </c>
      <c r="C638" s="7" t="str">
        <f>IF(Entity[[#This Row],[Link]]="","",HYPERLINK(HTMLDokuPath&amp;Entity[[#This Row],[Link]],"Doku"))</f>
        <v>Doku</v>
      </c>
      <c r="D638" s="6">
        <v>43</v>
      </c>
      <c r="E638" s="20" t="str">
        <f>IFERROR(IF(VLOOKUP(Entity[ID-Modul],Modul[],3,FALSE)=0,VLOOKUP(Entity[ID-Modul],Modul[],2,FALSE),VLOOKUP(Entity[ID-Modul],Modul[],3,FALSE)),"unbekannt")</f>
        <v>IfcTopologyResource</v>
      </c>
      <c r="F638" s="21" t="b">
        <v>1</v>
      </c>
      <c r="G638" s="21" t="b">
        <v>0</v>
      </c>
      <c r="H638" s="22" t="s">
        <v>801</v>
      </c>
      <c r="I638" s="19">
        <f>LEN(Entity[[#This Row],[IFC-Name]])</f>
        <v>11</v>
      </c>
      <c r="J638" s="7" t="s">
        <v>161</v>
      </c>
      <c r="K638" s="19">
        <f>LEN(Entity[[#This Row],[Klassen-Name]])</f>
        <v>11</v>
      </c>
      <c r="L638" s="7"/>
      <c r="M638" s="19" t="b">
        <f>IF(NOT(Entity[[#This Row],[Supertype]]),TRUE,AND(Entity[[#This Row],[Supertype]],Entity[[#This Row],[Subtype]]))</f>
        <v>1</v>
      </c>
      <c r="N638" s="28" t="s">
        <v>3091</v>
      </c>
      <c r="O638" s="29" t="s">
        <v>1980</v>
      </c>
    </row>
    <row r="639" spans="2:15" ht="20.100000000000001" customHeight="1" x14ac:dyDescent="0.25">
      <c r="B639" s="7" t="s">
        <v>196</v>
      </c>
      <c r="C639" s="7" t="str">
        <f>IF(Entity[[#This Row],[Link]]="","",HYPERLINK(HTMLDokuPath&amp;Entity[[#This Row],[Link]],"Doku"))</f>
        <v>Doku</v>
      </c>
      <c r="D639" s="6">
        <v>43</v>
      </c>
      <c r="E639" s="20" t="str">
        <f>IFERROR(IF(VLOOKUP(Entity[ID-Modul],Modul[],3,FALSE)=0,VLOOKUP(Entity[ID-Modul],Modul[],2,FALSE),VLOOKUP(Entity[ID-Modul],Modul[],3,FALSE)),"unbekannt")</f>
        <v>IfcTopologyResource</v>
      </c>
      <c r="F639" s="21" t="b">
        <v>1</v>
      </c>
      <c r="G639" s="21" t="b">
        <v>1</v>
      </c>
      <c r="H639" s="22" t="s">
        <v>1343</v>
      </c>
      <c r="I639" s="19">
        <f>LEN(Entity[[#This Row],[IFC-Name]])</f>
        <v>7</v>
      </c>
      <c r="J639" s="7" t="s">
        <v>196</v>
      </c>
      <c r="K639" s="19">
        <f>LEN(Entity[[#This Row],[Klassen-Name]])</f>
        <v>7</v>
      </c>
      <c r="L639" s="7"/>
      <c r="M639" s="19" t="b">
        <f>IF(NOT(Entity[[#This Row],[Supertype]]),TRUE,AND(Entity[[#This Row],[Supertype]],Entity[[#This Row],[Subtype]]))</f>
        <v>1</v>
      </c>
      <c r="N639" s="28" t="s">
        <v>3126</v>
      </c>
      <c r="O639" s="29" t="s">
        <v>2015</v>
      </c>
    </row>
    <row r="640" spans="2:15" ht="20.100000000000001" customHeight="1" x14ac:dyDescent="0.25">
      <c r="B640" s="7" t="s">
        <v>198</v>
      </c>
      <c r="C640" s="7" t="str">
        <f>IF(Entity[[#This Row],[Link]]="","",HYPERLINK(HTMLDokuPath&amp;Entity[[#This Row],[Link]],"Doku"))</f>
        <v>Doku</v>
      </c>
      <c r="D640" s="6">
        <v>43</v>
      </c>
      <c r="E640" s="20" t="str">
        <f>IFERROR(IF(VLOOKUP(Entity[ID-Modul],Modul[],3,FALSE)=0,VLOOKUP(Entity[ID-Modul],Modul[],2,FALSE),VLOOKUP(Entity[ID-Modul],Modul[],3,FALSE)),"unbekannt")</f>
        <v>IfcTopologyResource</v>
      </c>
      <c r="F640" s="21" t="b">
        <v>1</v>
      </c>
      <c r="G640" s="21" t="b">
        <v>1</v>
      </c>
      <c r="H640" s="22" t="s">
        <v>1344</v>
      </c>
      <c r="I640" s="19">
        <f>LEN(Entity[[#This Row],[IFC-Name]])</f>
        <v>12</v>
      </c>
      <c r="J640" s="7" t="s">
        <v>198</v>
      </c>
      <c r="K640" s="19">
        <f>LEN(Entity[[#This Row],[Klassen-Name]])</f>
        <v>12</v>
      </c>
      <c r="L640" s="7"/>
      <c r="M640" s="19" t="b">
        <f>IF(NOT(Entity[[#This Row],[Supertype]]),TRUE,AND(Entity[[#This Row],[Supertype]],Entity[[#This Row],[Subtype]]))</f>
        <v>1</v>
      </c>
      <c r="N640" s="28" t="s">
        <v>3128</v>
      </c>
      <c r="O640" s="29" t="s">
        <v>2017</v>
      </c>
    </row>
    <row r="641" spans="2:15" ht="20.100000000000001" customHeight="1" x14ac:dyDescent="0.25">
      <c r="B641" s="7" t="s">
        <v>199</v>
      </c>
      <c r="C641" s="7" t="str">
        <f>IF(Entity[[#This Row],[Link]]="","",HYPERLINK(HTMLDokuPath&amp;Entity[[#This Row],[Link]],"Doku"))</f>
        <v>Doku</v>
      </c>
      <c r="D641" s="6">
        <v>43</v>
      </c>
      <c r="E641" s="20" t="str">
        <f>IFERROR(IF(VLOOKUP(Entity[ID-Modul],Modul[],3,FALSE)=0,VLOOKUP(Entity[ID-Modul],Modul[],2,FALSE),VLOOKUP(Entity[ID-Modul],Modul[],3,FALSE)),"unbekannt")</f>
        <v>IfcTopologyResource</v>
      </c>
      <c r="F641" s="21" t="b">
        <v>1</v>
      </c>
      <c r="G641" s="21" t="b">
        <v>0</v>
      </c>
      <c r="H641" s="22" t="s">
        <v>829</v>
      </c>
      <c r="I641" s="19">
        <f>LEN(Entity[[#This Row],[IFC-Name]])</f>
        <v>17</v>
      </c>
      <c r="J641" s="7" t="s">
        <v>199</v>
      </c>
      <c r="K641" s="19">
        <f>LEN(Entity[[#This Row],[Klassen-Name]])</f>
        <v>17</v>
      </c>
      <c r="L641" s="7"/>
      <c r="M641" s="19" t="b">
        <f>IF(NOT(Entity[[#This Row],[Supertype]]),TRUE,AND(Entity[[#This Row],[Supertype]],Entity[[#This Row],[Subtype]]))</f>
        <v>1</v>
      </c>
      <c r="N641" s="28" t="s">
        <v>3129</v>
      </c>
      <c r="O641" s="29" t="s">
        <v>2018</v>
      </c>
    </row>
    <row r="642" spans="2:15" ht="20.100000000000001" customHeight="1" x14ac:dyDescent="0.25">
      <c r="B642" s="7" t="s">
        <v>200</v>
      </c>
      <c r="C642" s="7" t="str">
        <f>IF(Entity[[#This Row],[Link]]="","",HYPERLINK(HTMLDokuPath&amp;Entity[[#This Row],[Link]],"Doku"))</f>
        <v>Doku</v>
      </c>
      <c r="D642" s="6">
        <v>43</v>
      </c>
      <c r="E642" s="20" t="str">
        <f>IFERROR(IF(VLOOKUP(Entity[ID-Modul],Modul[],3,FALSE)=0,VLOOKUP(Entity[ID-Modul],Modul[],2,FALSE),VLOOKUP(Entity[ID-Modul],Modul[],3,FALSE)),"unbekannt")</f>
        <v>IfcTopologyResource</v>
      </c>
      <c r="F642" s="21" t="b">
        <v>1</v>
      </c>
      <c r="G642" s="21" t="b">
        <v>0</v>
      </c>
      <c r="H642" s="22" t="s">
        <v>830</v>
      </c>
      <c r="I642" s="19">
        <f>LEN(Entity[[#This Row],[IFC-Name]])</f>
        <v>14</v>
      </c>
      <c r="J642" s="7" t="s">
        <v>200</v>
      </c>
      <c r="K642" s="19">
        <f>LEN(Entity[[#This Row],[Klassen-Name]])</f>
        <v>14</v>
      </c>
      <c r="L642" s="7"/>
      <c r="M642" s="19" t="b">
        <f>IF(NOT(Entity[[#This Row],[Supertype]]),TRUE,AND(Entity[[#This Row],[Supertype]],Entity[[#This Row],[Subtype]]))</f>
        <v>1</v>
      </c>
      <c r="N642" s="28" t="s">
        <v>3130</v>
      </c>
      <c r="O642" s="29" t="s">
        <v>2019</v>
      </c>
    </row>
    <row r="643" spans="2:15" ht="20.100000000000001" customHeight="1" x14ac:dyDescent="0.25">
      <c r="B643" s="7" t="s">
        <v>273</v>
      </c>
      <c r="C643" s="7" t="str">
        <f>IF(Entity[[#This Row],[Link]]="","",HYPERLINK(HTMLDokuPath&amp;Entity[[#This Row],[Link]],"Doku"))</f>
        <v>Doku</v>
      </c>
      <c r="D643" s="6">
        <v>43</v>
      </c>
      <c r="E643" s="20" t="str">
        <f>IFERROR(IF(VLOOKUP(Entity[ID-Modul],Modul[],3,FALSE)=0,VLOOKUP(Entity[ID-Modul],Modul[],2,FALSE),VLOOKUP(Entity[ID-Modul],Modul[],3,FALSE)),"unbekannt")</f>
        <v>IfcTopologyResource</v>
      </c>
      <c r="F643" s="21" t="b">
        <v>1</v>
      </c>
      <c r="G643" s="21" t="b">
        <v>1</v>
      </c>
      <c r="H643" s="22" t="s">
        <v>1368</v>
      </c>
      <c r="I643" s="19">
        <f>LEN(Entity[[#This Row],[IFC-Name]])</f>
        <v>7</v>
      </c>
      <c r="J643" s="7" t="s">
        <v>273</v>
      </c>
      <c r="K643" s="19">
        <f>LEN(Entity[[#This Row],[Klassen-Name]])</f>
        <v>7</v>
      </c>
      <c r="L643" s="7"/>
      <c r="M643" s="19" t="b">
        <f>IF(NOT(Entity[[#This Row],[Supertype]]),TRUE,AND(Entity[[#This Row],[Supertype]],Entity[[#This Row],[Subtype]]))</f>
        <v>1</v>
      </c>
      <c r="N643" s="28" t="s">
        <v>3208</v>
      </c>
      <c r="O643" s="29" t="s">
        <v>2098</v>
      </c>
    </row>
    <row r="644" spans="2:15" ht="20.100000000000001" customHeight="1" x14ac:dyDescent="0.25">
      <c r="B644" s="7" t="s">
        <v>297</v>
      </c>
      <c r="C644" s="7" t="str">
        <f>IF(Entity[[#This Row],[Link]]="","",HYPERLINK(HTMLDokuPath&amp;Entity[[#This Row],[Link]],"Doku"))</f>
        <v>Doku</v>
      </c>
      <c r="D644" s="6">
        <v>43</v>
      </c>
      <c r="E644" s="20" t="str">
        <f>IFERROR(IF(VLOOKUP(Entity[ID-Modul],Modul[],3,FALSE)=0,VLOOKUP(Entity[ID-Modul],Modul[],2,FALSE),VLOOKUP(Entity[ID-Modul],Modul[],3,FALSE)),"unbekannt")</f>
        <v>IfcTopologyResource</v>
      </c>
      <c r="F644" s="21" t="b">
        <v>1</v>
      </c>
      <c r="G644" s="21" t="b">
        <v>0</v>
      </c>
      <c r="H644" s="22" t="s">
        <v>909</v>
      </c>
      <c r="I644" s="19">
        <f>LEN(Entity[[#This Row],[IFC-Name]])</f>
        <v>12</v>
      </c>
      <c r="J644" s="7" t="s">
        <v>297</v>
      </c>
      <c r="K644" s="19">
        <f>LEN(Entity[[#This Row],[Klassen-Name]])</f>
        <v>12</v>
      </c>
      <c r="L644" s="7"/>
      <c r="M644" s="19" t="b">
        <f>IF(NOT(Entity[[#This Row],[Supertype]]),TRUE,AND(Entity[[#This Row],[Supertype]],Entity[[#This Row],[Subtype]]))</f>
        <v>1</v>
      </c>
      <c r="N644" s="28" t="s">
        <v>3242</v>
      </c>
      <c r="O644" s="29" t="s">
        <v>2130</v>
      </c>
    </row>
    <row r="645" spans="2:15" ht="20.100000000000001" customHeight="1" x14ac:dyDescent="0.25">
      <c r="B645" s="7" t="s">
        <v>301</v>
      </c>
      <c r="C645" s="7" t="str">
        <f>IF(Entity[[#This Row],[Link]]="","",HYPERLINK(HTMLDokuPath&amp;Entity[[#This Row],[Link]],"Doku"))</f>
        <v>Doku</v>
      </c>
      <c r="D645" s="6">
        <v>43</v>
      </c>
      <c r="E645" s="20" t="str">
        <f>IFERROR(IF(VLOOKUP(Entity[ID-Modul],Modul[],3,FALSE)=0,VLOOKUP(Entity[ID-Modul],Modul[],2,FALSE),VLOOKUP(Entity[ID-Modul],Modul[],3,FALSE)),"unbekannt")</f>
        <v>IfcTopologyResource</v>
      </c>
      <c r="F645" s="21" t="b">
        <v>1</v>
      </c>
      <c r="G645" s="21" t="b">
        <v>0</v>
      </c>
      <c r="H645" s="22" t="s">
        <v>915</v>
      </c>
      <c r="I645" s="19">
        <f>LEN(Entity[[#This Row],[IFC-Name]])</f>
        <v>15</v>
      </c>
      <c r="J645" s="7" t="s">
        <v>301</v>
      </c>
      <c r="K645" s="19">
        <f>LEN(Entity[[#This Row],[Klassen-Name]])</f>
        <v>15</v>
      </c>
      <c r="L645" s="7"/>
      <c r="M645" s="19" t="b">
        <f>IF(NOT(Entity[[#This Row],[Supertype]]),TRUE,AND(Entity[[#This Row],[Supertype]],Entity[[#This Row],[Subtype]]))</f>
        <v>1</v>
      </c>
      <c r="N645" s="28" t="s">
        <v>3247</v>
      </c>
      <c r="O645" s="29" t="s">
        <v>2136</v>
      </c>
    </row>
    <row r="646" spans="2:15" ht="20.100000000000001" customHeight="1" x14ac:dyDescent="0.25">
      <c r="B646" s="7" t="s">
        <v>304</v>
      </c>
      <c r="C646" s="7" t="str">
        <f>IF(Entity[[#This Row],[Link]]="","",HYPERLINK(HTMLDokuPath&amp;Entity[[#This Row],[Link]],"Doku"))</f>
        <v>Doku</v>
      </c>
      <c r="D646" s="6">
        <v>43</v>
      </c>
      <c r="E646" s="20" t="str">
        <f>IFERROR(IF(VLOOKUP(Entity[ID-Modul],Modul[],3,FALSE)=0,VLOOKUP(Entity[ID-Modul],Modul[],2,FALSE),VLOOKUP(Entity[ID-Modul],Modul[],3,FALSE)),"unbekannt")</f>
        <v>IfcTopologyResource</v>
      </c>
      <c r="F646" s="21" t="b">
        <v>1</v>
      </c>
      <c r="G646" s="21" t="b">
        <v>0</v>
      </c>
      <c r="H646" s="22" t="s">
        <v>918</v>
      </c>
      <c r="I646" s="19">
        <f>LEN(Entity[[#This Row],[IFC-Name]])</f>
        <v>7</v>
      </c>
      <c r="J646" s="7" t="s">
        <v>304</v>
      </c>
      <c r="K646" s="19">
        <f>LEN(Entity[[#This Row],[Klassen-Name]])</f>
        <v>7</v>
      </c>
      <c r="L646" s="7"/>
      <c r="M646" s="19" t="b">
        <f>IF(NOT(Entity[[#This Row],[Supertype]]),TRUE,AND(Entity[[#This Row],[Supertype]],Entity[[#This Row],[Subtype]]))</f>
        <v>1</v>
      </c>
      <c r="N646" s="28" t="s">
        <v>3251</v>
      </c>
      <c r="O646" s="29" t="s">
        <v>2140</v>
      </c>
    </row>
    <row r="647" spans="2:15" ht="20.100000000000001" customHeight="1" x14ac:dyDescent="0.25">
      <c r="B647" s="7" t="s">
        <v>324</v>
      </c>
      <c r="C647" s="7" t="str">
        <f>IF(Entity[[#This Row],[Link]]="","",HYPERLINK(HTMLDokuPath&amp;Entity[[#This Row],[Link]],"Doku"))</f>
        <v>Doku</v>
      </c>
      <c r="D647" s="6">
        <v>43</v>
      </c>
      <c r="E647" s="20" t="str">
        <f>IFERROR(IF(VLOOKUP(Entity[ID-Modul],Modul[],3,FALSE)=0,VLOOKUP(Entity[ID-Modul],Modul[],2,FALSE),VLOOKUP(Entity[ID-Modul],Modul[],3,FALSE)),"unbekannt")</f>
        <v>IfcTopologyResource</v>
      </c>
      <c r="F647" s="21" t="b">
        <v>1</v>
      </c>
      <c r="G647" s="21" t="b">
        <v>0</v>
      </c>
      <c r="H647" s="22" t="s">
        <v>935</v>
      </c>
      <c r="I647" s="19">
        <f>LEN(Entity[[#This Row],[IFC-Name]])</f>
        <v>11</v>
      </c>
      <c r="J647" s="7" t="s">
        <v>324</v>
      </c>
      <c r="K647" s="19">
        <f>LEN(Entity[[#This Row],[Klassen-Name]])</f>
        <v>11</v>
      </c>
      <c r="L647" s="7"/>
      <c r="M647" s="19" t="b">
        <f>IF(NOT(Entity[[#This Row],[Supertype]]),TRUE,AND(Entity[[#This Row],[Supertype]],Entity[[#This Row],[Subtype]]))</f>
        <v>1</v>
      </c>
      <c r="N647" s="28" t="s">
        <v>3275</v>
      </c>
      <c r="O647" s="29" t="s">
        <v>2162</v>
      </c>
    </row>
    <row r="648" spans="2:15" ht="20.100000000000001" customHeight="1" x14ac:dyDescent="0.25">
      <c r="B648" s="7" t="s">
        <v>519</v>
      </c>
      <c r="C648" s="7" t="str">
        <f>IF(Entity[[#This Row],[Link]]="","",HYPERLINK(HTMLDokuPath&amp;Entity[[#This Row],[Link]],"Doku"))</f>
        <v>Doku</v>
      </c>
      <c r="D648" s="6">
        <v>43</v>
      </c>
      <c r="E648" s="20" t="str">
        <f>IFERROR(IF(VLOOKUP(Entity[ID-Modul],Modul[],3,FALSE)=0,VLOOKUP(Entity[ID-Modul],Modul[],2,FALSE),VLOOKUP(Entity[ID-Modul],Modul[],3,FALSE)),"unbekannt")</f>
        <v>IfcTopologyResource</v>
      </c>
      <c r="F648" s="21" t="b">
        <v>1</v>
      </c>
      <c r="G648" s="21" t="b">
        <v>0</v>
      </c>
      <c r="H648" s="22" t="s">
        <v>1084</v>
      </c>
      <c r="I648" s="19">
        <f>LEN(Entity[[#This Row],[IFC-Name]])</f>
        <v>10</v>
      </c>
      <c r="J648" s="7" t="s">
        <v>519</v>
      </c>
      <c r="K648" s="19">
        <f>LEN(Entity[[#This Row],[Klassen-Name]])</f>
        <v>10</v>
      </c>
      <c r="L648" s="7"/>
      <c r="M648" s="19" t="b">
        <f>IF(NOT(Entity[[#This Row],[Supertype]]),TRUE,AND(Entity[[#This Row],[Supertype]],Entity[[#This Row],[Subtype]]))</f>
        <v>1</v>
      </c>
      <c r="N648" s="28" t="s">
        <v>3479</v>
      </c>
      <c r="O648" s="29" t="s">
        <v>2368</v>
      </c>
    </row>
    <row r="649" spans="2:15" ht="20.100000000000001" customHeight="1" x14ac:dyDescent="0.25">
      <c r="B649" s="7" t="s">
        <v>552</v>
      </c>
      <c r="C649" s="7" t="str">
        <f>IF(Entity[[#This Row],[Link]]="","",HYPERLINK(HTMLDokuPath&amp;Entity[[#This Row],[Link]],"Doku"))</f>
        <v>Doku</v>
      </c>
      <c r="D649" s="6">
        <v>43</v>
      </c>
      <c r="E649" s="20" t="str">
        <f>IFERROR(IF(VLOOKUP(Entity[ID-Modul],Modul[],3,FALSE)=0,VLOOKUP(Entity[ID-Modul],Modul[],2,FALSE),VLOOKUP(Entity[ID-Modul],Modul[],3,FALSE)),"unbekannt")</f>
        <v>IfcTopologyResource</v>
      </c>
      <c r="F649" s="21" t="b">
        <v>1</v>
      </c>
      <c r="G649" s="21" t="b">
        <v>1</v>
      </c>
      <c r="H649" s="22" t="s">
        <v>1451</v>
      </c>
      <c r="I649" s="19">
        <f>LEN(Entity[[#This Row],[IFC-Name]])</f>
        <v>32</v>
      </c>
      <c r="J649" s="1" t="s">
        <v>2906</v>
      </c>
      <c r="K649" s="19">
        <f>LEN(Entity[[#This Row],[Klassen-Name]])</f>
        <v>27</v>
      </c>
      <c r="L649" s="7"/>
      <c r="M649" s="19" t="b">
        <f>IF(NOT(Entity[[#This Row],[Supertype]]),TRUE,AND(Entity[[#This Row],[Supertype]],Entity[[#This Row],[Subtype]]))</f>
        <v>1</v>
      </c>
      <c r="N649" s="28" t="s">
        <v>3522</v>
      </c>
      <c r="O649" s="29" t="s">
        <v>2412</v>
      </c>
    </row>
    <row r="650" spans="2:15" ht="20.100000000000001" customHeight="1" x14ac:dyDescent="0.25">
      <c r="B650" s="7" t="s">
        <v>567</v>
      </c>
      <c r="C650" s="7" t="str">
        <f>IF(Entity[[#This Row],[Link]]="","",HYPERLINK(HTMLDokuPath&amp;Entity[[#This Row],[Link]],"Doku"))</f>
        <v>Doku</v>
      </c>
      <c r="D650" s="6">
        <v>43</v>
      </c>
      <c r="E650" s="20" t="str">
        <f>IFERROR(IF(VLOOKUP(Entity[ID-Modul],Modul[],3,FALSE)=0,VLOOKUP(Entity[ID-Modul],Modul[],2,FALSE),VLOOKUP(Entity[ID-Modul],Modul[],3,FALSE)),"unbekannt")</f>
        <v>IfcTopologyResource</v>
      </c>
      <c r="F650" s="21" t="b">
        <v>1</v>
      </c>
      <c r="G650" s="21" t="b">
        <v>1</v>
      </c>
      <c r="H650" s="22" t="s">
        <v>1454</v>
      </c>
      <c r="I650" s="19">
        <f>LEN(Entity[[#This Row],[IFC-Name]])</f>
        <v>9</v>
      </c>
      <c r="J650" s="7" t="s">
        <v>567</v>
      </c>
      <c r="K650" s="19">
        <f>LEN(Entity[[#This Row],[Klassen-Name]])</f>
        <v>9</v>
      </c>
      <c r="L650" s="7"/>
      <c r="M650" s="19" t="b">
        <f>IF(NOT(Entity[[#This Row],[Supertype]]),TRUE,AND(Entity[[#This Row],[Supertype]],Entity[[#This Row],[Subtype]]))</f>
        <v>1</v>
      </c>
      <c r="N650" s="28" t="s">
        <v>3539</v>
      </c>
      <c r="O650" s="29" t="s">
        <v>2428</v>
      </c>
    </row>
    <row r="651" spans="2:15" ht="20.100000000000001" customHeight="1" x14ac:dyDescent="0.25">
      <c r="B651" s="7" t="s">
        <v>568</v>
      </c>
      <c r="C651" s="7" t="str">
        <f>IF(Entity[[#This Row],[Link]]="","",HYPERLINK(HTMLDokuPath&amp;Entity[[#This Row],[Link]],"Doku"))</f>
        <v>Doku</v>
      </c>
      <c r="D651" s="6">
        <v>43</v>
      </c>
      <c r="E651" s="20" t="str">
        <f>IFERROR(IF(VLOOKUP(Entity[ID-Modul],Modul[],3,FALSE)=0,VLOOKUP(Entity[ID-Modul],Modul[],2,FALSE),VLOOKUP(Entity[ID-Modul],Modul[],3,FALSE)),"unbekannt")</f>
        <v>IfcTopologyResource</v>
      </c>
      <c r="F651" s="21" t="b">
        <v>1</v>
      </c>
      <c r="G651" s="21" t="b">
        <v>0</v>
      </c>
      <c r="H651" s="22" t="s">
        <v>1131</v>
      </c>
      <c r="I651" s="19">
        <f>LEN(Entity[[#This Row],[IFC-Name]])</f>
        <v>13</v>
      </c>
      <c r="J651" s="7" t="s">
        <v>568</v>
      </c>
      <c r="K651" s="19">
        <f>LEN(Entity[[#This Row],[Klassen-Name]])</f>
        <v>13</v>
      </c>
      <c r="L651" s="7"/>
      <c r="M651" s="19" t="b">
        <f>IF(NOT(Entity[[#This Row],[Supertype]]),TRUE,AND(Entity[[#This Row],[Supertype]],Entity[[#This Row],[Subtype]]))</f>
        <v>1</v>
      </c>
      <c r="N651" s="28" t="s">
        <v>3541</v>
      </c>
      <c r="O651" s="29" t="s">
        <v>2430</v>
      </c>
    </row>
    <row r="652" spans="2:15" ht="20.100000000000001" customHeight="1" x14ac:dyDescent="0.25">
      <c r="B652" s="7" t="s">
        <v>569</v>
      </c>
      <c r="C652" s="7" t="str">
        <f>IF(Entity[[#This Row],[Link]]="","",HYPERLINK(HTMLDokuPath&amp;Entity[[#This Row],[Link]],"Doku"))</f>
        <v>Doku</v>
      </c>
      <c r="D652" s="6">
        <v>43</v>
      </c>
      <c r="E652" s="20" t="str">
        <f>IFERROR(IF(VLOOKUP(Entity[ID-Modul],Modul[],3,FALSE)=0,VLOOKUP(Entity[ID-Modul],Modul[],2,FALSE),VLOOKUP(Entity[ID-Modul],Modul[],3,FALSE)),"unbekannt")</f>
        <v>IfcTopologyResource</v>
      </c>
      <c r="F652" s="21" t="b">
        <v>1</v>
      </c>
      <c r="G652" s="21" t="b">
        <v>0</v>
      </c>
      <c r="H652" s="22" t="s">
        <v>1132</v>
      </c>
      <c r="I652" s="19">
        <f>LEN(Entity[[#This Row],[IFC-Name]])</f>
        <v>14</v>
      </c>
      <c r="J652" s="7" t="s">
        <v>569</v>
      </c>
      <c r="K652" s="19">
        <f>LEN(Entity[[#This Row],[Klassen-Name]])</f>
        <v>14</v>
      </c>
      <c r="L652" s="7"/>
      <c r="M652" s="19" t="b">
        <f>IF(NOT(Entity[[#This Row],[Supertype]]),TRUE,AND(Entity[[#This Row],[Supertype]],Entity[[#This Row],[Subtype]]))</f>
        <v>1</v>
      </c>
      <c r="N652" s="28" t="s">
        <v>3542</v>
      </c>
      <c r="O652" s="29" t="s">
        <v>2431</v>
      </c>
    </row>
    <row r="653" spans="2:15" ht="20.100000000000001" customHeight="1" x14ac:dyDescent="0.25">
      <c r="B653" s="7" t="s">
        <v>590</v>
      </c>
      <c r="C653" s="7" t="str">
        <f>IF(Entity[[#This Row],[Link]]="","",HYPERLINK(HTMLDokuPath&amp;Entity[[#This Row],[Link]],"Doku"))</f>
        <v>Doku</v>
      </c>
      <c r="D653" s="6">
        <v>44</v>
      </c>
      <c r="E653" s="20" t="str">
        <f>IFERROR(IF(VLOOKUP(Entity[ID-Modul],Modul[],3,FALSE)=0,VLOOKUP(Entity[ID-Modul],Modul[],2,FALSE),VLOOKUP(Entity[ID-Modul],Modul[],3,FALSE)),"unbekannt")</f>
        <v>IfcUtilityResource</v>
      </c>
      <c r="F653" s="21" t="b">
        <v>0</v>
      </c>
      <c r="G653" s="21" t="b">
        <v>0</v>
      </c>
      <c r="H653" s="22" t="s">
        <v>676</v>
      </c>
      <c r="I653" s="19">
        <f>LEN(Entity[[#This Row],[IFC-Name]])</f>
        <v>14</v>
      </c>
      <c r="J653" s="7" t="s">
        <v>590</v>
      </c>
      <c r="K653" s="19">
        <f>LEN(Entity[[#This Row],[Klassen-Name]])</f>
        <v>14</v>
      </c>
      <c r="L653" s="7"/>
      <c r="M653" s="19" t="b">
        <f>IF(NOT(Entity[[#This Row],[Supertype]]),TRUE,AND(Entity[[#This Row],[Supertype]],Entity[[#This Row],[Subtype]]))</f>
        <v>1</v>
      </c>
      <c r="N653" s="28" t="s">
        <v>2927</v>
      </c>
      <c r="O653" s="29" t="s">
        <v>1816</v>
      </c>
    </row>
    <row r="654" spans="2:15" ht="20.100000000000001" customHeight="1" x14ac:dyDescent="0.25">
      <c r="B654" s="7" t="s">
        <v>633</v>
      </c>
      <c r="C654" s="7" t="str">
        <f>IF(Entity[[#This Row],[Link]]="","",HYPERLINK(HTMLDokuPath&amp;Entity[[#This Row],[Link]],"Doku"))</f>
        <v>Doku</v>
      </c>
      <c r="D654" s="6">
        <v>44</v>
      </c>
      <c r="E654" s="20" t="str">
        <f>IFERROR(IF(VLOOKUP(Entity[ID-Modul],Modul[],3,FALSE)=0,VLOOKUP(Entity[ID-Modul],Modul[],2,FALSE),VLOOKUP(Entity[ID-Modul],Modul[],3,FALSE)),"unbekannt")</f>
        <v>IfcUtilityResource</v>
      </c>
      <c r="F654" s="21" t="b">
        <v>0</v>
      </c>
      <c r="G654" s="21" t="b">
        <v>0</v>
      </c>
      <c r="H654" s="22" t="s">
        <v>917</v>
      </c>
      <c r="I654" s="19">
        <f>LEN(Entity[[#This Row],[IFC-Name]])</f>
        <v>15</v>
      </c>
      <c r="J654" s="7" t="s">
        <v>633</v>
      </c>
      <c r="K654" s="19">
        <f>LEN(Entity[[#This Row],[Klassen-Name]])</f>
        <v>15</v>
      </c>
      <c r="L654" s="7"/>
      <c r="M654" s="19" t="b">
        <f>IF(NOT(Entity[[#This Row],[Supertype]]),TRUE,AND(Entity[[#This Row],[Supertype]],Entity[[#This Row],[Subtype]]))</f>
        <v>1</v>
      </c>
      <c r="N654" s="28" t="s">
        <v>3249</v>
      </c>
      <c r="O654" s="29" t="s">
        <v>2138</v>
      </c>
    </row>
    <row r="655" spans="2:15" ht="20.100000000000001" customHeight="1" x14ac:dyDescent="0.25">
      <c r="B655" s="7" t="s">
        <v>650</v>
      </c>
      <c r="C655" s="7" t="str">
        <f>IF(Entity[[#This Row],[Link]]="","",HYPERLINK(HTMLDokuPath&amp;Entity[[#This Row],[Link]],"Doku"))</f>
        <v>Doku</v>
      </c>
      <c r="D655" s="6">
        <v>44</v>
      </c>
      <c r="E655" s="20" t="str">
        <f>IFERROR(IF(VLOOKUP(Entity[ID-Modul],Modul[],3,FALSE)=0,VLOOKUP(Entity[ID-Modul],Modul[],2,FALSE),VLOOKUP(Entity[ID-Modul],Modul[],3,FALSE)),"unbekannt")</f>
        <v>IfcUtilityResource</v>
      </c>
      <c r="F655" s="21" t="b">
        <v>0</v>
      </c>
      <c r="G655" s="21" t="b">
        <v>0</v>
      </c>
      <c r="H655" s="22" t="s">
        <v>1098</v>
      </c>
      <c r="I655" s="19">
        <f>LEN(Entity[[#This Row],[IFC-Name]])</f>
        <v>8</v>
      </c>
      <c r="J655" s="7" t="s">
        <v>650</v>
      </c>
      <c r="K655" s="19">
        <f>LEN(Entity[[#This Row],[Klassen-Name]])</f>
        <v>8</v>
      </c>
      <c r="L655" s="7"/>
      <c r="M655" s="19" t="b">
        <f>IF(NOT(Entity[[#This Row],[Supertype]]),TRUE,AND(Entity[[#This Row],[Supertype]],Entity[[#This Row],[Subtype]]))</f>
        <v>1</v>
      </c>
      <c r="N655" s="28" t="s">
        <v>3498</v>
      </c>
      <c r="O655" s="29" t="s">
        <v>2388</v>
      </c>
    </row>
    <row r="656" spans="2:15" ht="20.100000000000001" customHeight="1" x14ac:dyDescent="0.25">
      <c r="B656" s="7" t="s">
        <v>651</v>
      </c>
      <c r="C656" s="7" t="str">
        <f>IF(Entity[[#This Row],[Link]]="","",HYPERLINK(HTMLDokuPath&amp;Entity[[#This Row],[Link]],"Doku"))</f>
        <v>Doku</v>
      </c>
      <c r="D656" s="6">
        <v>44</v>
      </c>
      <c r="E656" s="20" t="str">
        <f>IFERROR(IF(VLOOKUP(Entity[ID-Modul],Modul[],3,FALSE)=0,VLOOKUP(Entity[ID-Modul],Modul[],2,FALSE),VLOOKUP(Entity[ID-Modul],Modul[],3,FALSE)),"unbekannt")</f>
        <v>IfcUtilityResource</v>
      </c>
      <c r="F656" s="21" t="b">
        <v>0</v>
      </c>
      <c r="G656" s="21" t="b">
        <v>0</v>
      </c>
      <c r="H656" s="22" t="s">
        <v>1099</v>
      </c>
      <c r="I656" s="19">
        <f>LEN(Entity[[#This Row],[IFC-Name]])</f>
        <v>11</v>
      </c>
      <c r="J656" s="7" t="s">
        <v>651</v>
      </c>
      <c r="K656" s="19">
        <f>LEN(Entity[[#This Row],[Klassen-Name]])</f>
        <v>11</v>
      </c>
      <c r="L656" s="7"/>
      <c r="M656" s="19" t="b">
        <f>IF(NOT(Entity[[#This Row],[Supertype]]),TRUE,AND(Entity[[#This Row],[Supertype]],Entity[[#This Row],[Subtype]]))</f>
        <v>1</v>
      </c>
      <c r="N656" s="28" t="s">
        <v>3499</v>
      </c>
      <c r="O656" s="29" t="s">
        <v>2389</v>
      </c>
    </row>
  </sheetData>
  <conditionalFormatting sqref="J4:J656">
    <cfRule type="expression" dxfId="0" priority="1">
      <formula>LEN($J4)&gt;31</formula>
    </cfRule>
  </conditionalFormatting>
  <pageMargins left="0.7" right="0.7" top="0.78740157499999996" bottom="0.78740157499999996" header="0.3" footer="0.3"/>
  <pageSetup paperSize="9"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DTypes"/>
  <dimension ref="B2:M120"/>
  <sheetViews>
    <sheetView topLeftCell="A13" zoomScale="90" zoomScaleNormal="90" workbookViewId="0">
      <selection activeCell="C86" sqref="C86"/>
    </sheetView>
  </sheetViews>
  <sheetFormatPr baseColWidth="10" defaultRowHeight="20.100000000000001" customHeight="1" x14ac:dyDescent="0.25"/>
  <cols>
    <col min="1" max="1" width="9.5703125" style="1" customWidth="1"/>
    <col min="2" max="2" width="10.5703125" style="2" bestFit="1" customWidth="1"/>
    <col min="3" max="3" width="43" style="1" bestFit="1" customWidth="1"/>
    <col min="4" max="4" width="13.85546875" style="1" bestFit="1" customWidth="1"/>
    <col min="5" max="5" width="31.28515625" style="4" bestFit="1" customWidth="1"/>
    <col min="6" max="6" width="23.5703125" style="1" customWidth="1"/>
    <col min="7" max="7" width="14.5703125" style="1" customWidth="1"/>
    <col min="8" max="8" width="11.42578125" style="1"/>
    <col min="9" max="9" width="24.5703125" style="1" customWidth="1"/>
    <col min="10" max="10" width="36.28515625" customWidth="1"/>
    <col min="11" max="11" width="54.5703125" bestFit="1" customWidth="1"/>
    <col min="12" max="16384" width="11.42578125" style="1"/>
  </cols>
  <sheetData>
    <row r="2" spans="2:13" ht="20.100000000000001" customHeight="1" x14ac:dyDescent="0.25">
      <c r="B2" s="3">
        <v>1</v>
      </c>
      <c r="C2" s="3">
        <v>2</v>
      </c>
      <c r="D2" s="3">
        <v>3</v>
      </c>
      <c r="E2" s="5">
        <v>4</v>
      </c>
      <c r="F2" s="1">
        <v>5</v>
      </c>
    </row>
    <row r="3" spans="2:13" s="3" customFormat="1" ht="20.100000000000001" customHeight="1" x14ac:dyDescent="0.25">
      <c r="B3" s="3" t="s">
        <v>1750</v>
      </c>
      <c r="C3" s="3" t="s">
        <v>1</v>
      </c>
      <c r="D3" s="3" t="s">
        <v>2</v>
      </c>
      <c r="E3" s="5" t="s">
        <v>3</v>
      </c>
      <c r="F3" s="3" t="s">
        <v>1156</v>
      </c>
      <c r="G3" s="3" t="s">
        <v>1280</v>
      </c>
      <c r="H3" s="3" t="s">
        <v>0</v>
      </c>
      <c r="I3" s="3" t="s">
        <v>3677</v>
      </c>
      <c r="J3" s="3" t="s">
        <v>3678</v>
      </c>
      <c r="K3" s="3" t="s">
        <v>3679</v>
      </c>
      <c r="L3" s="3" t="s">
        <v>3680</v>
      </c>
      <c r="M3" s="3" t="s">
        <v>3681</v>
      </c>
    </row>
    <row r="4" spans="2:13" ht="20.100000000000001" customHeight="1" x14ac:dyDescent="0.25">
      <c r="B4" s="1" t="e">
        <f>IF(DType[[#This Row],[Link]]="","",HYPERLINK(HTML_Doku&amp;DType[[#This Row],[Link]],"Doku"))</f>
        <v>#NAME?</v>
      </c>
      <c r="C4" s="38" t="s">
        <v>1157</v>
      </c>
      <c r="D4" s="39">
        <v>20</v>
      </c>
      <c r="E4" s="40">
        <f>IFERROR(VLOOKUP(DType[ID-Modul],Modul[],15,FALSE),"unbekannt")</f>
        <v>4</v>
      </c>
      <c r="F4" s="38" t="s">
        <v>1158</v>
      </c>
      <c r="G4" s="41" t="s">
        <v>2449</v>
      </c>
      <c r="H4" s="38" t="s">
        <v>3560</v>
      </c>
      <c r="I4" s="38" t="str">
        <f>IFERROR(VLOOKUP(DType[[#This Row],[IFC-Type]],DType[[IFC-Name]:[IFC-Type]],4,FALSE),DType[[#This Row],[IFC-Type]])</f>
        <v>REAL</v>
      </c>
      <c r="J4" s="42" t="str">
        <f>"Public Function New_"&amp;DType[[#This Row],[IFC-Name]]&amp;"() As exp"&amp;DType[[#This Row],[Grundtype]]&amp;CHAR(13)&amp;"  Set New_"&amp;DType[[#This Row],[IFC-Name]]&amp;" = ExpressSimpleTypes.New_"&amp;DType[[#This Row],[Grundtype]]&amp;CHAR(13)&amp;"End Function" &amp; CHAR(13) &amp; CHAR(13)</f>
        <v>Public Function New_IfcAbsorbedDoseMeasure() As expREAL_x000D_  Set New_IfcAbsorbedDoseMeasure = ExpressSimpleTypes.New_REAL_x000D_End Function_x000D__x000D_</v>
      </c>
      <c r="K4" s="37" t="str">
        <f xml:space="preserve"> "  Set TestVar = New_"&amp;DType[[#This Row],[IFC-Name]]</f>
        <v xml:space="preserve">  Set TestVar = New_IfcAbsorbedDoseMeasure</v>
      </c>
      <c r="L4" s="1" t="b">
        <v>1</v>
      </c>
      <c r="M4" s="1" t="b">
        <v>1</v>
      </c>
    </row>
    <row r="5" spans="2:13" ht="20.100000000000001" customHeight="1" x14ac:dyDescent="0.25">
      <c r="B5" s="7" t="e">
        <f>IF(DType[[#This Row],[Link]]="","",HYPERLINK(HTML_Doku&amp;DType[[#This Row],[Link]],"Doku"))</f>
        <v>#NAME?</v>
      </c>
      <c r="C5" s="38" t="s">
        <v>1159</v>
      </c>
      <c r="D5" s="39">
        <v>20</v>
      </c>
      <c r="E5" s="40">
        <f>IFERROR(VLOOKUP(DType[ID-Modul],Modul[],15,FALSE),"unbekannt")</f>
        <v>4</v>
      </c>
      <c r="F5" s="38" t="s">
        <v>1158</v>
      </c>
      <c r="G5" s="41" t="s">
        <v>2450</v>
      </c>
      <c r="H5" s="38" t="s">
        <v>3561</v>
      </c>
      <c r="I5" s="38" t="str">
        <f>IFERROR(VLOOKUP(DType[[#This Row],[IFC-Type]],DType[[IFC-Name]:[IFC-Type]],4,FALSE),DType[[#This Row],[IFC-Type]])</f>
        <v>REAL</v>
      </c>
      <c r="J5" s="42" t="str">
        <f>"Public Function New_"&amp;DType[[#This Row],[IFC-Name]]&amp;"() As exp"&amp;DType[[#This Row],[Grundtype]]&amp;CHAR(13)&amp;"  Set New_"&amp;DType[[#This Row],[IFC-Name]]&amp;" = ExpressSimpleTypes.New_"&amp;DType[[#This Row],[Grundtype]]&amp;CHAR(13)&amp;"End Function" &amp; CHAR(13) &amp; CHAR(13)</f>
        <v>Public Function New_IfcAccelerationMeasure() As expREAL_x000D_  Set New_IfcAccelerationMeasure = ExpressSimpleTypes.New_REAL_x000D_End Function_x000D__x000D_</v>
      </c>
      <c r="K5" s="37" t="str">
        <f xml:space="preserve"> "  Set TestVar = New_"&amp;DType[[#This Row],[IFC-Name]]</f>
        <v xml:space="preserve">  Set TestVar = New_IfcAccelerationMeasure</v>
      </c>
      <c r="L5" s="1" t="b">
        <v>1</v>
      </c>
      <c r="M5" s="1" t="b">
        <v>1</v>
      </c>
    </row>
    <row r="6" spans="2:13" ht="20.100000000000001" customHeight="1" x14ac:dyDescent="0.25">
      <c r="B6" s="7" t="e">
        <f>IF(DType[[#This Row],[Link]]="","",HYPERLINK(HTML_Doku&amp;DType[[#This Row],[Link]],"Doku"))</f>
        <v>#NAME?</v>
      </c>
      <c r="C6" s="38" t="s">
        <v>1160</v>
      </c>
      <c r="D6" s="39">
        <v>20</v>
      </c>
      <c r="E6" s="40">
        <f>IFERROR(VLOOKUP(DType[ID-Modul],Modul[],15,FALSE),"unbekannt")</f>
        <v>4</v>
      </c>
      <c r="F6" s="38" t="s">
        <v>1158</v>
      </c>
      <c r="G6" s="41" t="s">
        <v>2451</v>
      </c>
      <c r="H6" s="38" t="s">
        <v>3562</v>
      </c>
      <c r="I6" s="38" t="str">
        <f>IFERROR(VLOOKUP(DType[[#This Row],[IFC-Type]],DType[[IFC-Name]:[IFC-Type]],4,FALSE),DType[[#This Row],[IFC-Type]])</f>
        <v>REAL</v>
      </c>
      <c r="J6" s="42" t="str">
        <f>"Public Function New_"&amp;DType[[#This Row],[IFC-Name]]&amp;"() As exp"&amp;DType[[#This Row],[Grundtype]]&amp;CHAR(13)&amp;"  Set New_"&amp;DType[[#This Row],[IFC-Name]]&amp;" = ExpressSimpleTypes.New_"&amp;DType[[#This Row],[Grundtype]]&amp;CHAR(13)&amp;"End Function" &amp; CHAR(13) &amp; CHAR(13)</f>
        <v>Public Function New_IfcAmountOfSubstanceMeasure() As expREAL_x000D_  Set New_IfcAmountOfSubstanceMeasure = ExpressSimpleTypes.New_REAL_x000D_End Function_x000D__x000D_</v>
      </c>
      <c r="K6" s="37" t="str">
        <f xml:space="preserve"> "  Set TestVar = New_"&amp;DType[[#This Row],[IFC-Name]]</f>
        <v xml:space="preserve">  Set TestVar = New_IfcAmountOfSubstanceMeasure</v>
      </c>
      <c r="L6" s="1" t="b">
        <v>1</v>
      </c>
      <c r="M6" s="1" t="b">
        <v>1</v>
      </c>
    </row>
    <row r="7" spans="2:13" ht="20.100000000000001" customHeight="1" x14ac:dyDescent="0.25">
      <c r="B7" s="7" t="e">
        <f>IF(DType[[#This Row],[Link]]="","",HYPERLINK(HTML_Doku&amp;DType[[#This Row],[Link]],"Doku"))</f>
        <v>#NAME?</v>
      </c>
      <c r="C7" s="38" t="s">
        <v>1161</v>
      </c>
      <c r="D7" s="39">
        <v>20</v>
      </c>
      <c r="E7" s="40">
        <f>IFERROR(VLOOKUP(DType[ID-Modul],Modul[],15,FALSE),"unbekannt")</f>
        <v>4</v>
      </c>
      <c r="F7" s="38" t="s">
        <v>1158</v>
      </c>
      <c r="G7" s="41" t="s">
        <v>2452</v>
      </c>
      <c r="H7" s="38" t="s">
        <v>3563</v>
      </c>
      <c r="I7" s="38" t="str">
        <f>IFERROR(VLOOKUP(DType[[#This Row],[IFC-Type]],DType[[IFC-Name]:[IFC-Type]],4,FALSE),DType[[#This Row],[IFC-Type]])</f>
        <v>REAL</v>
      </c>
      <c r="J7" s="42" t="str">
        <f>"Public Function New_"&amp;DType[[#This Row],[IFC-Name]]&amp;"() As exp"&amp;DType[[#This Row],[Grundtype]]&amp;CHAR(13)&amp;"  Set New_"&amp;DType[[#This Row],[IFC-Name]]&amp;" = ExpressSimpleTypes.New_"&amp;DType[[#This Row],[Grundtype]]&amp;CHAR(13)&amp;"End Function" &amp; CHAR(13) &amp; CHAR(13)</f>
        <v>Public Function New_IfcAngularVelocityMeasure() As expREAL_x000D_  Set New_IfcAngularVelocityMeasure = ExpressSimpleTypes.New_REAL_x000D_End Function_x000D__x000D_</v>
      </c>
      <c r="K7" s="37" t="str">
        <f xml:space="preserve"> "  Set TestVar = New_"&amp;DType[[#This Row],[IFC-Name]]</f>
        <v xml:space="preserve">  Set TestVar = New_IfcAngularVelocityMeasure</v>
      </c>
      <c r="L7" s="1" t="b">
        <v>1</v>
      </c>
      <c r="M7" s="1" t="b">
        <v>1</v>
      </c>
    </row>
    <row r="8" spans="2:13" ht="20.100000000000001" customHeight="1" x14ac:dyDescent="0.25">
      <c r="B8" s="7" t="e">
        <f>IF(DType[[#This Row],[Link]]="","",HYPERLINK(HTML_Doku&amp;DType[[#This Row],[Link]],"Doku"))</f>
        <v>#NAME?</v>
      </c>
      <c r="C8" s="38" t="s">
        <v>1162</v>
      </c>
      <c r="D8" s="39">
        <v>20</v>
      </c>
      <c r="E8" s="40">
        <f>IFERROR(VLOOKUP(DType[ID-Modul],Modul[],15,FALSE),"unbekannt")</f>
        <v>4</v>
      </c>
      <c r="F8" s="38" t="s">
        <v>1158</v>
      </c>
      <c r="G8" s="41" t="s">
        <v>2453</v>
      </c>
      <c r="H8" s="38" t="s">
        <v>3564</v>
      </c>
      <c r="I8" s="38" t="str">
        <f>IFERROR(VLOOKUP(DType[[#This Row],[IFC-Type]],DType[[IFC-Name]:[IFC-Type]],4,FALSE),DType[[#This Row],[IFC-Type]])</f>
        <v>REAL</v>
      </c>
      <c r="J8" s="42" t="str">
        <f>"Public Function New_"&amp;DType[[#This Row],[IFC-Name]]&amp;"() As exp"&amp;DType[[#This Row],[Grundtype]]&amp;CHAR(13)&amp;"  Set New_"&amp;DType[[#This Row],[IFC-Name]]&amp;" = ExpressSimpleTypes.New_"&amp;DType[[#This Row],[Grundtype]]&amp;CHAR(13)&amp;"End Function" &amp; CHAR(13) &amp; CHAR(13)</f>
        <v>Public Function New_IfcAreaMeasure() As expREAL_x000D_  Set New_IfcAreaMeasure = ExpressSimpleTypes.New_REAL_x000D_End Function_x000D__x000D_</v>
      </c>
      <c r="K8" s="37" t="str">
        <f xml:space="preserve"> "  Set TestVar = New_"&amp;DType[[#This Row],[IFC-Name]]</f>
        <v xml:space="preserve">  Set TestVar = New_IfcAreaMeasure</v>
      </c>
      <c r="L8" s="1" t="b">
        <v>1</v>
      </c>
      <c r="M8" s="1" t="b">
        <v>1</v>
      </c>
    </row>
    <row r="9" spans="2:13" ht="20.100000000000001" customHeight="1" x14ac:dyDescent="0.25">
      <c r="B9" s="36" t="e">
        <f>IF(DType[[#This Row],[Link]]="","",HYPERLINK(HTML_Doku&amp;DType[[#This Row],[Link]],"Doku"))</f>
        <v>#NAME?</v>
      </c>
      <c r="C9" s="38" t="s">
        <v>1163</v>
      </c>
      <c r="D9" s="39">
        <v>20</v>
      </c>
      <c r="E9" s="40">
        <f>IFERROR(VLOOKUP(DType[ID-Modul],Modul[],15,FALSE),"unbekannt")</f>
        <v>4</v>
      </c>
      <c r="F9" s="38" t="s">
        <v>1164</v>
      </c>
      <c r="G9" s="41" t="s">
        <v>2454</v>
      </c>
      <c r="H9" s="38" t="s">
        <v>3565</v>
      </c>
      <c r="I9" s="38" t="str">
        <f>IFERROR(VLOOKUP(DType[[#This Row],[IFC-Type]],DType[[IFC-Name]:[IFC-Type]],4,FALSE),DType[[#This Row],[IFC-Type]])</f>
        <v>BOOLEAN</v>
      </c>
      <c r="J9" s="42" t="str">
        <f>"Public Function New_"&amp;DType[[#This Row],[IFC-Name]]&amp;"() As exp"&amp;DType[[#This Row],[Grundtype]]&amp;CHAR(13)&amp;"  Set New_"&amp;DType[[#This Row],[IFC-Name]]&amp;" = ExpressSimpleTypes.New_"&amp;DType[[#This Row],[Grundtype]]&amp;CHAR(13)&amp;"End Function" &amp; CHAR(13) &amp; CHAR(13)</f>
        <v>Public Function New_IfcBoolean() As expBOOLEAN_x000D_  Set New_IfcBoolean = ExpressSimpleTypes.New_BOOLEAN_x000D_End Function_x000D__x000D_</v>
      </c>
      <c r="K9" s="37" t="str">
        <f xml:space="preserve"> "  Set TestVar = New_"&amp;DType[[#This Row],[IFC-Name]]</f>
        <v xml:space="preserve">  Set TestVar = New_IfcBoolean</v>
      </c>
      <c r="L9" s="1" t="b">
        <v>1</v>
      </c>
      <c r="M9" s="1" t="b">
        <v>1</v>
      </c>
    </row>
    <row r="10" spans="2:13" ht="20.100000000000001" customHeight="1" x14ac:dyDescent="0.25">
      <c r="B10" s="7" t="e">
        <f>IF(DType[[#This Row],[Link]]="","",HYPERLINK(HTML_Doku&amp;DType[[#This Row],[Link]],"Doku"))</f>
        <v>#NAME?</v>
      </c>
      <c r="C10" s="38" t="s">
        <v>1165</v>
      </c>
      <c r="D10" s="39">
        <v>23</v>
      </c>
      <c r="E10" s="40">
        <f>IFERROR(VLOOKUP(DType[ID-Modul],Modul[],15,FALSE),"unbekannt")</f>
        <v>0</v>
      </c>
      <c r="F10" s="38" t="s">
        <v>1154</v>
      </c>
      <c r="G10" s="41" t="s">
        <v>2455</v>
      </c>
      <c r="H10" s="38" t="s">
        <v>3566</v>
      </c>
      <c r="I10" s="38" t="str">
        <f>IFERROR(VLOOKUP(DType[[#This Row],[IFC-Type]],DType[[IFC-Name]:[IFC-Type]],4,FALSE),DType[[#This Row],[IFC-Type]])</f>
        <v>STRING</v>
      </c>
      <c r="J10" s="42" t="str">
        <f>"Public Function New_"&amp;DType[[#This Row],[IFC-Name]]&amp;"() As exp"&amp;DType[[#This Row],[Grundtype]]&amp;CHAR(13)&amp;"  Set New_"&amp;DType[[#This Row],[IFC-Name]]&amp;" = ExpressSimpleTypes.New_"&amp;DType[[#This Row],[Grundtype]]&amp;CHAR(13)&amp;"End Function" &amp; CHAR(13) &amp; CHAR(13)</f>
        <v>Public Function New_IfcBoxAlignment() As expSTRING_x000D_  Set New_IfcBoxAlignment = ExpressSimpleTypes.New_STRING_x000D_End Function_x000D__x000D_</v>
      </c>
      <c r="K10" s="37" t="str">
        <f xml:space="preserve"> "  Set TestVar = New_"&amp;DType[[#This Row],[IFC-Name]]</f>
        <v xml:space="preserve">  Set TestVar = New_IfcBoxAlignment</v>
      </c>
      <c r="L10" s="1" t="b">
        <v>1</v>
      </c>
      <c r="M10" s="1" t="b">
        <v>1</v>
      </c>
    </row>
    <row r="11" spans="2:13" ht="20.100000000000001" customHeight="1" x14ac:dyDescent="0.25">
      <c r="B11" s="7" t="e">
        <f>IF(DType[[#This Row],[Link]]="","",HYPERLINK(HTML_Doku&amp;DType[[#This Row],[Link]],"Doku"))</f>
        <v>#NAME?</v>
      </c>
      <c r="C11" s="38" t="s">
        <v>1166</v>
      </c>
      <c r="D11" s="39">
        <v>20</v>
      </c>
      <c r="E11" s="40">
        <f>IFERROR(VLOOKUP(DType[ID-Modul],Modul[],15,FALSE),"unbekannt")</f>
        <v>4</v>
      </c>
      <c r="F11" s="38" t="s">
        <v>1167</v>
      </c>
      <c r="G11" s="41" t="s">
        <v>2456</v>
      </c>
      <c r="H11" s="38" t="s">
        <v>3567</v>
      </c>
      <c r="I11" s="38" t="str">
        <f>IFERROR(VLOOKUP(DType[[#This Row],[IFC-Type]],DType[[IFC-Name]:[IFC-Type]],4,FALSE),DType[[#This Row],[IFC-Type]])</f>
        <v>ARRAY [1:2] OF REAL</v>
      </c>
      <c r="J11" s="42" t="str">
        <f>"Public Function New_"&amp;DType[[#This Row],[IFC-Name]]&amp;"() As exp"&amp;DType[[#This Row],[Grundtype]]&amp;CHAR(13)&amp;"  Set New_"&amp;DType[[#This Row],[IFC-Name]]&amp;" = ExpressSimpleTypes.New_"&amp;DType[[#This Row],[Grundtype]]&amp;CHAR(13)&amp;"End Function" &amp; CHAR(13) &amp; CHAR(13)</f>
        <v>Public Function New_IfcComplexNumber() As expARRAY [1:2] OF REAL_x000D_  Set New_IfcComplexNumber = ExpressSimpleTypes.New_ARRAY [1:2] OF REAL_x000D_End Function_x000D__x000D_</v>
      </c>
      <c r="K11" s="37" t="str">
        <f xml:space="preserve"> "  Set TestVar = New_"&amp;DType[[#This Row],[IFC-Name]]</f>
        <v xml:space="preserve">  Set TestVar = New_IfcComplexNumber</v>
      </c>
      <c r="L11" s="1" t="b">
        <v>1</v>
      </c>
      <c r="M11" s="1" t="b">
        <v>1</v>
      </c>
    </row>
    <row r="12" spans="2:13" ht="20.100000000000001" customHeight="1" x14ac:dyDescent="0.25">
      <c r="B12" s="7" t="e">
        <f>IF(DType[[#This Row],[Link]]="","",HYPERLINK(HTML_Doku&amp;DType[[#This Row],[Link]],"Doku"))</f>
        <v>#NAME?</v>
      </c>
      <c r="C12" s="38" t="s">
        <v>1168</v>
      </c>
      <c r="D12" s="39">
        <v>20</v>
      </c>
      <c r="E12" s="40">
        <f>IFERROR(VLOOKUP(DType[ID-Modul],Modul[],15,FALSE),"unbekannt")</f>
        <v>4</v>
      </c>
      <c r="F12" s="38" t="s">
        <v>1169</v>
      </c>
      <c r="G12" s="41" t="s">
        <v>2457</v>
      </c>
      <c r="H12" s="38" t="s">
        <v>3568</v>
      </c>
      <c r="I12" s="38" t="str">
        <f>IFERROR(VLOOKUP(DType[[#This Row],[IFC-Type]],DType[[IFC-Name]:[IFC-Type]],4,FALSE),DType[[#This Row],[IFC-Type]])</f>
        <v>LIST [3:4] OF INTEGER</v>
      </c>
      <c r="J12" s="42" t="str">
        <f>"Public Function New_"&amp;DType[[#This Row],[IFC-Name]]&amp;"() As exp"&amp;DType[[#This Row],[Grundtype]]&amp;CHAR(13)&amp;"  Set New_"&amp;DType[[#This Row],[IFC-Name]]&amp;" = ExpressSimpleTypes.New_"&amp;DType[[#This Row],[Grundtype]]&amp;CHAR(13)&amp;"End Function" &amp; CHAR(13) &amp; CHAR(13)</f>
        <v>Public Function New_IfcCompoundPlaneAngleMeasure() As expLIST [3:4] OF INTEGER_x000D_  Set New_IfcCompoundPlaneAngleMeasure = ExpressSimpleTypes.New_LIST [3:4] OF INTEGER_x000D_End Function_x000D__x000D_</v>
      </c>
      <c r="K12" s="37" t="str">
        <f xml:space="preserve"> "  Set TestVar = New_"&amp;DType[[#This Row],[IFC-Name]]</f>
        <v xml:space="preserve">  Set TestVar = New_IfcCompoundPlaneAngleMeasure</v>
      </c>
      <c r="L12" s="1" t="b">
        <v>1</v>
      </c>
      <c r="M12" s="1" t="b">
        <v>1</v>
      </c>
    </row>
    <row r="13" spans="2:13" ht="20.100000000000001" customHeight="1" x14ac:dyDescent="0.25">
      <c r="B13" s="7" t="e">
        <f>IF(DType[[#This Row],[Link]]="","",HYPERLINK(HTML_Doku&amp;DType[[#This Row],[Link]],"Doku"))</f>
        <v>#NAME?</v>
      </c>
      <c r="C13" s="38" t="s">
        <v>1170</v>
      </c>
      <c r="D13" s="39">
        <v>20</v>
      </c>
      <c r="E13" s="40">
        <f>IFERROR(VLOOKUP(DType[ID-Modul],Modul[],15,FALSE),"unbekannt")</f>
        <v>4</v>
      </c>
      <c r="F13" s="38" t="s">
        <v>1158</v>
      </c>
      <c r="G13" s="41" t="s">
        <v>2458</v>
      </c>
      <c r="H13" s="38" t="s">
        <v>3569</v>
      </c>
      <c r="I13" s="38" t="str">
        <f>IFERROR(VLOOKUP(DType[[#This Row],[IFC-Type]],DType[[IFC-Name]:[IFC-Type]],4,FALSE),DType[[#This Row],[IFC-Type]])</f>
        <v>REAL</v>
      </c>
      <c r="J13" s="42" t="str">
        <f>"Public Function New_"&amp;DType[[#This Row],[IFC-Name]]&amp;"() As exp"&amp;DType[[#This Row],[Grundtype]]&amp;CHAR(13)&amp;"  Set New_"&amp;DType[[#This Row],[IFC-Name]]&amp;" = ExpressSimpleTypes.New_"&amp;DType[[#This Row],[Grundtype]]&amp;CHAR(13)&amp;"End Function" &amp; CHAR(13) &amp; CHAR(13)</f>
        <v>Public Function New_IfcContextDependentMeasure() As expREAL_x000D_  Set New_IfcContextDependentMeasure = ExpressSimpleTypes.New_REAL_x000D_End Function_x000D__x000D_</v>
      </c>
      <c r="K13" s="37" t="str">
        <f xml:space="preserve"> "  Set TestVar = New_"&amp;DType[[#This Row],[IFC-Name]]</f>
        <v xml:space="preserve">  Set TestVar = New_IfcContextDependentMeasure</v>
      </c>
      <c r="L13" s="1" t="b">
        <v>1</v>
      </c>
      <c r="M13" s="1" t="b">
        <v>1</v>
      </c>
    </row>
    <row r="14" spans="2:13" ht="20.100000000000001" customHeight="1" x14ac:dyDescent="0.25">
      <c r="B14" s="7" t="e">
        <f>IF(DType[[#This Row],[Link]]="","",HYPERLINK(HTML_Doku&amp;DType[[#This Row],[Link]],"Doku"))</f>
        <v>#NAME?</v>
      </c>
      <c r="C14" s="38" t="s">
        <v>1171</v>
      </c>
      <c r="D14" s="39">
        <v>20</v>
      </c>
      <c r="E14" s="40">
        <f>IFERROR(VLOOKUP(DType[ID-Modul],Modul[],15,FALSE),"unbekannt")</f>
        <v>4</v>
      </c>
      <c r="F14" s="38" t="s">
        <v>1172</v>
      </c>
      <c r="G14" s="41" t="s">
        <v>2459</v>
      </c>
      <c r="H14" s="38" t="s">
        <v>3570</v>
      </c>
      <c r="I14" s="38" t="str">
        <f>IFERROR(VLOOKUP(DType[[#This Row],[IFC-Type]],DType[[IFC-Name]:[IFC-Type]],4,FALSE),DType[[#This Row],[IFC-Type]])</f>
        <v>NUMBER</v>
      </c>
      <c r="J14" s="42" t="str">
        <f>"Public Function New_"&amp;DType[[#This Row],[IFC-Name]]&amp;"() As exp"&amp;DType[[#This Row],[Grundtype]]&amp;CHAR(13)&amp;"  Set New_"&amp;DType[[#This Row],[IFC-Name]]&amp;" = ExpressSimpleTypes.New_"&amp;DType[[#This Row],[Grundtype]]&amp;CHAR(13)&amp;"End Function" &amp; CHAR(13) &amp; CHAR(13)</f>
        <v>Public Function New_IfcCountMeasure() As expNUMBER_x000D_  Set New_IfcCountMeasure = ExpressSimpleTypes.New_NUMBER_x000D_End Function_x000D__x000D_</v>
      </c>
      <c r="K14" s="37" t="str">
        <f xml:space="preserve"> "  Set TestVar = New_"&amp;DType[[#This Row],[IFC-Name]]</f>
        <v xml:space="preserve">  Set TestVar = New_IfcCountMeasure</v>
      </c>
      <c r="L14" s="1" t="b">
        <v>1</v>
      </c>
      <c r="M14" s="1" t="b">
        <v>1</v>
      </c>
    </row>
    <row r="15" spans="2:13" ht="20.100000000000001" customHeight="1" x14ac:dyDescent="0.25">
      <c r="B15" s="7" t="e">
        <f>IF(DType[[#This Row],[Link]]="","",HYPERLINK(HTML_Doku&amp;DType[[#This Row],[Link]],"Doku"))</f>
        <v>#NAME?</v>
      </c>
      <c r="C15" s="38" t="s">
        <v>1173</v>
      </c>
      <c r="D15" s="39">
        <v>20</v>
      </c>
      <c r="E15" s="40">
        <f>IFERROR(VLOOKUP(DType[ID-Modul],Modul[],15,FALSE),"unbekannt")</f>
        <v>4</v>
      </c>
      <c r="F15" s="38" t="s">
        <v>1158</v>
      </c>
      <c r="G15" s="41" t="s">
        <v>2460</v>
      </c>
      <c r="H15" s="38" t="s">
        <v>3571</v>
      </c>
      <c r="I15" s="38" t="str">
        <f>IFERROR(VLOOKUP(DType[[#This Row],[IFC-Type]],DType[[IFC-Name]:[IFC-Type]],4,FALSE),DType[[#This Row],[IFC-Type]])</f>
        <v>REAL</v>
      </c>
      <c r="J15" s="42" t="str">
        <f>"Public Function New_"&amp;DType[[#This Row],[IFC-Name]]&amp;"() As exp"&amp;DType[[#This Row],[Grundtype]]&amp;CHAR(13)&amp;"  Set New_"&amp;DType[[#This Row],[IFC-Name]]&amp;" = ExpressSimpleTypes.New_"&amp;DType[[#This Row],[Grundtype]]&amp;CHAR(13)&amp;"End Function" &amp; CHAR(13) &amp; CHAR(13)</f>
        <v>Public Function New_IfcCurvatureMeasure() As expREAL_x000D_  Set New_IfcCurvatureMeasure = ExpressSimpleTypes.New_REAL_x000D_End Function_x000D__x000D_</v>
      </c>
      <c r="K15" s="37" t="str">
        <f xml:space="preserve"> "  Set TestVar = New_"&amp;DType[[#This Row],[IFC-Name]]</f>
        <v xml:space="preserve">  Set TestVar = New_IfcCurvatureMeasure</v>
      </c>
      <c r="L15" s="1" t="b">
        <v>1</v>
      </c>
      <c r="M15" s="1" t="b">
        <v>1</v>
      </c>
    </row>
    <row r="16" spans="2:13" ht="20.100000000000001" customHeight="1" x14ac:dyDescent="0.25">
      <c r="B16" s="7" t="e">
        <f>IF(DType[[#This Row],[Link]]="","",HYPERLINK(HTML_Doku&amp;DType[[#This Row],[Link]],"Doku"))</f>
        <v>#NAME?</v>
      </c>
      <c r="C16" s="38" t="s">
        <v>1174</v>
      </c>
      <c r="D16" s="39">
        <v>9</v>
      </c>
      <c r="E16" s="40">
        <f>IFERROR(VLOOKUP(DType[ID-Modul],Modul[],15,FALSE),"unbekannt")</f>
        <v>3</v>
      </c>
      <c r="F16" s="38" t="s">
        <v>1175</v>
      </c>
      <c r="G16" s="41" t="s">
        <v>2461</v>
      </c>
      <c r="H16" s="38" t="s">
        <v>3572</v>
      </c>
      <c r="I16" s="38" t="str">
        <f>IFERROR(VLOOKUP(DType[[#This Row],[IFC-Type]],DType[[IFC-Name]:[IFC-Type]],4,FALSE),DType[[#This Row],[IFC-Type]])</f>
        <v>INTEGER</v>
      </c>
      <c r="J16" s="42" t="str">
        <f>"Public Function New_"&amp;DType[[#This Row],[IFC-Name]]&amp;"() As exp"&amp;DType[[#This Row],[Grundtype]]&amp;CHAR(13)&amp;"  Set New_"&amp;DType[[#This Row],[IFC-Name]]&amp;" = ExpressSimpleTypes.New_"&amp;DType[[#This Row],[Grundtype]]&amp;CHAR(13)&amp;"End Function" &amp; CHAR(13) &amp; CHAR(13)</f>
        <v>Public Function New_IfcDayInMonthNumber() As expINTEGER_x000D_  Set New_IfcDayInMonthNumber = ExpressSimpleTypes.New_INTEGER_x000D_End Function_x000D__x000D_</v>
      </c>
      <c r="K16" s="37" t="str">
        <f xml:space="preserve"> "  Set TestVar = New_"&amp;DType[[#This Row],[IFC-Name]]</f>
        <v xml:space="preserve">  Set TestVar = New_IfcDayInMonthNumber</v>
      </c>
      <c r="L16" s="1" t="b">
        <v>1</v>
      </c>
      <c r="M16" s="1" t="b">
        <v>1</v>
      </c>
    </row>
    <row r="17" spans="2:13" ht="20.100000000000001" customHeight="1" x14ac:dyDescent="0.25">
      <c r="B17" s="7" t="e">
        <f>IF(DType[[#This Row],[Link]]="","",HYPERLINK(HTML_Doku&amp;DType[[#This Row],[Link]],"Doku"))</f>
        <v>#NAME?</v>
      </c>
      <c r="C17" s="38" t="s">
        <v>1176</v>
      </c>
      <c r="D17" s="39">
        <v>9</v>
      </c>
      <c r="E17" s="40">
        <f>IFERROR(VLOOKUP(DType[ID-Modul],Modul[],15,FALSE),"unbekannt")</f>
        <v>3</v>
      </c>
      <c r="F17" s="38" t="s">
        <v>1175</v>
      </c>
      <c r="G17" s="41" t="s">
        <v>2462</v>
      </c>
      <c r="H17" s="38" t="s">
        <v>3573</v>
      </c>
      <c r="I17" s="38" t="str">
        <f>IFERROR(VLOOKUP(DType[[#This Row],[IFC-Type]],DType[[IFC-Name]:[IFC-Type]],4,FALSE),DType[[#This Row],[IFC-Type]])</f>
        <v>INTEGER</v>
      </c>
      <c r="J17" s="42" t="str">
        <f>"Public Function New_"&amp;DType[[#This Row],[IFC-Name]]&amp;"() As exp"&amp;DType[[#This Row],[Grundtype]]&amp;CHAR(13)&amp;"  Set New_"&amp;DType[[#This Row],[IFC-Name]]&amp;" = ExpressSimpleTypes.New_"&amp;DType[[#This Row],[Grundtype]]&amp;CHAR(13)&amp;"End Function" &amp; CHAR(13) &amp; CHAR(13)</f>
        <v>Public Function New_IfcDaylightSavingHour() As expINTEGER_x000D_  Set New_IfcDaylightSavingHour = ExpressSimpleTypes.New_INTEGER_x000D_End Function_x000D__x000D_</v>
      </c>
      <c r="K17" s="37" t="str">
        <f xml:space="preserve"> "  Set TestVar = New_"&amp;DType[[#This Row],[IFC-Name]]</f>
        <v xml:space="preserve">  Set TestVar = New_IfcDaylightSavingHour</v>
      </c>
      <c r="L17" s="1" t="b">
        <v>1</v>
      </c>
      <c r="M17" s="1" t="b">
        <v>1</v>
      </c>
    </row>
    <row r="18" spans="2:13" ht="20.100000000000001" customHeight="1" x14ac:dyDescent="0.25">
      <c r="B18" s="7" t="e">
        <f>IF(DType[[#This Row],[Link]]="","",HYPERLINK(HTML_Doku&amp;DType[[#This Row],[Link]],"Doku"))</f>
        <v>#NAME?</v>
      </c>
      <c r="C18" s="38" t="s">
        <v>1177</v>
      </c>
      <c r="D18" s="39">
        <v>20</v>
      </c>
      <c r="E18" s="40">
        <f>IFERROR(VLOOKUP(DType[ID-Modul],Modul[],15,FALSE),"unbekannt")</f>
        <v>4</v>
      </c>
      <c r="F18" s="38" t="s">
        <v>1178</v>
      </c>
      <c r="G18" s="41" t="s">
        <v>2463</v>
      </c>
      <c r="H18" s="38" t="s">
        <v>3574</v>
      </c>
      <c r="I18" s="38" t="str">
        <f>IFERROR(VLOOKUP(DType[[#This Row],[IFC-Type]],DType[[IFC-Name]:[IFC-Type]],4,FALSE),DType[[#This Row],[IFC-Type]])</f>
        <v>STRING</v>
      </c>
      <c r="J18" s="42" t="str">
        <f>"Public Function New_"&amp;DType[[#This Row],[IFC-Name]]&amp;"() As exp"&amp;DType[[#This Row],[Grundtype]]&amp;CHAR(13)&amp;"  Set New_"&amp;DType[[#This Row],[IFC-Name]]&amp;" = ExpressSimpleTypes.New_"&amp;DType[[#This Row],[Grundtype]]&amp;CHAR(13)&amp;"End Function" &amp; CHAR(13) &amp; CHAR(13)</f>
        <v>Public Function New_IfcDescriptiveMeasure() As expSTRING_x000D_  Set New_IfcDescriptiveMeasure = ExpressSimpleTypes.New_STRING_x000D_End Function_x000D__x000D_</v>
      </c>
      <c r="K18" s="37" t="str">
        <f xml:space="preserve"> "  Set TestVar = New_"&amp;DType[[#This Row],[IFC-Name]]</f>
        <v xml:space="preserve">  Set TestVar = New_IfcDescriptiveMeasure</v>
      </c>
      <c r="L18" s="1" t="b">
        <v>1</v>
      </c>
      <c r="M18" s="1" t="b">
        <v>1</v>
      </c>
    </row>
    <row r="19" spans="2:13" ht="20.100000000000001" customHeight="1" x14ac:dyDescent="0.25">
      <c r="B19" s="7" t="e">
        <f>IF(DType[[#This Row],[Link]]="","",HYPERLINK(HTML_Doku&amp;DType[[#This Row],[Link]],"Doku"))</f>
        <v>#NAME?</v>
      </c>
      <c r="C19" s="38" t="s">
        <v>1179</v>
      </c>
      <c r="D19" s="39">
        <v>15</v>
      </c>
      <c r="E19" s="40">
        <f>IFERROR(VLOOKUP(DType[ID-Modul],Modul[],15,FALSE),"unbekannt")</f>
        <v>19</v>
      </c>
      <c r="F19" s="38" t="s">
        <v>1175</v>
      </c>
      <c r="G19" s="41" t="s">
        <v>2464</v>
      </c>
      <c r="H19" s="38" t="s">
        <v>3575</v>
      </c>
      <c r="I19" s="38" t="str">
        <f>IFERROR(VLOOKUP(DType[[#This Row],[IFC-Type]],DType[[IFC-Name]:[IFC-Type]],4,FALSE),DType[[#This Row],[IFC-Type]])</f>
        <v>INTEGER</v>
      </c>
      <c r="J19" s="42" t="str">
        <f>"Public Function New_"&amp;DType[[#This Row],[IFC-Name]]&amp;"() As exp"&amp;DType[[#This Row],[Grundtype]]&amp;CHAR(13)&amp;"  Set New_"&amp;DType[[#This Row],[IFC-Name]]&amp;" = ExpressSimpleTypes.New_"&amp;DType[[#This Row],[Grundtype]]&amp;CHAR(13)&amp;"End Function" &amp; CHAR(13) &amp; CHAR(13)</f>
        <v>Public Function New_IfcDimensionCount() As expINTEGER_x000D_  Set New_IfcDimensionCount = ExpressSimpleTypes.New_INTEGER_x000D_End Function_x000D__x000D_</v>
      </c>
      <c r="K19" s="37" t="str">
        <f xml:space="preserve"> "  Set TestVar = New_"&amp;DType[[#This Row],[IFC-Name]]</f>
        <v xml:space="preserve">  Set TestVar = New_IfcDimensionCount</v>
      </c>
      <c r="L19" s="1" t="b">
        <v>1</v>
      </c>
      <c r="M19" s="1" t="b">
        <v>1</v>
      </c>
    </row>
    <row r="20" spans="2:13" ht="20.100000000000001" customHeight="1" x14ac:dyDescent="0.25">
      <c r="B20" s="7" t="e">
        <f>IF(DType[[#This Row],[Link]]="","",HYPERLINK(HTML_Doku&amp;DType[[#This Row],[Link]],"Doku"))</f>
        <v>#NAME?</v>
      </c>
      <c r="C20" s="38" t="s">
        <v>1180</v>
      </c>
      <c r="D20" s="39">
        <v>20</v>
      </c>
      <c r="E20" s="40">
        <f>IFERROR(VLOOKUP(DType[ID-Modul],Modul[],15,FALSE),"unbekannt")</f>
        <v>4</v>
      </c>
      <c r="F20" s="38" t="s">
        <v>1158</v>
      </c>
      <c r="G20" s="41" t="s">
        <v>2465</v>
      </c>
      <c r="H20" s="38" t="s">
        <v>3576</v>
      </c>
      <c r="I20" s="38" t="str">
        <f>IFERROR(VLOOKUP(DType[[#This Row],[IFC-Type]],DType[[IFC-Name]:[IFC-Type]],4,FALSE),DType[[#This Row],[IFC-Type]])</f>
        <v>REAL</v>
      </c>
      <c r="J20" s="42" t="str">
        <f>"Public Function New_"&amp;DType[[#This Row],[IFC-Name]]&amp;"() As exp"&amp;DType[[#This Row],[Grundtype]]&amp;CHAR(13)&amp;"  Set New_"&amp;DType[[#This Row],[IFC-Name]]&amp;" = ExpressSimpleTypes.New_"&amp;DType[[#This Row],[Grundtype]]&amp;CHAR(13)&amp;"End Function" &amp; CHAR(13) &amp; CHAR(13)</f>
        <v>Public Function New_IfcDoseEquivalentMeasure() As expREAL_x000D_  Set New_IfcDoseEquivalentMeasure = ExpressSimpleTypes.New_REAL_x000D_End Function_x000D__x000D_</v>
      </c>
      <c r="K20" s="37" t="str">
        <f xml:space="preserve"> "  Set TestVar = New_"&amp;DType[[#This Row],[IFC-Name]]</f>
        <v xml:space="preserve">  Set TestVar = New_IfcDoseEquivalentMeasure</v>
      </c>
      <c r="L20" s="1" t="b">
        <v>1</v>
      </c>
      <c r="M20" s="1" t="b">
        <v>1</v>
      </c>
    </row>
    <row r="21" spans="2:13" ht="20.100000000000001" customHeight="1" x14ac:dyDescent="0.25">
      <c r="B21" s="7" t="e">
        <f>IF(DType[[#This Row],[Link]]="","",HYPERLINK(HTML_Doku&amp;DType[[#This Row],[Link]],"Doku"))</f>
        <v>#NAME?</v>
      </c>
      <c r="C21" s="38" t="s">
        <v>1181</v>
      </c>
      <c r="D21" s="39">
        <v>20</v>
      </c>
      <c r="E21" s="40">
        <f>IFERROR(VLOOKUP(DType[ID-Modul],Modul[],15,FALSE),"unbekannt")</f>
        <v>4</v>
      </c>
      <c r="F21" s="38" t="s">
        <v>1158</v>
      </c>
      <c r="G21" s="41" t="s">
        <v>2466</v>
      </c>
      <c r="H21" s="38" t="s">
        <v>3577</v>
      </c>
      <c r="I21" s="38" t="str">
        <f>IFERROR(VLOOKUP(DType[[#This Row],[IFC-Type]],DType[[IFC-Name]:[IFC-Type]],4,FALSE),DType[[#This Row],[IFC-Type]])</f>
        <v>REAL</v>
      </c>
      <c r="J21" s="42" t="str">
        <f>"Public Function New_"&amp;DType[[#This Row],[IFC-Name]]&amp;"() As exp"&amp;DType[[#This Row],[Grundtype]]&amp;CHAR(13)&amp;"  Set New_"&amp;DType[[#This Row],[IFC-Name]]&amp;" = ExpressSimpleTypes.New_"&amp;DType[[#This Row],[Grundtype]]&amp;CHAR(13)&amp;"End Function" &amp; CHAR(13) &amp; CHAR(13)</f>
        <v>Public Function New_IfcDynamicViscosityMeasure() As expREAL_x000D_  Set New_IfcDynamicViscosityMeasure = ExpressSimpleTypes.New_REAL_x000D_End Function_x000D__x000D_</v>
      </c>
      <c r="K21" s="37" t="str">
        <f xml:space="preserve"> "  Set TestVar = New_"&amp;DType[[#This Row],[IFC-Name]]</f>
        <v xml:space="preserve">  Set TestVar = New_IfcDynamicViscosityMeasure</v>
      </c>
      <c r="L21" s="1" t="b">
        <v>1</v>
      </c>
      <c r="M21" s="1" t="b">
        <v>1</v>
      </c>
    </row>
    <row r="22" spans="2:13" ht="20.100000000000001" customHeight="1" x14ac:dyDescent="0.25">
      <c r="B22" s="7" t="e">
        <f>IF(DType[[#This Row],[Link]]="","",HYPERLINK(HTML_Doku&amp;DType[[#This Row],[Link]],"Doku"))</f>
        <v>#NAME?</v>
      </c>
      <c r="C22" s="38" t="s">
        <v>1182</v>
      </c>
      <c r="D22" s="39">
        <v>20</v>
      </c>
      <c r="E22" s="40">
        <f>IFERROR(VLOOKUP(DType[ID-Modul],Modul[],15,FALSE),"unbekannt")</f>
        <v>4</v>
      </c>
      <c r="F22" s="38" t="s">
        <v>1158</v>
      </c>
      <c r="G22" s="41" t="s">
        <v>2467</v>
      </c>
      <c r="H22" s="38" t="s">
        <v>3578</v>
      </c>
      <c r="I22" s="38" t="str">
        <f>IFERROR(VLOOKUP(DType[[#This Row],[IFC-Type]],DType[[IFC-Name]:[IFC-Type]],4,FALSE),DType[[#This Row],[IFC-Type]])</f>
        <v>REAL</v>
      </c>
      <c r="J22" s="42" t="str">
        <f>"Public Function New_"&amp;DType[[#This Row],[IFC-Name]]&amp;"() As exp"&amp;DType[[#This Row],[Grundtype]]&amp;CHAR(13)&amp;"  Set New_"&amp;DType[[#This Row],[IFC-Name]]&amp;" = ExpressSimpleTypes.New_"&amp;DType[[#This Row],[Grundtype]]&amp;CHAR(13)&amp;"End Function" &amp; CHAR(13) &amp; CHAR(13)</f>
        <v>Public Function New_IfcElectricCapacitanceMeasure() As expREAL_x000D_  Set New_IfcElectricCapacitanceMeasure = ExpressSimpleTypes.New_REAL_x000D_End Function_x000D__x000D_</v>
      </c>
      <c r="K22" s="37" t="str">
        <f xml:space="preserve"> "  Set TestVar = New_"&amp;DType[[#This Row],[IFC-Name]]</f>
        <v xml:space="preserve">  Set TestVar = New_IfcElectricCapacitanceMeasure</v>
      </c>
      <c r="L22" s="1" t="b">
        <v>1</v>
      </c>
      <c r="M22" s="1" t="b">
        <v>1</v>
      </c>
    </row>
    <row r="23" spans="2:13" ht="20.100000000000001" customHeight="1" x14ac:dyDescent="0.25">
      <c r="B23" s="7" t="e">
        <f>IF(DType[[#This Row],[Link]]="","",HYPERLINK(HTML_Doku&amp;DType[[#This Row],[Link]],"Doku"))</f>
        <v>#NAME?</v>
      </c>
      <c r="C23" s="38" t="s">
        <v>1183</v>
      </c>
      <c r="D23" s="39">
        <v>20</v>
      </c>
      <c r="E23" s="40">
        <f>IFERROR(VLOOKUP(DType[ID-Modul],Modul[],15,FALSE),"unbekannt")</f>
        <v>4</v>
      </c>
      <c r="F23" s="38" t="s">
        <v>1158</v>
      </c>
      <c r="G23" s="41" t="s">
        <v>2468</v>
      </c>
      <c r="H23" s="38" t="s">
        <v>3579</v>
      </c>
      <c r="I23" s="38" t="str">
        <f>IFERROR(VLOOKUP(DType[[#This Row],[IFC-Type]],DType[[IFC-Name]:[IFC-Type]],4,FALSE),DType[[#This Row],[IFC-Type]])</f>
        <v>REAL</v>
      </c>
      <c r="J23" s="42" t="str">
        <f>"Public Function New_"&amp;DType[[#This Row],[IFC-Name]]&amp;"() As exp"&amp;DType[[#This Row],[Grundtype]]&amp;CHAR(13)&amp;"  Set New_"&amp;DType[[#This Row],[IFC-Name]]&amp;" = ExpressSimpleTypes.New_"&amp;DType[[#This Row],[Grundtype]]&amp;CHAR(13)&amp;"End Function" &amp; CHAR(13) &amp; CHAR(13)</f>
        <v>Public Function New_IfcElectricChargeMeasure() As expREAL_x000D_  Set New_IfcElectricChargeMeasure = ExpressSimpleTypes.New_REAL_x000D_End Function_x000D__x000D_</v>
      </c>
      <c r="K23" s="37" t="str">
        <f xml:space="preserve"> "  Set TestVar = New_"&amp;DType[[#This Row],[IFC-Name]]</f>
        <v xml:space="preserve">  Set TestVar = New_IfcElectricChargeMeasure</v>
      </c>
      <c r="L23" s="1" t="b">
        <v>1</v>
      </c>
      <c r="M23" s="1" t="b">
        <v>1</v>
      </c>
    </row>
    <row r="24" spans="2:13" ht="20.100000000000001" customHeight="1" x14ac:dyDescent="0.25">
      <c r="B24" s="7" t="e">
        <f>IF(DType[[#This Row],[Link]]="","",HYPERLINK(HTML_Doku&amp;DType[[#This Row],[Link]],"Doku"))</f>
        <v>#NAME?</v>
      </c>
      <c r="C24" s="38" t="s">
        <v>1184</v>
      </c>
      <c r="D24" s="39">
        <v>20</v>
      </c>
      <c r="E24" s="40">
        <f>IFERROR(VLOOKUP(DType[ID-Modul],Modul[],15,FALSE),"unbekannt")</f>
        <v>4</v>
      </c>
      <c r="F24" s="38" t="s">
        <v>1158</v>
      </c>
      <c r="G24" s="41" t="s">
        <v>2469</v>
      </c>
      <c r="H24" s="38" t="s">
        <v>3580</v>
      </c>
      <c r="I24" s="38" t="str">
        <f>IFERROR(VLOOKUP(DType[[#This Row],[IFC-Type]],DType[[IFC-Name]:[IFC-Type]],4,FALSE),DType[[#This Row],[IFC-Type]])</f>
        <v>REAL</v>
      </c>
      <c r="J24" s="42" t="str">
        <f>"Public Function New_"&amp;DType[[#This Row],[IFC-Name]]&amp;"() As exp"&amp;DType[[#This Row],[Grundtype]]&amp;CHAR(13)&amp;"  Set New_"&amp;DType[[#This Row],[IFC-Name]]&amp;" = ExpressSimpleTypes.New_"&amp;DType[[#This Row],[Grundtype]]&amp;CHAR(13)&amp;"End Function" &amp; CHAR(13) &amp; CHAR(13)</f>
        <v>Public Function New_IfcElectricConductanceMeasure() As expREAL_x000D_  Set New_IfcElectricConductanceMeasure = ExpressSimpleTypes.New_REAL_x000D_End Function_x000D__x000D_</v>
      </c>
      <c r="K24" s="37" t="str">
        <f xml:space="preserve"> "  Set TestVar = New_"&amp;DType[[#This Row],[IFC-Name]]</f>
        <v xml:space="preserve">  Set TestVar = New_IfcElectricConductanceMeasure</v>
      </c>
      <c r="L24" s="1" t="b">
        <v>1</v>
      </c>
      <c r="M24" s="1" t="b">
        <v>1</v>
      </c>
    </row>
    <row r="25" spans="2:13" ht="20.100000000000001" customHeight="1" x14ac:dyDescent="0.25">
      <c r="B25" s="7" t="e">
        <f>IF(DType[[#This Row],[Link]]="","",HYPERLINK(HTML_Doku&amp;DType[[#This Row],[Link]],"Doku"))</f>
        <v>#NAME?</v>
      </c>
      <c r="C25" s="38" t="s">
        <v>1185</v>
      </c>
      <c r="D25" s="39">
        <v>20</v>
      </c>
      <c r="E25" s="40">
        <f>IFERROR(VLOOKUP(DType[ID-Modul],Modul[],15,FALSE),"unbekannt")</f>
        <v>4</v>
      </c>
      <c r="F25" s="38" t="s">
        <v>1158</v>
      </c>
      <c r="G25" s="41" t="s">
        <v>2470</v>
      </c>
      <c r="H25" s="38" t="s">
        <v>3581</v>
      </c>
      <c r="I25" s="38" t="str">
        <f>IFERROR(VLOOKUP(DType[[#This Row],[IFC-Type]],DType[[IFC-Name]:[IFC-Type]],4,FALSE),DType[[#This Row],[IFC-Type]])</f>
        <v>REAL</v>
      </c>
      <c r="J25" s="42" t="str">
        <f>"Public Function New_"&amp;DType[[#This Row],[IFC-Name]]&amp;"() As exp"&amp;DType[[#This Row],[Grundtype]]&amp;CHAR(13)&amp;"  Set New_"&amp;DType[[#This Row],[IFC-Name]]&amp;" = ExpressSimpleTypes.New_"&amp;DType[[#This Row],[Grundtype]]&amp;CHAR(13)&amp;"End Function" &amp; CHAR(13) &amp; CHAR(13)</f>
        <v>Public Function New_IfcElectricCurrentMeasure() As expREAL_x000D_  Set New_IfcElectricCurrentMeasure = ExpressSimpleTypes.New_REAL_x000D_End Function_x000D__x000D_</v>
      </c>
      <c r="K25" s="37" t="str">
        <f xml:space="preserve"> "  Set TestVar = New_"&amp;DType[[#This Row],[IFC-Name]]</f>
        <v xml:space="preserve">  Set TestVar = New_IfcElectricCurrentMeasure</v>
      </c>
      <c r="L25" s="1" t="b">
        <v>1</v>
      </c>
      <c r="M25" s="1" t="b">
        <v>1</v>
      </c>
    </row>
    <row r="26" spans="2:13" ht="20.100000000000001" customHeight="1" x14ac:dyDescent="0.25">
      <c r="B26" s="7" t="e">
        <f>IF(DType[[#This Row],[Link]]="","",HYPERLINK(HTML_Doku&amp;DType[[#This Row],[Link]],"Doku"))</f>
        <v>#NAME?</v>
      </c>
      <c r="C26" s="38" t="s">
        <v>1186</v>
      </c>
      <c r="D26" s="39">
        <v>20</v>
      </c>
      <c r="E26" s="40">
        <f>IFERROR(VLOOKUP(DType[ID-Modul],Modul[],15,FALSE),"unbekannt")</f>
        <v>4</v>
      </c>
      <c r="F26" s="38" t="s">
        <v>1158</v>
      </c>
      <c r="G26" s="41" t="s">
        <v>2471</v>
      </c>
      <c r="H26" s="38" t="s">
        <v>3582</v>
      </c>
      <c r="I26" s="38" t="str">
        <f>IFERROR(VLOOKUP(DType[[#This Row],[IFC-Type]],DType[[IFC-Name]:[IFC-Type]],4,FALSE),DType[[#This Row],[IFC-Type]])</f>
        <v>REAL</v>
      </c>
      <c r="J26" s="42" t="str">
        <f>"Public Function New_"&amp;DType[[#This Row],[IFC-Name]]&amp;"() As exp"&amp;DType[[#This Row],[Grundtype]]&amp;CHAR(13)&amp;"  Set New_"&amp;DType[[#This Row],[IFC-Name]]&amp;" = ExpressSimpleTypes.New_"&amp;DType[[#This Row],[Grundtype]]&amp;CHAR(13)&amp;"End Function" &amp; CHAR(13) &amp; CHAR(13)</f>
        <v>Public Function New_IfcElectricResistanceMeasure() As expREAL_x000D_  Set New_IfcElectricResistanceMeasure = ExpressSimpleTypes.New_REAL_x000D_End Function_x000D__x000D_</v>
      </c>
      <c r="K26" s="37" t="str">
        <f xml:space="preserve"> "  Set TestVar = New_"&amp;DType[[#This Row],[IFC-Name]]</f>
        <v xml:space="preserve">  Set TestVar = New_IfcElectricResistanceMeasure</v>
      </c>
      <c r="L26" s="1" t="b">
        <v>1</v>
      </c>
      <c r="M26" s="1" t="b">
        <v>1</v>
      </c>
    </row>
    <row r="27" spans="2:13" ht="20.100000000000001" customHeight="1" x14ac:dyDescent="0.25">
      <c r="B27" s="7" t="e">
        <f>IF(DType[[#This Row],[Link]]="","",HYPERLINK(HTML_Doku&amp;DType[[#This Row],[Link]],"Doku"))</f>
        <v>#NAME?</v>
      </c>
      <c r="C27" s="38" t="s">
        <v>1187</v>
      </c>
      <c r="D27" s="39">
        <v>20</v>
      </c>
      <c r="E27" s="40">
        <f>IFERROR(VLOOKUP(DType[ID-Modul],Modul[],15,FALSE),"unbekannt")</f>
        <v>4</v>
      </c>
      <c r="F27" s="38" t="s">
        <v>1158</v>
      </c>
      <c r="G27" s="41" t="s">
        <v>2472</v>
      </c>
      <c r="H27" s="38" t="s">
        <v>3583</v>
      </c>
      <c r="I27" s="38" t="str">
        <f>IFERROR(VLOOKUP(DType[[#This Row],[IFC-Type]],DType[[IFC-Name]:[IFC-Type]],4,FALSE),DType[[#This Row],[IFC-Type]])</f>
        <v>REAL</v>
      </c>
      <c r="J27" s="42" t="str">
        <f>"Public Function New_"&amp;DType[[#This Row],[IFC-Name]]&amp;"() As exp"&amp;DType[[#This Row],[Grundtype]]&amp;CHAR(13)&amp;"  Set New_"&amp;DType[[#This Row],[IFC-Name]]&amp;" = ExpressSimpleTypes.New_"&amp;DType[[#This Row],[Grundtype]]&amp;CHAR(13)&amp;"End Function" &amp; CHAR(13) &amp; CHAR(13)</f>
        <v>Public Function New_IfcElectricVoltageMeasure() As expREAL_x000D_  Set New_IfcElectricVoltageMeasure = ExpressSimpleTypes.New_REAL_x000D_End Function_x000D__x000D_</v>
      </c>
      <c r="K27" s="37" t="str">
        <f xml:space="preserve"> "  Set TestVar = New_"&amp;DType[[#This Row],[IFC-Name]]</f>
        <v xml:space="preserve">  Set TestVar = New_IfcElectricVoltageMeasure</v>
      </c>
      <c r="L27" s="1" t="b">
        <v>1</v>
      </c>
      <c r="M27" s="1" t="b">
        <v>1</v>
      </c>
    </row>
    <row r="28" spans="2:13" ht="20.100000000000001" customHeight="1" x14ac:dyDescent="0.25">
      <c r="B28" s="7" t="e">
        <f>IF(DType[[#This Row],[Link]]="","",HYPERLINK(HTML_Doku&amp;DType[[#This Row],[Link]],"Doku"))</f>
        <v>#NAME?</v>
      </c>
      <c r="C28" s="38" t="s">
        <v>1188</v>
      </c>
      <c r="D28" s="39">
        <v>20</v>
      </c>
      <c r="E28" s="40">
        <f>IFERROR(VLOOKUP(DType[ID-Modul],Modul[],15,FALSE),"unbekannt")</f>
        <v>4</v>
      </c>
      <c r="F28" s="38" t="s">
        <v>1158</v>
      </c>
      <c r="G28" s="41" t="s">
        <v>2473</v>
      </c>
      <c r="H28" s="38" t="s">
        <v>3584</v>
      </c>
      <c r="I28" s="38" t="str">
        <f>IFERROR(VLOOKUP(DType[[#This Row],[IFC-Type]],DType[[IFC-Name]:[IFC-Type]],4,FALSE),DType[[#This Row],[IFC-Type]])</f>
        <v>REAL</v>
      </c>
      <c r="J28" s="42" t="str">
        <f>"Public Function New_"&amp;DType[[#This Row],[IFC-Name]]&amp;"() As exp"&amp;DType[[#This Row],[Grundtype]]&amp;CHAR(13)&amp;"  Set New_"&amp;DType[[#This Row],[IFC-Name]]&amp;" = ExpressSimpleTypes.New_"&amp;DType[[#This Row],[Grundtype]]&amp;CHAR(13)&amp;"End Function" &amp; CHAR(13) &amp; CHAR(13)</f>
        <v>Public Function New_IfcEnergyMeasure() As expREAL_x000D_  Set New_IfcEnergyMeasure = ExpressSimpleTypes.New_REAL_x000D_End Function_x000D__x000D_</v>
      </c>
      <c r="K28" s="37" t="str">
        <f xml:space="preserve"> "  Set TestVar = New_"&amp;DType[[#This Row],[IFC-Name]]</f>
        <v xml:space="preserve">  Set TestVar = New_IfcEnergyMeasure</v>
      </c>
      <c r="L28" s="1" t="b">
        <v>1</v>
      </c>
      <c r="M28" s="1" t="b">
        <v>1</v>
      </c>
    </row>
    <row r="29" spans="2:13" ht="20.100000000000001" customHeight="1" x14ac:dyDescent="0.25">
      <c r="B29" s="7" t="e">
        <f>IF(DType[[#This Row],[Link]]="","",HYPERLINK(HTML_Doku&amp;DType[[#This Row],[Link]],"Doku"))</f>
        <v>#NAME?</v>
      </c>
      <c r="C29" s="38" t="s">
        <v>1189</v>
      </c>
      <c r="D29" s="39">
        <v>26</v>
      </c>
      <c r="E29" s="40">
        <f>IFERROR(VLOOKUP(DType[ID-Modul],Modul[],15,FALSE),"unbekannt")</f>
        <v>0</v>
      </c>
      <c r="F29" s="38" t="s">
        <v>1178</v>
      </c>
      <c r="G29" s="41" t="s">
        <v>2474</v>
      </c>
      <c r="H29" s="38" t="s">
        <v>3585</v>
      </c>
      <c r="I29" s="38" t="str">
        <f>IFERROR(VLOOKUP(DType[[#This Row],[IFC-Type]],DType[[IFC-Name]:[IFC-Type]],4,FALSE),DType[[#This Row],[IFC-Type]])</f>
        <v>STRING</v>
      </c>
      <c r="J29" s="42" t="str">
        <f>"Public Function New_"&amp;DType[[#This Row],[IFC-Name]]&amp;"() As exp"&amp;DType[[#This Row],[Grundtype]]&amp;CHAR(13)&amp;"  Set New_"&amp;DType[[#This Row],[IFC-Name]]&amp;" = ExpressSimpleTypes.New_"&amp;DType[[#This Row],[Grundtype]]&amp;CHAR(13)&amp;"End Function" &amp; CHAR(13) &amp; CHAR(13)</f>
        <v>Public Function New_IfcFontStyle() As expSTRING_x000D_  Set New_IfcFontStyle = ExpressSimpleTypes.New_STRING_x000D_End Function_x000D__x000D_</v>
      </c>
      <c r="K29" s="37" t="str">
        <f xml:space="preserve"> "  Set TestVar = New_"&amp;DType[[#This Row],[IFC-Name]]</f>
        <v xml:space="preserve">  Set TestVar = New_IfcFontStyle</v>
      </c>
      <c r="L29" s="1" t="b">
        <v>1</v>
      </c>
      <c r="M29" s="1" t="b">
        <v>1</v>
      </c>
    </row>
    <row r="30" spans="2:13" ht="20.100000000000001" customHeight="1" x14ac:dyDescent="0.25">
      <c r="B30" s="7" t="e">
        <f>IF(DType[[#This Row],[Link]]="","",HYPERLINK(HTML_Doku&amp;DType[[#This Row],[Link]],"Doku"))</f>
        <v>#NAME?</v>
      </c>
      <c r="C30" s="38" t="s">
        <v>1190</v>
      </c>
      <c r="D30" s="39">
        <v>26</v>
      </c>
      <c r="E30" s="40">
        <f>IFERROR(VLOOKUP(DType[ID-Modul],Modul[],15,FALSE),"unbekannt")</f>
        <v>0</v>
      </c>
      <c r="F30" s="38" t="s">
        <v>1178</v>
      </c>
      <c r="G30" s="41" t="s">
        <v>2475</v>
      </c>
      <c r="H30" s="38" t="s">
        <v>3586</v>
      </c>
      <c r="I30" s="38" t="str">
        <f>IFERROR(VLOOKUP(DType[[#This Row],[IFC-Type]],DType[[IFC-Name]:[IFC-Type]],4,FALSE),DType[[#This Row],[IFC-Type]])</f>
        <v>STRING</v>
      </c>
      <c r="J30" s="42" t="str">
        <f>"Public Function New_"&amp;DType[[#This Row],[IFC-Name]]&amp;"() As exp"&amp;DType[[#This Row],[Grundtype]]&amp;CHAR(13)&amp;"  Set New_"&amp;DType[[#This Row],[IFC-Name]]&amp;" = ExpressSimpleTypes.New_"&amp;DType[[#This Row],[Grundtype]]&amp;CHAR(13)&amp;"End Function" &amp; CHAR(13) &amp; CHAR(13)</f>
        <v>Public Function New_IfcFontVariant() As expSTRING_x000D_  Set New_IfcFontVariant = ExpressSimpleTypes.New_STRING_x000D_End Function_x000D__x000D_</v>
      </c>
      <c r="K30" s="37" t="str">
        <f xml:space="preserve"> "  Set TestVar = New_"&amp;DType[[#This Row],[IFC-Name]]</f>
        <v xml:space="preserve">  Set TestVar = New_IfcFontVariant</v>
      </c>
      <c r="L30" s="1" t="b">
        <v>1</v>
      </c>
      <c r="M30" s="1" t="b">
        <v>1</v>
      </c>
    </row>
    <row r="31" spans="2:13" ht="20.100000000000001" customHeight="1" x14ac:dyDescent="0.25">
      <c r="B31" s="7" t="e">
        <f>IF(DType[[#This Row],[Link]]="","",HYPERLINK(HTML_Doku&amp;DType[[#This Row],[Link]],"Doku"))</f>
        <v>#NAME?</v>
      </c>
      <c r="C31" s="38" t="s">
        <v>1191</v>
      </c>
      <c r="D31" s="39">
        <v>26</v>
      </c>
      <c r="E31" s="40">
        <f>IFERROR(VLOOKUP(DType[ID-Modul],Modul[],15,FALSE),"unbekannt")</f>
        <v>0</v>
      </c>
      <c r="F31" s="38" t="s">
        <v>1178</v>
      </c>
      <c r="G31" s="41" t="s">
        <v>2476</v>
      </c>
      <c r="H31" s="38" t="s">
        <v>3587</v>
      </c>
      <c r="I31" s="38" t="str">
        <f>IFERROR(VLOOKUP(DType[[#This Row],[IFC-Type]],DType[[IFC-Name]:[IFC-Type]],4,FALSE),DType[[#This Row],[IFC-Type]])</f>
        <v>STRING</v>
      </c>
      <c r="J31" s="42" t="str">
        <f>"Public Function New_"&amp;DType[[#This Row],[IFC-Name]]&amp;"() As exp"&amp;DType[[#This Row],[Grundtype]]&amp;CHAR(13)&amp;"  Set New_"&amp;DType[[#This Row],[IFC-Name]]&amp;" = ExpressSimpleTypes.New_"&amp;DType[[#This Row],[Grundtype]]&amp;CHAR(13)&amp;"End Function" &amp; CHAR(13) &amp; CHAR(13)</f>
        <v>Public Function New_IfcFontWeight() As expSTRING_x000D_  Set New_IfcFontWeight = ExpressSimpleTypes.New_STRING_x000D_End Function_x000D__x000D_</v>
      </c>
      <c r="K31" s="37" t="str">
        <f xml:space="preserve"> "  Set TestVar = New_"&amp;DType[[#This Row],[IFC-Name]]</f>
        <v xml:space="preserve">  Set TestVar = New_IfcFontWeight</v>
      </c>
      <c r="L31" s="1" t="b">
        <v>1</v>
      </c>
      <c r="M31" s="1" t="b">
        <v>1</v>
      </c>
    </row>
    <row r="32" spans="2:13" ht="20.100000000000001" customHeight="1" x14ac:dyDescent="0.25">
      <c r="B32" s="7" t="e">
        <f>IF(DType[[#This Row],[Link]]="","",HYPERLINK(HTML_Doku&amp;DType[[#This Row],[Link]],"Doku"))</f>
        <v>#NAME?</v>
      </c>
      <c r="C32" s="38" t="s">
        <v>1192</v>
      </c>
      <c r="D32" s="39">
        <v>20</v>
      </c>
      <c r="E32" s="40">
        <f>IFERROR(VLOOKUP(DType[ID-Modul],Modul[],15,FALSE),"unbekannt")</f>
        <v>4</v>
      </c>
      <c r="F32" s="38" t="s">
        <v>1158</v>
      </c>
      <c r="G32" s="41" t="s">
        <v>2477</v>
      </c>
      <c r="H32" s="38" t="s">
        <v>3588</v>
      </c>
      <c r="I32" s="38" t="str">
        <f>IFERROR(VLOOKUP(DType[[#This Row],[IFC-Type]],DType[[IFC-Name]:[IFC-Type]],4,FALSE),DType[[#This Row],[IFC-Type]])</f>
        <v>REAL</v>
      </c>
      <c r="J32" s="42" t="str">
        <f>"Public Function New_"&amp;DType[[#This Row],[IFC-Name]]&amp;"() As exp"&amp;DType[[#This Row],[Grundtype]]&amp;CHAR(13)&amp;"  Set New_"&amp;DType[[#This Row],[IFC-Name]]&amp;" = ExpressSimpleTypes.New_"&amp;DType[[#This Row],[Grundtype]]&amp;CHAR(13)&amp;"End Function" &amp; CHAR(13) &amp; CHAR(13)</f>
        <v>Public Function New_IfcForceMeasure() As expREAL_x000D_  Set New_IfcForceMeasure = ExpressSimpleTypes.New_REAL_x000D_End Function_x000D__x000D_</v>
      </c>
      <c r="K32" s="37" t="str">
        <f xml:space="preserve"> "  Set TestVar = New_"&amp;DType[[#This Row],[IFC-Name]]</f>
        <v xml:space="preserve">  Set TestVar = New_IfcForceMeasure</v>
      </c>
      <c r="L32" s="1" t="b">
        <v>1</v>
      </c>
      <c r="M32" s="1" t="b">
        <v>1</v>
      </c>
    </row>
    <row r="33" spans="2:13" ht="20.100000000000001" customHeight="1" x14ac:dyDescent="0.25">
      <c r="B33" s="7" t="e">
        <f>IF(DType[[#This Row],[Link]]="","",HYPERLINK(HTML_Doku&amp;DType[[#This Row],[Link]],"Doku"))</f>
        <v>#NAME?</v>
      </c>
      <c r="C33" s="38" t="s">
        <v>1193</v>
      </c>
      <c r="D33" s="39">
        <v>20</v>
      </c>
      <c r="E33" s="40">
        <f>IFERROR(VLOOKUP(DType[ID-Modul],Modul[],15,FALSE),"unbekannt")</f>
        <v>4</v>
      </c>
      <c r="F33" s="38" t="s">
        <v>1158</v>
      </c>
      <c r="G33" s="41" t="s">
        <v>2478</v>
      </c>
      <c r="H33" s="38" t="s">
        <v>3589</v>
      </c>
      <c r="I33" s="38" t="str">
        <f>IFERROR(VLOOKUP(DType[[#This Row],[IFC-Type]],DType[[IFC-Name]:[IFC-Type]],4,FALSE),DType[[#This Row],[IFC-Type]])</f>
        <v>REAL</v>
      </c>
      <c r="J33" s="42" t="str">
        <f>"Public Function New_"&amp;DType[[#This Row],[IFC-Name]]&amp;"() As exp"&amp;DType[[#This Row],[Grundtype]]&amp;CHAR(13)&amp;"  Set New_"&amp;DType[[#This Row],[IFC-Name]]&amp;" = ExpressSimpleTypes.New_"&amp;DType[[#This Row],[Grundtype]]&amp;CHAR(13)&amp;"End Function" &amp; CHAR(13) &amp; CHAR(13)</f>
        <v>Public Function New_IfcFrequencyMeasure() As expREAL_x000D_  Set New_IfcFrequencyMeasure = ExpressSimpleTypes.New_REAL_x000D_End Function_x000D__x000D_</v>
      </c>
      <c r="K33" s="37" t="str">
        <f xml:space="preserve"> "  Set TestVar = New_"&amp;DType[[#This Row],[IFC-Name]]</f>
        <v xml:space="preserve">  Set TestVar = New_IfcFrequencyMeasure</v>
      </c>
      <c r="L33" s="1" t="b">
        <v>1</v>
      </c>
      <c r="M33" s="1" t="b">
        <v>1</v>
      </c>
    </row>
    <row r="34" spans="2:13" ht="20.100000000000001" customHeight="1" x14ac:dyDescent="0.25">
      <c r="B34" s="7" t="e">
        <f>IF(DType[[#This Row],[Link]]="","",HYPERLINK(HTML_Doku&amp;DType[[#This Row],[Link]],"Doku"))</f>
        <v>#NAME?</v>
      </c>
      <c r="C34" s="38" t="s">
        <v>1194</v>
      </c>
      <c r="D34" s="39">
        <v>44</v>
      </c>
      <c r="E34" s="40">
        <f>IFERROR(VLOOKUP(DType[ID-Modul],Modul[],15,FALSE),"unbekannt")</f>
        <v>0</v>
      </c>
      <c r="F34" s="38" t="s">
        <v>1195</v>
      </c>
      <c r="G34" s="41" t="s">
        <v>2479</v>
      </c>
      <c r="H34" s="38" t="s">
        <v>3590</v>
      </c>
      <c r="I34" s="38" t="str">
        <f>IFERROR(VLOOKUP(DType[[#This Row],[IFC-Type]],DType[[IFC-Name]:[IFC-Type]],4,FALSE),DType[[#This Row],[IFC-Type]])</f>
        <v>STRING(22) FIXED</v>
      </c>
      <c r="J34" s="42" t="str">
        <f>"Public Function New_"&amp;DType[[#This Row],[IFC-Name]]&amp;"() As exp"&amp;DType[[#This Row],[Grundtype]]&amp;CHAR(13)&amp;"  Set New_"&amp;DType[[#This Row],[IFC-Name]]&amp;" = ExpressSimpleTypes.New_"&amp;DType[[#This Row],[Grundtype]]&amp;CHAR(13)&amp;"End Function" &amp; CHAR(13) &amp; CHAR(13)</f>
        <v>Public Function New_IfcGloballyUniqueId() As expSTRING(22) FIXED_x000D_  Set New_IfcGloballyUniqueId = ExpressSimpleTypes.New_STRING(22) FIXED_x000D_End Function_x000D__x000D_</v>
      </c>
      <c r="K34" s="37" t="str">
        <f xml:space="preserve"> "  Set TestVar = New_"&amp;DType[[#This Row],[IFC-Name]]</f>
        <v xml:space="preserve">  Set TestVar = New_IfcGloballyUniqueId</v>
      </c>
      <c r="L34" s="1" t="b">
        <v>1</v>
      </c>
      <c r="M34" s="1" t="b">
        <v>1</v>
      </c>
    </row>
    <row r="35" spans="2:13" ht="20.100000000000001" customHeight="1" x14ac:dyDescent="0.25">
      <c r="B35" s="7" t="e">
        <f>IF(DType[[#This Row],[Link]]="","",HYPERLINK(HTML_Doku&amp;DType[[#This Row],[Link]],"Doku"))</f>
        <v>#NAME?</v>
      </c>
      <c r="C35" s="38" t="s">
        <v>1196</v>
      </c>
      <c r="D35" s="39">
        <v>20</v>
      </c>
      <c r="E35" s="40">
        <f>IFERROR(VLOOKUP(DType[ID-Modul],Modul[],15,FALSE),"unbekannt")</f>
        <v>4</v>
      </c>
      <c r="F35" s="38" t="s">
        <v>1158</v>
      </c>
      <c r="G35" s="41" t="s">
        <v>2480</v>
      </c>
      <c r="H35" s="38" t="s">
        <v>3591</v>
      </c>
      <c r="I35" s="38" t="str">
        <f>IFERROR(VLOOKUP(DType[[#This Row],[IFC-Type]],DType[[IFC-Name]:[IFC-Type]],4,FALSE),DType[[#This Row],[IFC-Type]])</f>
        <v>REAL</v>
      </c>
      <c r="J35" s="42" t="str">
        <f>"Public Function New_"&amp;DType[[#This Row],[IFC-Name]]&amp;"() As exp"&amp;DType[[#This Row],[Grundtype]]&amp;CHAR(13)&amp;"  Set New_"&amp;DType[[#This Row],[IFC-Name]]&amp;" = ExpressSimpleTypes.New_"&amp;DType[[#This Row],[Grundtype]]&amp;CHAR(13)&amp;"End Function" &amp; CHAR(13) &amp; CHAR(13)</f>
        <v>Public Function New_IfcHeatFluxDensityMeasure() As expREAL_x000D_  Set New_IfcHeatFluxDensityMeasure = ExpressSimpleTypes.New_REAL_x000D_End Function_x000D__x000D_</v>
      </c>
      <c r="K35" s="37" t="str">
        <f xml:space="preserve"> "  Set TestVar = New_"&amp;DType[[#This Row],[IFC-Name]]</f>
        <v xml:space="preserve">  Set TestVar = New_IfcHeatFluxDensityMeasure</v>
      </c>
      <c r="L35" s="1" t="b">
        <v>1</v>
      </c>
      <c r="M35" s="1" t="b">
        <v>1</v>
      </c>
    </row>
    <row r="36" spans="2:13" ht="20.100000000000001" customHeight="1" x14ac:dyDescent="0.25">
      <c r="B36" s="7" t="e">
        <f>IF(DType[[#This Row],[Link]]="","",HYPERLINK(HTML_Doku&amp;DType[[#This Row],[Link]],"Doku"))</f>
        <v>#NAME?</v>
      </c>
      <c r="C36" s="38" t="s">
        <v>1197</v>
      </c>
      <c r="D36" s="39">
        <v>20</v>
      </c>
      <c r="E36" s="40">
        <f>IFERROR(VLOOKUP(DType[ID-Modul],Modul[],15,FALSE),"unbekannt")</f>
        <v>4</v>
      </c>
      <c r="F36" s="38" t="s">
        <v>1158</v>
      </c>
      <c r="G36" s="41" t="s">
        <v>2481</v>
      </c>
      <c r="H36" s="38" t="s">
        <v>3592</v>
      </c>
      <c r="I36" s="38" t="str">
        <f>IFERROR(VLOOKUP(DType[[#This Row],[IFC-Type]],DType[[IFC-Name]:[IFC-Type]],4,FALSE),DType[[#This Row],[IFC-Type]])</f>
        <v>REAL</v>
      </c>
      <c r="J36" s="42" t="str">
        <f>"Public Function New_"&amp;DType[[#This Row],[IFC-Name]]&amp;"() As exp"&amp;DType[[#This Row],[Grundtype]]&amp;CHAR(13)&amp;"  Set New_"&amp;DType[[#This Row],[IFC-Name]]&amp;" = ExpressSimpleTypes.New_"&amp;DType[[#This Row],[Grundtype]]&amp;CHAR(13)&amp;"End Function" &amp; CHAR(13) &amp; CHAR(13)</f>
        <v>Public Function New_IfcHeatingValueMeasure() As expREAL_x000D_  Set New_IfcHeatingValueMeasure = ExpressSimpleTypes.New_REAL_x000D_End Function_x000D__x000D_</v>
      </c>
      <c r="K36" s="37" t="str">
        <f xml:space="preserve"> "  Set TestVar = New_"&amp;DType[[#This Row],[IFC-Name]]</f>
        <v xml:space="preserve">  Set TestVar = New_IfcHeatingValueMeasure</v>
      </c>
      <c r="L36" s="1" t="b">
        <v>1</v>
      </c>
      <c r="M36" s="1" t="b">
        <v>1</v>
      </c>
    </row>
    <row r="37" spans="2:13" ht="20.100000000000001" customHeight="1" x14ac:dyDescent="0.25">
      <c r="B37" s="7" t="e">
        <f>IF(DType[[#This Row],[Link]]="","",HYPERLINK(HTML_Doku&amp;DType[[#This Row],[Link]],"Doku"))</f>
        <v>#NAME?</v>
      </c>
      <c r="C37" s="38" t="s">
        <v>1198</v>
      </c>
      <c r="D37" s="39">
        <v>9</v>
      </c>
      <c r="E37" s="40">
        <f>IFERROR(VLOOKUP(DType[ID-Modul],Modul[],15,FALSE),"unbekannt")</f>
        <v>3</v>
      </c>
      <c r="F37" s="38" t="s">
        <v>1175</v>
      </c>
      <c r="G37" s="41" t="s">
        <v>2482</v>
      </c>
      <c r="H37" s="38" t="s">
        <v>3593</v>
      </c>
      <c r="I37" s="38" t="str">
        <f>IFERROR(VLOOKUP(DType[[#This Row],[IFC-Type]],DType[[IFC-Name]:[IFC-Type]],4,FALSE),DType[[#This Row],[IFC-Type]])</f>
        <v>INTEGER</v>
      </c>
      <c r="J37" s="42" t="str">
        <f>"Public Function New_"&amp;DType[[#This Row],[IFC-Name]]&amp;"() As exp"&amp;DType[[#This Row],[Grundtype]]&amp;CHAR(13)&amp;"  Set New_"&amp;DType[[#This Row],[IFC-Name]]&amp;" = ExpressSimpleTypes.New_"&amp;DType[[#This Row],[Grundtype]]&amp;CHAR(13)&amp;"End Function" &amp; CHAR(13) &amp; CHAR(13)</f>
        <v>Public Function New_IfcHourInDay() As expINTEGER_x000D_  Set New_IfcHourInDay = ExpressSimpleTypes.New_INTEGER_x000D_End Function_x000D__x000D_</v>
      </c>
      <c r="K37" s="37" t="str">
        <f xml:space="preserve"> "  Set TestVar = New_"&amp;DType[[#This Row],[IFC-Name]]</f>
        <v xml:space="preserve">  Set TestVar = New_IfcHourInDay</v>
      </c>
      <c r="L37" s="1" t="b">
        <v>1</v>
      </c>
      <c r="M37" s="1" t="b">
        <v>1</v>
      </c>
    </row>
    <row r="38" spans="2:13" ht="20.100000000000001" customHeight="1" x14ac:dyDescent="0.25">
      <c r="B38" s="7" t="e">
        <f>IF(DType[[#This Row],[Link]]="","",HYPERLINK(HTML_Doku&amp;DType[[#This Row],[Link]],"Doku"))</f>
        <v>#NAME?</v>
      </c>
      <c r="C38" s="38" t="s">
        <v>1153</v>
      </c>
      <c r="D38" s="39">
        <v>20</v>
      </c>
      <c r="E38" s="40">
        <f>IFERROR(VLOOKUP(DType[ID-Modul],Modul[],15,FALSE),"unbekannt")</f>
        <v>4</v>
      </c>
      <c r="F38" s="38" t="s">
        <v>1178</v>
      </c>
      <c r="G38" s="41" t="s">
        <v>2483</v>
      </c>
      <c r="H38" s="38" t="s">
        <v>3594</v>
      </c>
      <c r="I38" s="38" t="str">
        <f>IFERROR(VLOOKUP(DType[[#This Row],[IFC-Type]],DType[[IFC-Name]:[IFC-Type]],4,FALSE),DType[[#This Row],[IFC-Type]])</f>
        <v>STRING</v>
      </c>
      <c r="J38" s="42" t="str">
        <f>"Public Function New_"&amp;DType[[#This Row],[IFC-Name]]&amp;"() As exp"&amp;DType[[#This Row],[Grundtype]]&amp;CHAR(13)&amp;"  Set New_"&amp;DType[[#This Row],[IFC-Name]]&amp;" = ExpressSimpleTypes.New_"&amp;DType[[#This Row],[Grundtype]]&amp;CHAR(13)&amp;"End Function" &amp; CHAR(13) &amp; CHAR(13)</f>
        <v>Public Function New_IfcIdentifier() As expSTRING_x000D_  Set New_IfcIdentifier = ExpressSimpleTypes.New_STRING_x000D_End Function_x000D__x000D_</v>
      </c>
      <c r="K38" s="37" t="str">
        <f xml:space="preserve"> "  Set TestVar = New_"&amp;DType[[#This Row],[IFC-Name]]</f>
        <v xml:space="preserve">  Set TestVar = New_IfcIdentifier</v>
      </c>
      <c r="L38" s="1" t="b">
        <v>1</v>
      </c>
      <c r="M38" s="1" t="b">
        <v>1</v>
      </c>
    </row>
    <row r="39" spans="2:13" ht="20.100000000000001" customHeight="1" x14ac:dyDescent="0.25">
      <c r="B39" s="7" t="e">
        <f>IF(DType[[#This Row],[Link]]="","",HYPERLINK(HTML_Doku&amp;DType[[#This Row],[Link]],"Doku"))</f>
        <v>#NAME?</v>
      </c>
      <c r="C39" s="38" t="s">
        <v>1199</v>
      </c>
      <c r="D39" s="39">
        <v>20</v>
      </c>
      <c r="E39" s="40">
        <f>IFERROR(VLOOKUP(DType[ID-Modul],Modul[],15,FALSE),"unbekannt")</f>
        <v>4</v>
      </c>
      <c r="F39" s="38" t="s">
        <v>1158</v>
      </c>
      <c r="G39" s="41" t="s">
        <v>2484</v>
      </c>
      <c r="H39" s="38" t="s">
        <v>3595</v>
      </c>
      <c r="I39" s="38" t="str">
        <f>IFERROR(VLOOKUP(DType[[#This Row],[IFC-Type]],DType[[IFC-Name]:[IFC-Type]],4,FALSE),DType[[#This Row],[IFC-Type]])</f>
        <v>REAL</v>
      </c>
      <c r="J39" s="42" t="str">
        <f>"Public Function New_"&amp;DType[[#This Row],[IFC-Name]]&amp;"() As exp"&amp;DType[[#This Row],[Grundtype]]&amp;CHAR(13)&amp;"  Set New_"&amp;DType[[#This Row],[IFC-Name]]&amp;" = ExpressSimpleTypes.New_"&amp;DType[[#This Row],[Grundtype]]&amp;CHAR(13)&amp;"End Function" &amp; CHAR(13) &amp; CHAR(13)</f>
        <v>Public Function New_IfcIlluminanceMeasure() As expREAL_x000D_  Set New_IfcIlluminanceMeasure = ExpressSimpleTypes.New_REAL_x000D_End Function_x000D__x000D_</v>
      </c>
      <c r="K39" s="37" t="str">
        <f xml:space="preserve"> "  Set TestVar = New_"&amp;DType[[#This Row],[IFC-Name]]</f>
        <v xml:space="preserve">  Set TestVar = New_IfcIlluminanceMeasure</v>
      </c>
      <c r="L39" s="1" t="b">
        <v>1</v>
      </c>
      <c r="M39" s="1" t="b">
        <v>1</v>
      </c>
    </row>
    <row r="40" spans="2:13" ht="20.100000000000001" customHeight="1" x14ac:dyDescent="0.25">
      <c r="B40" s="7" t="e">
        <f>IF(DType[[#This Row],[Link]]="","",HYPERLINK(HTML_Doku&amp;DType[[#This Row],[Link]],"Doku"))</f>
        <v>#NAME?</v>
      </c>
      <c r="C40" s="38" t="s">
        <v>1200</v>
      </c>
      <c r="D40" s="39">
        <v>20</v>
      </c>
      <c r="E40" s="40">
        <f>IFERROR(VLOOKUP(DType[ID-Modul],Modul[],15,FALSE),"unbekannt")</f>
        <v>4</v>
      </c>
      <c r="F40" s="38" t="s">
        <v>1158</v>
      </c>
      <c r="G40" s="41" t="s">
        <v>2485</v>
      </c>
      <c r="H40" s="38" t="s">
        <v>3596</v>
      </c>
      <c r="I40" s="38" t="str">
        <f>IFERROR(VLOOKUP(DType[[#This Row],[IFC-Type]],DType[[IFC-Name]:[IFC-Type]],4,FALSE),DType[[#This Row],[IFC-Type]])</f>
        <v>REAL</v>
      </c>
      <c r="J40" s="42" t="str">
        <f>"Public Function New_"&amp;DType[[#This Row],[IFC-Name]]&amp;"() As exp"&amp;DType[[#This Row],[Grundtype]]&amp;CHAR(13)&amp;"  Set New_"&amp;DType[[#This Row],[IFC-Name]]&amp;" = ExpressSimpleTypes.New_"&amp;DType[[#This Row],[Grundtype]]&amp;CHAR(13)&amp;"End Function" &amp; CHAR(13) &amp; CHAR(13)</f>
        <v>Public Function New_IfcInductanceMeasure() As expREAL_x000D_  Set New_IfcInductanceMeasure = ExpressSimpleTypes.New_REAL_x000D_End Function_x000D__x000D_</v>
      </c>
      <c r="K40" s="37" t="str">
        <f xml:space="preserve"> "  Set TestVar = New_"&amp;DType[[#This Row],[IFC-Name]]</f>
        <v xml:space="preserve">  Set TestVar = New_IfcInductanceMeasure</v>
      </c>
      <c r="L40" s="1" t="b">
        <v>1</v>
      </c>
      <c r="M40" s="1" t="b">
        <v>1</v>
      </c>
    </row>
    <row r="41" spans="2:13" ht="20.100000000000001" customHeight="1" x14ac:dyDescent="0.25">
      <c r="B41" s="36" t="e">
        <f>IF(DType[[#This Row],[Link]]="","",HYPERLINK(HTML_Doku&amp;DType[[#This Row],[Link]],"Doku"))</f>
        <v>#NAME?</v>
      </c>
      <c r="C41" s="38" t="s">
        <v>1201</v>
      </c>
      <c r="D41" s="39">
        <v>20</v>
      </c>
      <c r="E41" s="40">
        <f>IFERROR(VLOOKUP(DType[ID-Modul],Modul[],15,FALSE),"unbekannt")</f>
        <v>4</v>
      </c>
      <c r="F41" s="38" t="s">
        <v>1175</v>
      </c>
      <c r="G41" s="41" t="s">
        <v>2486</v>
      </c>
      <c r="H41" s="38" t="s">
        <v>3597</v>
      </c>
      <c r="I41" s="38" t="str">
        <f>IFERROR(VLOOKUP(DType[[#This Row],[IFC-Type]],DType[[IFC-Name]:[IFC-Type]],4,FALSE),DType[[#This Row],[IFC-Type]])</f>
        <v>INTEGER</v>
      </c>
      <c r="J41" s="42" t="str">
        <f>"Public Function New_"&amp;DType[[#This Row],[IFC-Name]]&amp;"() As exp"&amp;DType[[#This Row],[Grundtype]]&amp;CHAR(13)&amp;"  Set New_"&amp;DType[[#This Row],[IFC-Name]]&amp;" = ExpressSimpleTypes.New_"&amp;DType[[#This Row],[Grundtype]]&amp;CHAR(13)&amp;"End Function" &amp; CHAR(13) &amp; CHAR(13)</f>
        <v>Public Function New_IfcInteger() As expINTEGER_x000D_  Set New_IfcInteger = ExpressSimpleTypes.New_INTEGER_x000D_End Function_x000D__x000D_</v>
      </c>
      <c r="K41" s="37" t="str">
        <f xml:space="preserve"> "  Set TestVar = New_"&amp;DType[[#This Row],[IFC-Name]]</f>
        <v xml:space="preserve">  Set TestVar = New_IfcInteger</v>
      </c>
      <c r="L41" s="1" t="b">
        <v>1</v>
      </c>
      <c r="M41" s="1" t="b">
        <v>1</v>
      </c>
    </row>
    <row r="42" spans="2:13" ht="20.100000000000001" customHeight="1" x14ac:dyDescent="0.25">
      <c r="B42" s="7" t="e">
        <f>IF(DType[[#This Row],[Link]]="","",HYPERLINK(HTML_Doku&amp;DType[[#This Row],[Link]],"Doku"))</f>
        <v>#NAME?</v>
      </c>
      <c r="C42" s="38" t="s">
        <v>1202</v>
      </c>
      <c r="D42" s="39">
        <v>20</v>
      </c>
      <c r="E42" s="40">
        <f>IFERROR(VLOOKUP(DType[ID-Modul],Modul[],15,FALSE),"unbekannt")</f>
        <v>4</v>
      </c>
      <c r="F42" s="38" t="s">
        <v>1175</v>
      </c>
      <c r="G42" s="41" t="s">
        <v>2487</v>
      </c>
      <c r="H42" s="38" t="s">
        <v>3598</v>
      </c>
      <c r="I42" s="38" t="str">
        <f>IFERROR(VLOOKUP(DType[[#This Row],[IFC-Type]],DType[[IFC-Name]:[IFC-Type]],4,FALSE),DType[[#This Row],[IFC-Type]])</f>
        <v>INTEGER</v>
      </c>
      <c r="J42" s="42" t="str">
        <f>"Public Function New_"&amp;DType[[#This Row],[IFC-Name]]&amp;"() As exp"&amp;DType[[#This Row],[Grundtype]]&amp;CHAR(13)&amp;"  Set New_"&amp;DType[[#This Row],[IFC-Name]]&amp;" = ExpressSimpleTypes.New_"&amp;DType[[#This Row],[Grundtype]]&amp;CHAR(13)&amp;"End Function" &amp; CHAR(13) &amp; CHAR(13)</f>
        <v>Public Function New_IfcIntegerCountRateMeasure() As expINTEGER_x000D_  Set New_IfcIntegerCountRateMeasure = ExpressSimpleTypes.New_INTEGER_x000D_End Function_x000D__x000D_</v>
      </c>
      <c r="K42" s="37" t="str">
        <f xml:space="preserve"> "  Set TestVar = New_"&amp;DType[[#This Row],[IFC-Name]]</f>
        <v xml:space="preserve">  Set TestVar = New_IfcIntegerCountRateMeasure</v>
      </c>
      <c r="L42" s="1" t="b">
        <v>1</v>
      </c>
      <c r="M42" s="1" t="b">
        <v>1</v>
      </c>
    </row>
    <row r="43" spans="2:13" ht="20.100000000000001" customHeight="1" x14ac:dyDescent="0.25">
      <c r="B43" s="7" t="e">
        <f>IF(DType[[#This Row],[Link]]="","",HYPERLINK(HTML_Doku&amp;DType[[#This Row],[Link]],"Doku"))</f>
        <v>#NAME?</v>
      </c>
      <c r="C43" s="38" t="s">
        <v>1203</v>
      </c>
      <c r="D43" s="39">
        <v>20</v>
      </c>
      <c r="E43" s="40">
        <f>IFERROR(VLOOKUP(DType[ID-Modul],Modul[],15,FALSE),"unbekannt")</f>
        <v>4</v>
      </c>
      <c r="F43" s="38" t="s">
        <v>1158</v>
      </c>
      <c r="G43" s="41" t="s">
        <v>2488</v>
      </c>
      <c r="H43" s="38" t="s">
        <v>3599</v>
      </c>
      <c r="I43" s="38" t="str">
        <f>IFERROR(VLOOKUP(DType[[#This Row],[IFC-Type]],DType[[IFC-Name]:[IFC-Type]],4,FALSE),DType[[#This Row],[IFC-Type]])</f>
        <v>REAL</v>
      </c>
      <c r="J43" s="42" t="str">
        <f>"Public Function New_"&amp;DType[[#This Row],[IFC-Name]]&amp;"() As exp"&amp;DType[[#This Row],[Grundtype]]&amp;CHAR(13)&amp;"  Set New_"&amp;DType[[#This Row],[IFC-Name]]&amp;" = ExpressSimpleTypes.New_"&amp;DType[[#This Row],[Grundtype]]&amp;CHAR(13)&amp;"End Function" &amp; CHAR(13) &amp; CHAR(13)</f>
        <v>Public Function New_IfcIonConcentrationMeasure() As expREAL_x000D_  Set New_IfcIonConcentrationMeasure = ExpressSimpleTypes.New_REAL_x000D_End Function_x000D__x000D_</v>
      </c>
      <c r="K43" s="37" t="str">
        <f xml:space="preserve"> "  Set TestVar = New_"&amp;DType[[#This Row],[IFC-Name]]</f>
        <v xml:space="preserve">  Set TestVar = New_IfcIonConcentrationMeasure</v>
      </c>
      <c r="L43" s="1" t="b">
        <v>1</v>
      </c>
      <c r="M43" s="1" t="b">
        <v>1</v>
      </c>
    </row>
    <row r="44" spans="2:13" ht="20.100000000000001" customHeight="1" x14ac:dyDescent="0.25">
      <c r="B44" s="7" t="e">
        <f>IF(DType[[#This Row],[Link]]="","",HYPERLINK(HTML_Doku&amp;DType[[#This Row],[Link]],"Doku"))</f>
        <v>#NAME?</v>
      </c>
      <c r="C44" s="38" t="s">
        <v>1204</v>
      </c>
      <c r="D44" s="39">
        <v>20</v>
      </c>
      <c r="E44" s="40">
        <f>IFERROR(VLOOKUP(DType[ID-Modul],Modul[],15,FALSE),"unbekannt")</f>
        <v>4</v>
      </c>
      <c r="F44" s="38" t="s">
        <v>1158</v>
      </c>
      <c r="G44" s="41" t="s">
        <v>2489</v>
      </c>
      <c r="H44" s="38" t="s">
        <v>3600</v>
      </c>
      <c r="I44" s="38" t="str">
        <f>IFERROR(VLOOKUP(DType[[#This Row],[IFC-Type]],DType[[IFC-Name]:[IFC-Type]],4,FALSE),DType[[#This Row],[IFC-Type]])</f>
        <v>REAL</v>
      </c>
      <c r="J44" s="42" t="str">
        <f>"Public Function New_"&amp;DType[[#This Row],[IFC-Name]]&amp;"() As exp"&amp;DType[[#This Row],[Grundtype]]&amp;CHAR(13)&amp;"  Set New_"&amp;DType[[#This Row],[IFC-Name]]&amp;" = ExpressSimpleTypes.New_"&amp;DType[[#This Row],[Grundtype]]&amp;CHAR(13)&amp;"End Function" &amp; CHAR(13) &amp; CHAR(13)</f>
        <v>Public Function New_IfcIsothermalMoistureCapacityMeasure() As expREAL_x000D_  Set New_IfcIsothermalMoistureCapacityMeasure = ExpressSimpleTypes.New_REAL_x000D_End Function_x000D__x000D_</v>
      </c>
      <c r="K44" s="37" t="str">
        <f xml:space="preserve"> "  Set TestVar = New_"&amp;DType[[#This Row],[IFC-Name]]</f>
        <v xml:space="preserve">  Set TestVar = New_IfcIsothermalMoistureCapacityMeasure</v>
      </c>
      <c r="L44" s="1" t="b">
        <v>1</v>
      </c>
      <c r="M44" s="1" t="b">
        <v>1</v>
      </c>
    </row>
    <row r="45" spans="2:13" ht="20.100000000000001" customHeight="1" x14ac:dyDescent="0.25">
      <c r="B45" s="7" t="e">
        <f>IF(DType[[#This Row],[Link]]="","",HYPERLINK(HTML_Doku&amp;DType[[#This Row],[Link]],"Doku"))</f>
        <v>#NAME?</v>
      </c>
      <c r="C45" s="38" t="s">
        <v>1205</v>
      </c>
      <c r="D45" s="39">
        <v>20</v>
      </c>
      <c r="E45" s="40">
        <f>IFERROR(VLOOKUP(DType[ID-Modul],Modul[],15,FALSE),"unbekannt")</f>
        <v>4</v>
      </c>
      <c r="F45" s="38" t="s">
        <v>1158</v>
      </c>
      <c r="G45" s="41" t="s">
        <v>2490</v>
      </c>
      <c r="H45" s="38" t="s">
        <v>3601</v>
      </c>
      <c r="I45" s="38" t="str">
        <f>IFERROR(VLOOKUP(DType[[#This Row],[IFC-Type]],DType[[IFC-Name]:[IFC-Type]],4,FALSE),DType[[#This Row],[IFC-Type]])</f>
        <v>REAL</v>
      </c>
      <c r="J45" s="42" t="str">
        <f>"Public Function New_"&amp;DType[[#This Row],[IFC-Name]]&amp;"() As exp"&amp;DType[[#This Row],[Grundtype]]&amp;CHAR(13)&amp;"  Set New_"&amp;DType[[#This Row],[IFC-Name]]&amp;" = ExpressSimpleTypes.New_"&amp;DType[[#This Row],[Grundtype]]&amp;CHAR(13)&amp;"End Function" &amp; CHAR(13) &amp; CHAR(13)</f>
        <v>Public Function New_IfcKinematicViscosityMeasure() As expREAL_x000D_  Set New_IfcKinematicViscosityMeasure = ExpressSimpleTypes.New_REAL_x000D_End Function_x000D__x000D_</v>
      </c>
      <c r="K45" s="37" t="str">
        <f xml:space="preserve"> "  Set TestVar = New_"&amp;DType[[#This Row],[IFC-Name]]</f>
        <v xml:space="preserve">  Set TestVar = New_IfcKinematicViscosityMeasure</v>
      </c>
      <c r="L45" s="1" t="b">
        <v>1</v>
      </c>
      <c r="M45" s="1" t="b">
        <v>1</v>
      </c>
    </row>
    <row r="46" spans="2:13" ht="20.100000000000001" customHeight="1" x14ac:dyDescent="0.25">
      <c r="B46" s="7" t="e">
        <f>IF(DType[[#This Row],[Link]]="","",HYPERLINK(HTML_Doku&amp;DType[[#This Row],[Link]],"Doku"))</f>
        <v>#NAME?</v>
      </c>
      <c r="C46" s="38" t="s">
        <v>1154</v>
      </c>
      <c r="D46" s="39">
        <v>20</v>
      </c>
      <c r="E46" s="40">
        <f>IFERROR(VLOOKUP(DType[ID-Modul],Modul[],15,FALSE),"unbekannt")</f>
        <v>4</v>
      </c>
      <c r="F46" s="38" t="s">
        <v>1178</v>
      </c>
      <c r="G46" s="41" t="s">
        <v>2491</v>
      </c>
      <c r="H46" s="38" t="s">
        <v>3602</v>
      </c>
      <c r="I46" s="38" t="str">
        <f>IFERROR(VLOOKUP(DType[[#This Row],[IFC-Type]],DType[[IFC-Name]:[IFC-Type]],4,FALSE),DType[[#This Row],[IFC-Type]])</f>
        <v>STRING</v>
      </c>
      <c r="J46" s="42" t="str">
        <f>"Public Function New_"&amp;DType[[#This Row],[IFC-Name]]&amp;"() As exp"&amp;DType[[#This Row],[Grundtype]]&amp;CHAR(13)&amp;"  Set New_"&amp;DType[[#This Row],[IFC-Name]]&amp;" = ExpressSimpleTypes.New_"&amp;DType[[#This Row],[Grundtype]]&amp;CHAR(13)&amp;"End Function" &amp; CHAR(13) &amp; CHAR(13)</f>
        <v>Public Function New_IfcLabel() As expSTRING_x000D_  Set New_IfcLabel = ExpressSimpleTypes.New_STRING_x000D_End Function_x000D__x000D_</v>
      </c>
      <c r="K46" s="37" t="str">
        <f xml:space="preserve"> "  Set TestVar = New_"&amp;DType[[#This Row],[IFC-Name]]</f>
        <v xml:space="preserve">  Set TestVar = New_IfcLabel</v>
      </c>
      <c r="L46" s="1" t="b">
        <v>1</v>
      </c>
      <c r="M46" s="1" t="b">
        <v>1</v>
      </c>
    </row>
    <row r="47" spans="2:13" ht="20.100000000000001" customHeight="1" x14ac:dyDescent="0.25">
      <c r="B47" s="7" t="e">
        <f>IF(DType[[#This Row],[Link]]="","",HYPERLINK(HTML_Doku&amp;DType[[#This Row],[Link]],"Doku"))</f>
        <v>#NAME?</v>
      </c>
      <c r="C47" s="38" t="s">
        <v>1206</v>
      </c>
      <c r="D47" s="39">
        <v>20</v>
      </c>
      <c r="E47" s="40">
        <f>IFERROR(VLOOKUP(DType[ID-Modul],Modul[],15,FALSE),"unbekannt")</f>
        <v>4</v>
      </c>
      <c r="F47" s="38" t="s">
        <v>1158</v>
      </c>
      <c r="G47" s="41" t="s">
        <v>2492</v>
      </c>
      <c r="H47" s="38" t="s">
        <v>3603</v>
      </c>
      <c r="I47" s="38" t="str">
        <f>IFERROR(VLOOKUP(DType[[#This Row],[IFC-Type]],DType[[IFC-Name]:[IFC-Type]],4,FALSE),DType[[#This Row],[IFC-Type]])</f>
        <v>REAL</v>
      </c>
      <c r="J47" s="42" t="str">
        <f>"Public Function New_"&amp;DType[[#This Row],[IFC-Name]]&amp;"() As exp"&amp;DType[[#This Row],[Grundtype]]&amp;CHAR(13)&amp;"  Set New_"&amp;DType[[#This Row],[IFC-Name]]&amp;" = ExpressSimpleTypes.New_"&amp;DType[[#This Row],[Grundtype]]&amp;CHAR(13)&amp;"End Function" &amp; CHAR(13) &amp; CHAR(13)</f>
        <v>Public Function New_IfcLengthMeasure() As expREAL_x000D_  Set New_IfcLengthMeasure = ExpressSimpleTypes.New_REAL_x000D_End Function_x000D__x000D_</v>
      </c>
      <c r="K47" s="37" t="str">
        <f xml:space="preserve"> "  Set TestVar = New_"&amp;DType[[#This Row],[IFC-Name]]</f>
        <v xml:space="preserve">  Set TestVar = New_IfcLengthMeasure</v>
      </c>
      <c r="L47" s="1" t="b">
        <v>1</v>
      </c>
      <c r="M47" s="1" t="b">
        <v>1</v>
      </c>
    </row>
    <row r="48" spans="2:13" ht="20.100000000000001" customHeight="1" x14ac:dyDescent="0.25">
      <c r="B48" s="7" t="e">
        <f>IF(DType[[#This Row],[Link]]="","",HYPERLINK(HTML_Doku&amp;DType[[#This Row],[Link]],"Doku"))</f>
        <v>#NAME?</v>
      </c>
      <c r="C48" s="38" t="s">
        <v>1207</v>
      </c>
      <c r="D48" s="39">
        <v>20</v>
      </c>
      <c r="E48" s="40">
        <f>IFERROR(VLOOKUP(DType[ID-Modul],Modul[],15,FALSE),"unbekannt")</f>
        <v>4</v>
      </c>
      <c r="F48" s="38" t="s">
        <v>1158</v>
      </c>
      <c r="G48" s="41" t="s">
        <v>2493</v>
      </c>
      <c r="H48" s="38" t="s">
        <v>3604</v>
      </c>
      <c r="I48" s="38" t="str">
        <f>IFERROR(VLOOKUP(DType[[#This Row],[IFC-Type]],DType[[IFC-Name]:[IFC-Type]],4,FALSE),DType[[#This Row],[IFC-Type]])</f>
        <v>REAL</v>
      </c>
      <c r="J48" s="42" t="str">
        <f>"Public Function New_"&amp;DType[[#This Row],[IFC-Name]]&amp;"() As exp"&amp;DType[[#This Row],[Grundtype]]&amp;CHAR(13)&amp;"  Set New_"&amp;DType[[#This Row],[IFC-Name]]&amp;" = ExpressSimpleTypes.New_"&amp;DType[[#This Row],[Grundtype]]&amp;CHAR(13)&amp;"End Function" &amp; CHAR(13) &amp; CHAR(13)</f>
        <v>Public Function New_IfcLinearForceMeasure() As expREAL_x000D_  Set New_IfcLinearForceMeasure = ExpressSimpleTypes.New_REAL_x000D_End Function_x000D__x000D_</v>
      </c>
      <c r="K48" s="37" t="str">
        <f xml:space="preserve"> "  Set TestVar = New_"&amp;DType[[#This Row],[IFC-Name]]</f>
        <v xml:space="preserve">  Set TestVar = New_IfcLinearForceMeasure</v>
      </c>
      <c r="L48" s="1" t="b">
        <v>1</v>
      </c>
      <c r="M48" s="1" t="b">
        <v>1</v>
      </c>
    </row>
    <row r="49" spans="2:13" ht="20.100000000000001" customHeight="1" x14ac:dyDescent="0.25">
      <c r="B49" s="7" t="e">
        <f>IF(DType[[#This Row],[Link]]="","",HYPERLINK(HTML_Doku&amp;DType[[#This Row],[Link]],"Doku"))</f>
        <v>#NAME?</v>
      </c>
      <c r="C49" s="38" t="s">
        <v>1208</v>
      </c>
      <c r="D49" s="39">
        <v>20</v>
      </c>
      <c r="E49" s="40">
        <f>IFERROR(VLOOKUP(DType[ID-Modul],Modul[],15,FALSE),"unbekannt")</f>
        <v>4</v>
      </c>
      <c r="F49" s="38" t="s">
        <v>1158</v>
      </c>
      <c r="G49" s="41" t="s">
        <v>2494</v>
      </c>
      <c r="H49" s="38" t="s">
        <v>3605</v>
      </c>
      <c r="I49" s="38" t="str">
        <f>IFERROR(VLOOKUP(DType[[#This Row],[IFC-Type]],DType[[IFC-Name]:[IFC-Type]],4,FALSE),DType[[#This Row],[IFC-Type]])</f>
        <v>REAL</v>
      </c>
      <c r="J49" s="42" t="str">
        <f>"Public Function New_"&amp;DType[[#This Row],[IFC-Name]]&amp;"() As exp"&amp;DType[[#This Row],[Grundtype]]&amp;CHAR(13)&amp;"  Set New_"&amp;DType[[#This Row],[IFC-Name]]&amp;" = ExpressSimpleTypes.New_"&amp;DType[[#This Row],[Grundtype]]&amp;CHAR(13)&amp;"End Function" &amp; CHAR(13) &amp; CHAR(13)</f>
        <v>Public Function New_IfcLinearMomentMeasure() As expREAL_x000D_  Set New_IfcLinearMomentMeasure = ExpressSimpleTypes.New_REAL_x000D_End Function_x000D__x000D_</v>
      </c>
      <c r="K49" s="37" t="str">
        <f xml:space="preserve"> "  Set TestVar = New_"&amp;DType[[#This Row],[IFC-Name]]</f>
        <v xml:space="preserve">  Set TestVar = New_IfcLinearMomentMeasure</v>
      </c>
      <c r="L49" s="1" t="b">
        <v>1</v>
      </c>
      <c r="M49" s="1" t="b">
        <v>1</v>
      </c>
    </row>
    <row r="50" spans="2:13" ht="20.100000000000001" customHeight="1" x14ac:dyDescent="0.25">
      <c r="B50" s="7" t="e">
        <f>IF(DType[[#This Row],[Link]]="","",HYPERLINK(HTML_Doku&amp;DType[[#This Row],[Link]],"Doku"))</f>
        <v>#NAME?</v>
      </c>
      <c r="C50" s="38" t="s">
        <v>1209</v>
      </c>
      <c r="D50" s="39">
        <v>20</v>
      </c>
      <c r="E50" s="40">
        <f>IFERROR(VLOOKUP(DType[ID-Modul],Modul[],15,FALSE),"unbekannt")</f>
        <v>4</v>
      </c>
      <c r="F50" s="38" t="s">
        <v>1158</v>
      </c>
      <c r="G50" s="41" t="s">
        <v>2495</v>
      </c>
      <c r="H50" s="38" t="s">
        <v>3606</v>
      </c>
      <c r="I50" s="38" t="str">
        <f>IFERROR(VLOOKUP(DType[[#This Row],[IFC-Type]],DType[[IFC-Name]:[IFC-Type]],4,FALSE),DType[[#This Row],[IFC-Type]])</f>
        <v>REAL</v>
      </c>
      <c r="J50" s="42" t="str">
        <f>"Public Function New_"&amp;DType[[#This Row],[IFC-Name]]&amp;"() As exp"&amp;DType[[#This Row],[Grundtype]]&amp;CHAR(13)&amp;"  Set New_"&amp;DType[[#This Row],[IFC-Name]]&amp;" = ExpressSimpleTypes.New_"&amp;DType[[#This Row],[Grundtype]]&amp;CHAR(13)&amp;"End Function" &amp; CHAR(13) &amp; CHAR(13)</f>
        <v>Public Function New_IfcLinearStiffnessMeasure() As expREAL_x000D_  Set New_IfcLinearStiffnessMeasure = ExpressSimpleTypes.New_REAL_x000D_End Function_x000D__x000D_</v>
      </c>
      <c r="K50" s="37" t="str">
        <f xml:space="preserve"> "  Set TestVar = New_"&amp;DType[[#This Row],[IFC-Name]]</f>
        <v xml:space="preserve">  Set TestVar = New_IfcLinearStiffnessMeasure</v>
      </c>
      <c r="L50" s="1" t="b">
        <v>1</v>
      </c>
      <c r="M50" s="1" t="b">
        <v>1</v>
      </c>
    </row>
    <row r="51" spans="2:13" ht="20.100000000000001" customHeight="1" x14ac:dyDescent="0.25">
      <c r="B51" s="7" t="e">
        <f>IF(DType[[#This Row],[Link]]="","",HYPERLINK(HTML_Doku&amp;DType[[#This Row],[Link]],"Doku"))</f>
        <v>#NAME?</v>
      </c>
      <c r="C51" s="38" t="s">
        <v>1210</v>
      </c>
      <c r="D51" s="39">
        <v>20</v>
      </c>
      <c r="E51" s="40">
        <f>IFERROR(VLOOKUP(DType[ID-Modul],Modul[],15,FALSE),"unbekannt")</f>
        <v>4</v>
      </c>
      <c r="F51" s="38" t="s">
        <v>1158</v>
      </c>
      <c r="G51" s="41" t="s">
        <v>2496</v>
      </c>
      <c r="H51" s="38" t="s">
        <v>3607</v>
      </c>
      <c r="I51" s="38" t="str">
        <f>IFERROR(VLOOKUP(DType[[#This Row],[IFC-Type]],DType[[IFC-Name]:[IFC-Type]],4,FALSE),DType[[#This Row],[IFC-Type]])</f>
        <v>REAL</v>
      </c>
      <c r="J51" s="42" t="str">
        <f>"Public Function New_"&amp;DType[[#This Row],[IFC-Name]]&amp;"() As exp"&amp;DType[[#This Row],[Grundtype]]&amp;CHAR(13)&amp;"  Set New_"&amp;DType[[#This Row],[IFC-Name]]&amp;" = ExpressSimpleTypes.New_"&amp;DType[[#This Row],[Grundtype]]&amp;CHAR(13)&amp;"End Function" &amp; CHAR(13) &amp; CHAR(13)</f>
        <v>Public Function New_IfcLinearVelocityMeasure() As expREAL_x000D_  Set New_IfcLinearVelocityMeasure = ExpressSimpleTypes.New_REAL_x000D_End Function_x000D__x000D_</v>
      </c>
      <c r="K51" s="37" t="str">
        <f xml:space="preserve"> "  Set TestVar = New_"&amp;DType[[#This Row],[IFC-Name]]</f>
        <v xml:space="preserve">  Set TestVar = New_IfcLinearVelocityMeasure</v>
      </c>
      <c r="L51" s="1" t="b">
        <v>1</v>
      </c>
      <c r="M51" s="1" t="b">
        <v>1</v>
      </c>
    </row>
    <row r="52" spans="2:13" ht="20.100000000000001" customHeight="1" x14ac:dyDescent="0.25">
      <c r="B52" s="36" t="e">
        <f>IF(DType[[#This Row],[Link]]="","",HYPERLINK(HTML_Doku&amp;DType[[#This Row],[Link]],"Doku"))</f>
        <v>#NAME?</v>
      </c>
      <c r="C52" s="38" t="s">
        <v>1211</v>
      </c>
      <c r="D52" s="39">
        <v>20</v>
      </c>
      <c r="E52" s="40">
        <f>IFERROR(VLOOKUP(DType[ID-Modul],Modul[],15,FALSE),"unbekannt")</f>
        <v>4</v>
      </c>
      <c r="F52" s="38" t="s">
        <v>1212</v>
      </c>
      <c r="G52" s="41" t="s">
        <v>2497</v>
      </c>
      <c r="H52" s="38" t="s">
        <v>3608</v>
      </c>
      <c r="I52" s="38" t="str">
        <f>IFERROR(VLOOKUP(DType[[#This Row],[IFC-Type]],DType[[IFC-Name]:[IFC-Type]],4,FALSE),DType[[#This Row],[IFC-Type]])</f>
        <v>LOGICAL</v>
      </c>
      <c r="J52" s="42" t="str">
        <f>"Public Function New_"&amp;DType[[#This Row],[IFC-Name]]&amp;"() As exp"&amp;DType[[#This Row],[Grundtype]]&amp;CHAR(13)&amp;"  Set New_"&amp;DType[[#This Row],[IFC-Name]]&amp;" = ExpressSimpleTypes.New_"&amp;DType[[#This Row],[Grundtype]]&amp;CHAR(13)&amp;"End Function" &amp; CHAR(13) &amp; CHAR(13)</f>
        <v>Public Function New_IfcLogical() As expLOGICAL_x000D_  Set New_IfcLogical = ExpressSimpleTypes.New_LOGICAL_x000D_End Function_x000D__x000D_</v>
      </c>
      <c r="K52" s="37" t="str">
        <f xml:space="preserve"> "  Set TestVar = New_"&amp;DType[[#This Row],[IFC-Name]]</f>
        <v xml:space="preserve">  Set TestVar = New_IfcLogical</v>
      </c>
      <c r="L52" s="1" t="b">
        <v>1</v>
      </c>
      <c r="M52" s="1" t="b">
        <v>1</v>
      </c>
    </row>
    <row r="53" spans="2:13" ht="20.100000000000001" customHeight="1" x14ac:dyDescent="0.25">
      <c r="B53" s="7" t="e">
        <f>IF(DType[[#This Row],[Link]]="","",HYPERLINK(HTML_Doku&amp;DType[[#This Row],[Link]],"Doku"))</f>
        <v>#NAME?</v>
      </c>
      <c r="C53" s="38" t="s">
        <v>1213</v>
      </c>
      <c r="D53" s="39">
        <v>20</v>
      </c>
      <c r="E53" s="40">
        <f>IFERROR(VLOOKUP(DType[ID-Modul],Modul[],15,FALSE),"unbekannt")</f>
        <v>4</v>
      </c>
      <c r="F53" s="38" t="s">
        <v>1158</v>
      </c>
      <c r="G53" s="41" t="s">
        <v>2498</v>
      </c>
      <c r="H53" s="38" t="s">
        <v>3609</v>
      </c>
      <c r="I53" s="38" t="str">
        <f>IFERROR(VLOOKUP(DType[[#This Row],[IFC-Type]],DType[[IFC-Name]:[IFC-Type]],4,FALSE),DType[[#This Row],[IFC-Type]])</f>
        <v>REAL</v>
      </c>
      <c r="J53" s="42" t="str">
        <f>"Public Function New_"&amp;DType[[#This Row],[IFC-Name]]&amp;"() As exp"&amp;DType[[#This Row],[Grundtype]]&amp;CHAR(13)&amp;"  Set New_"&amp;DType[[#This Row],[IFC-Name]]&amp;" = ExpressSimpleTypes.New_"&amp;DType[[#This Row],[Grundtype]]&amp;CHAR(13)&amp;"End Function" &amp; CHAR(13) &amp; CHAR(13)</f>
        <v>Public Function New_IfcLuminousFluxMeasure() As expREAL_x000D_  Set New_IfcLuminousFluxMeasure = ExpressSimpleTypes.New_REAL_x000D_End Function_x000D__x000D_</v>
      </c>
      <c r="K53" s="37" t="str">
        <f xml:space="preserve"> "  Set TestVar = New_"&amp;DType[[#This Row],[IFC-Name]]</f>
        <v xml:space="preserve">  Set TestVar = New_IfcLuminousFluxMeasure</v>
      </c>
      <c r="L53" s="1" t="b">
        <v>1</v>
      </c>
      <c r="M53" s="1" t="b">
        <v>1</v>
      </c>
    </row>
    <row r="54" spans="2:13" ht="20.100000000000001" customHeight="1" x14ac:dyDescent="0.25">
      <c r="B54" s="7" t="e">
        <f>IF(DType[[#This Row],[Link]]="","",HYPERLINK(HTML_Doku&amp;DType[[#This Row],[Link]],"Doku"))</f>
        <v>#NAME?</v>
      </c>
      <c r="C54" s="38" t="s">
        <v>1214</v>
      </c>
      <c r="D54" s="39">
        <v>20</v>
      </c>
      <c r="E54" s="40">
        <f>IFERROR(VLOOKUP(DType[ID-Modul],Modul[],15,FALSE),"unbekannt")</f>
        <v>4</v>
      </c>
      <c r="F54" s="38" t="s">
        <v>1158</v>
      </c>
      <c r="G54" s="41" t="s">
        <v>2499</v>
      </c>
      <c r="H54" s="38" t="s">
        <v>3610</v>
      </c>
      <c r="I54" s="38" t="str">
        <f>IFERROR(VLOOKUP(DType[[#This Row],[IFC-Type]],DType[[IFC-Name]:[IFC-Type]],4,FALSE),DType[[#This Row],[IFC-Type]])</f>
        <v>REAL</v>
      </c>
      <c r="J54" s="42" t="str">
        <f>"Public Function New_"&amp;DType[[#This Row],[IFC-Name]]&amp;"() As exp"&amp;DType[[#This Row],[Grundtype]]&amp;CHAR(13)&amp;"  Set New_"&amp;DType[[#This Row],[IFC-Name]]&amp;" = ExpressSimpleTypes.New_"&amp;DType[[#This Row],[Grundtype]]&amp;CHAR(13)&amp;"End Function" &amp; CHAR(13) &amp; CHAR(13)</f>
        <v>Public Function New_IfcLuminousIntensityDistributionMeasure() As expREAL_x000D_  Set New_IfcLuminousIntensityDistributionMeasure = ExpressSimpleTypes.New_REAL_x000D_End Function_x000D__x000D_</v>
      </c>
      <c r="K54" s="37" t="str">
        <f xml:space="preserve"> "  Set TestVar = New_"&amp;DType[[#This Row],[IFC-Name]]</f>
        <v xml:space="preserve">  Set TestVar = New_IfcLuminousIntensityDistributionMeasure</v>
      </c>
      <c r="L54" s="1" t="b">
        <v>1</v>
      </c>
      <c r="M54" s="1" t="b">
        <v>1</v>
      </c>
    </row>
    <row r="55" spans="2:13" ht="20.100000000000001" customHeight="1" x14ac:dyDescent="0.25">
      <c r="B55" s="7" t="e">
        <f>IF(DType[[#This Row],[Link]]="","",HYPERLINK(HTML_Doku&amp;DType[[#This Row],[Link]],"Doku"))</f>
        <v>#NAME?</v>
      </c>
      <c r="C55" s="38" t="s">
        <v>1215</v>
      </c>
      <c r="D55" s="39">
        <v>20</v>
      </c>
      <c r="E55" s="40">
        <f>IFERROR(VLOOKUP(DType[ID-Modul],Modul[],15,FALSE),"unbekannt")</f>
        <v>4</v>
      </c>
      <c r="F55" s="38" t="s">
        <v>1158</v>
      </c>
      <c r="G55" s="41" t="s">
        <v>2500</v>
      </c>
      <c r="H55" s="38" t="s">
        <v>3611</v>
      </c>
      <c r="I55" s="38" t="str">
        <f>IFERROR(VLOOKUP(DType[[#This Row],[IFC-Type]],DType[[IFC-Name]:[IFC-Type]],4,FALSE),DType[[#This Row],[IFC-Type]])</f>
        <v>REAL</v>
      </c>
      <c r="J55" s="42" t="str">
        <f>"Public Function New_"&amp;DType[[#This Row],[IFC-Name]]&amp;"() As exp"&amp;DType[[#This Row],[Grundtype]]&amp;CHAR(13)&amp;"  Set New_"&amp;DType[[#This Row],[IFC-Name]]&amp;" = ExpressSimpleTypes.New_"&amp;DType[[#This Row],[Grundtype]]&amp;CHAR(13)&amp;"End Function" &amp; CHAR(13) &amp; CHAR(13)</f>
        <v>Public Function New_IfcLuminousIntensityMeasure() As expREAL_x000D_  Set New_IfcLuminousIntensityMeasure = ExpressSimpleTypes.New_REAL_x000D_End Function_x000D__x000D_</v>
      </c>
      <c r="K55" s="37" t="str">
        <f xml:space="preserve"> "  Set TestVar = New_"&amp;DType[[#This Row],[IFC-Name]]</f>
        <v xml:space="preserve">  Set TestVar = New_IfcLuminousIntensityMeasure</v>
      </c>
      <c r="L55" s="1" t="b">
        <v>1</v>
      </c>
      <c r="M55" s="1" t="b">
        <v>1</v>
      </c>
    </row>
    <row r="56" spans="2:13" ht="20.100000000000001" customHeight="1" x14ac:dyDescent="0.25">
      <c r="B56" s="7" t="e">
        <f>IF(DType[[#This Row],[Link]]="","",HYPERLINK(HTML_Doku&amp;DType[[#This Row],[Link]],"Doku"))</f>
        <v>#NAME?</v>
      </c>
      <c r="C56" s="38" t="s">
        <v>1216</v>
      </c>
      <c r="D56" s="39">
        <v>20</v>
      </c>
      <c r="E56" s="40">
        <f>IFERROR(VLOOKUP(DType[ID-Modul],Modul[],15,FALSE),"unbekannt")</f>
        <v>4</v>
      </c>
      <c r="F56" s="38" t="s">
        <v>1158</v>
      </c>
      <c r="G56" s="41" t="s">
        <v>2501</v>
      </c>
      <c r="H56" s="38" t="s">
        <v>3612</v>
      </c>
      <c r="I56" s="38" t="str">
        <f>IFERROR(VLOOKUP(DType[[#This Row],[IFC-Type]],DType[[IFC-Name]:[IFC-Type]],4,FALSE),DType[[#This Row],[IFC-Type]])</f>
        <v>REAL</v>
      </c>
      <c r="J56" s="42" t="str">
        <f>"Public Function New_"&amp;DType[[#This Row],[IFC-Name]]&amp;"() As exp"&amp;DType[[#This Row],[Grundtype]]&amp;CHAR(13)&amp;"  Set New_"&amp;DType[[#This Row],[IFC-Name]]&amp;" = ExpressSimpleTypes.New_"&amp;DType[[#This Row],[Grundtype]]&amp;CHAR(13)&amp;"End Function" &amp; CHAR(13) &amp; CHAR(13)</f>
        <v>Public Function New_IfcMagneticFluxDensityMeasure() As expREAL_x000D_  Set New_IfcMagneticFluxDensityMeasure = ExpressSimpleTypes.New_REAL_x000D_End Function_x000D__x000D_</v>
      </c>
      <c r="K56" s="37" t="str">
        <f xml:space="preserve"> "  Set TestVar = New_"&amp;DType[[#This Row],[IFC-Name]]</f>
        <v xml:space="preserve">  Set TestVar = New_IfcMagneticFluxDensityMeasure</v>
      </c>
      <c r="L56" s="1" t="b">
        <v>1</v>
      </c>
      <c r="M56" s="1" t="b">
        <v>1</v>
      </c>
    </row>
    <row r="57" spans="2:13" ht="20.100000000000001" customHeight="1" x14ac:dyDescent="0.25">
      <c r="B57" s="7" t="e">
        <f>IF(DType[[#This Row],[Link]]="","",HYPERLINK(HTML_Doku&amp;DType[[#This Row],[Link]],"Doku"))</f>
        <v>#NAME?</v>
      </c>
      <c r="C57" s="38" t="s">
        <v>1217</v>
      </c>
      <c r="D57" s="39">
        <v>20</v>
      </c>
      <c r="E57" s="40">
        <f>IFERROR(VLOOKUP(DType[ID-Modul],Modul[],15,FALSE),"unbekannt")</f>
        <v>4</v>
      </c>
      <c r="F57" s="38" t="s">
        <v>1158</v>
      </c>
      <c r="G57" s="41" t="s">
        <v>2502</v>
      </c>
      <c r="H57" s="38" t="s">
        <v>3613</v>
      </c>
      <c r="I57" s="38" t="str">
        <f>IFERROR(VLOOKUP(DType[[#This Row],[IFC-Type]],DType[[IFC-Name]:[IFC-Type]],4,FALSE),DType[[#This Row],[IFC-Type]])</f>
        <v>REAL</v>
      </c>
      <c r="J57" s="42" t="str">
        <f>"Public Function New_"&amp;DType[[#This Row],[IFC-Name]]&amp;"() As exp"&amp;DType[[#This Row],[Grundtype]]&amp;CHAR(13)&amp;"  Set New_"&amp;DType[[#This Row],[IFC-Name]]&amp;" = ExpressSimpleTypes.New_"&amp;DType[[#This Row],[Grundtype]]&amp;CHAR(13)&amp;"End Function" &amp; CHAR(13) &amp; CHAR(13)</f>
        <v>Public Function New_IfcMagneticFluxMeasure() As expREAL_x000D_  Set New_IfcMagneticFluxMeasure = ExpressSimpleTypes.New_REAL_x000D_End Function_x000D__x000D_</v>
      </c>
      <c r="K57" s="37" t="str">
        <f xml:space="preserve"> "  Set TestVar = New_"&amp;DType[[#This Row],[IFC-Name]]</f>
        <v xml:space="preserve">  Set TestVar = New_IfcMagneticFluxMeasure</v>
      </c>
      <c r="L57" s="1" t="b">
        <v>1</v>
      </c>
      <c r="M57" s="1" t="b">
        <v>1</v>
      </c>
    </row>
    <row r="58" spans="2:13" ht="20.100000000000001" customHeight="1" x14ac:dyDescent="0.25">
      <c r="B58" s="7" t="e">
        <f>IF(DType[[#This Row],[Link]]="","",HYPERLINK(HTML_Doku&amp;DType[[#This Row],[Link]],"Doku"))</f>
        <v>#NAME?</v>
      </c>
      <c r="C58" s="38" t="s">
        <v>1218</v>
      </c>
      <c r="D58" s="39">
        <v>20</v>
      </c>
      <c r="E58" s="40">
        <f>IFERROR(VLOOKUP(DType[ID-Modul],Modul[],15,FALSE),"unbekannt")</f>
        <v>4</v>
      </c>
      <c r="F58" s="38" t="s">
        <v>1158</v>
      </c>
      <c r="G58" s="41" t="s">
        <v>2503</v>
      </c>
      <c r="H58" s="38" t="s">
        <v>3614</v>
      </c>
      <c r="I58" s="38" t="str">
        <f>IFERROR(VLOOKUP(DType[[#This Row],[IFC-Type]],DType[[IFC-Name]:[IFC-Type]],4,FALSE),DType[[#This Row],[IFC-Type]])</f>
        <v>REAL</v>
      </c>
      <c r="J58" s="42" t="str">
        <f>"Public Function New_"&amp;DType[[#This Row],[IFC-Name]]&amp;"() As exp"&amp;DType[[#This Row],[Grundtype]]&amp;CHAR(13)&amp;"  Set New_"&amp;DType[[#This Row],[IFC-Name]]&amp;" = ExpressSimpleTypes.New_"&amp;DType[[#This Row],[Grundtype]]&amp;CHAR(13)&amp;"End Function" &amp; CHAR(13) &amp; CHAR(13)</f>
        <v>Public Function New_IfcMassDensityMeasure() As expREAL_x000D_  Set New_IfcMassDensityMeasure = ExpressSimpleTypes.New_REAL_x000D_End Function_x000D__x000D_</v>
      </c>
      <c r="K58" s="37" t="str">
        <f xml:space="preserve"> "  Set TestVar = New_"&amp;DType[[#This Row],[IFC-Name]]</f>
        <v xml:space="preserve">  Set TestVar = New_IfcMassDensityMeasure</v>
      </c>
      <c r="L58" s="1" t="b">
        <v>1</v>
      </c>
      <c r="M58" s="1" t="b">
        <v>1</v>
      </c>
    </row>
    <row r="59" spans="2:13" ht="20.100000000000001" customHeight="1" x14ac:dyDescent="0.25">
      <c r="B59" s="7" t="e">
        <f>IF(DType[[#This Row],[Link]]="","",HYPERLINK(HTML_Doku&amp;DType[[#This Row],[Link]],"Doku"))</f>
        <v>#NAME?</v>
      </c>
      <c r="C59" s="38" t="s">
        <v>1219</v>
      </c>
      <c r="D59" s="39">
        <v>20</v>
      </c>
      <c r="E59" s="40">
        <f>IFERROR(VLOOKUP(DType[ID-Modul],Modul[],15,FALSE),"unbekannt")</f>
        <v>4</v>
      </c>
      <c r="F59" s="38" t="s">
        <v>1158</v>
      </c>
      <c r="G59" s="41" t="s">
        <v>2504</v>
      </c>
      <c r="H59" s="38" t="s">
        <v>3615</v>
      </c>
      <c r="I59" s="38" t="str">
        <f>IFERROR(VLOOKUP(DType[[#This Row],[IFC-Type]],DType[[IFC-Name]:[IFC-Type]],4,FALSE),DType[[#This Row],[IFC-Type]])</f>
        <v>REAL</v>
      </c>
      <c r="J59" s="42" t="str">
        <f>"Public Function New_"&amp;DType[[#This Row],[IFC-Name]]&amp;"() As exp"&amp;DType[[#This Row],[Grundtype]]&amp;CHAR(13)&amp;"  Set New_"&amp;DType[[#This Row],[IFC-Name]]&amp;" = ExpressSimpleTypes.New_"&amp;DType[[#This Row],[Grundtype]]&amp;CHAR(13)&amp;"End Function" &amp; CHAR(13) &amp; CHAR(13)</f>
        <v>Public Function New_IfcMassFlowRateMeasure() As expREAL_x000D_  Set New_IfcMassFlowRateMeasure = ExpressSimpleTypes.New_REAL_x000D_End Function_x000D__x000D_</v>
      </c>
      <c r="K59" s="37" t="str">
        <f xml:space="preserve"> "  Set TestVar = New_"&amp;DType[[#This Row],[IFC-Name]]</f>
        <v xml:space="preserve">  Set TestVar = New_IfcMassFlowRateMeasure</v>
      </c>
      <c r="L59" s="1" t="b">
        <v>1</v>
      </c>
      <c r="M59" s="1" t="b">
        <v>1</v>
      </c>
    </row>
    <row r="60" spans="2:13" ht="20.100000000000001" customHeight="1" x14ac:dyDescent="0.25">
      <c r="B60" s="7" t="e">
        <f>IF(DType[[#This Row],[Link]]="","",HYPERLINK(HTML_Doku&amp;DType[[#This Row],[Link]],"Doku"))</f>
        <v>#NAME?</v>
      </c>
      <c r="C60" s="38" t="s">
        <v>1220</v>
      </c>
      <c r="D60" s="39">
        <v>20</v>
      </c>
      <c r="E60" s="40">
        <f>IFERROR(VLOOKUP(DType[ID-Modul],Modul[],15,FALSE),"unbekannt")</f>
        <v>4</v>
      </c>
      <c r="F60" s="38" t="s">
        <v>1158</v>
      </c>
      <c r="G60" s="41" t="s">
        <v>2505</v>
      </c>
      <c r="H60" s="38" t="s">
        <v>3616</v>
      </c>
      <c r="I60" s="38" t="str">
        <f>IFERROR(VLOOKUP(DType[[#This Row],[IFC-Type]],DType[[IFC-Name]:[IFC-Type]],4,FALSE),DType[[#This Row],[IFC-Type]])</f>
        <v>REAL</v>
      </c>
      <c r="J60" s="42" t="str">
        <f>"Public Function New_"&amp;DType[[#This Row],[IFC-Name]]&amp;"() As exp"&amp;DType[[#This Row],[Grundtype]]&amp;CHAR(13)&amp;"  Set New_"&amp;DType[[#This Row],[IFC-Name]]&amp;" = ExpressSimpleTypes.New_"&amp;DType[[#This Row],[Grundtype]]&amp;CHAR(13)&amp;"End Function" &amp; CHAR(13) &amp; CHAR(13)</f>
        <v>Public Function New_IfcMassMeasure() As expREAL_x000D_  Set New_IfcMassMeasure = ExpressSimpleTypes.New_REAL_x000D_End Function_x000D__x000D_</v>
      </c>
      <c r="K60" s="37" t="str">
        <f xml:space="preserve"> "  Set TestVar = New_"&amp;DType[[#This Row],[IFC-Name]]</f>
        <v xml:space="preserve">  Set TestVar = New_IfcMassMeasure</v>
      </c>
      <c r="L60" s="1" t="b">
        <v>1</v>
      </c>
      <c r="M60" s="1" t="b">
        <v>1</v>
      </c>
    </row>
    <row r="61" spans="2:13" ht="20.100000000000001" customHeight="1" x14ac:dyDescent="0.25">
      <c r="B61" s="7" t="e">
        <f>IF(DType[[#This Row],[Link]]="","",HYPERLINK(HTML_Doku&amp;DType[[#This Row],[Link]],"Doku"))</f>
        <v>#NAME?</v>
      </c>
      <c r="C61" s="38" t="s">
        <v>1221</v>
      </c>
      <c r="D61" s="39">
        <v>20</v>
      </c>
      <c r="E61" s="40">
        <f>IFERROR(VLOOKUP(DType[ID-Modul],Modul[],15,FALSE),"unbekannt")</f>
        <v>4</v>
      </c>
      <c r="F61" s="38" t="s">
        <v>1158</v>
      </c>
      <c r="G61" s="41" t="s">
        <v>2506</v>
      </c>
      <c r="H61" s="38" t="s">
        <v>3617</v>
      </c>
      <c r="I61" s="38" t="str">
        <f>IFERROR(VLOOKUP(DType[[#This Row],[IFC-Type]],DType[[IFC-Name]:[IFC-Type]],4,FALSE),DType[[#This Row],[IFC-Type]])</f>
        <v>REAL</v>
      </c>
      <c r="J61" s="42" t="str">
        <f>"Public Function New_"&amp;DType[[#This Row],[IFC-Name]]&amp;"() As exp"&amp;DType[[#This Row],[Grundtype]]&amp;CHAR(13)&amp;"  Set New_"&amp;DType[[#This Row],[IFC-Name]]&amp;" = ExpressSimpleTypes.New_"&amp;DType[[#This Row],[Grundtype]]&amp;CHAR(13)&amp;"End Function" &amp; CHAR(13) &amp; CHAR(13)</f>
        <v>Public Function New_IfcMassPerLengthMeasure() As expREAL_x000D_  Set New_IfcMassPerLengthMeasure = ExpressSimpleTypes.New_REAL_x000D_End Function_x000D__x000D_</v>
      </c>
      <c r="K61" s="37" t="str">
        <f xml:space="preserve"> "  Set TestVar = New_"&amp;DType[[#This Row],[IFC-Name]]</f>
        <v xml:space="preserve">  Set TestVar = New_IfcMassPerLengthMeasure</v>
      </c>
      <c r="L61" s="1" t="b">
        <v>1</v>
      </c>
      <c r="M61" s="1" t="b">
        <v>1</v>
      </c>
    </row>
    <row r="62" spans="2:13" ht="20.100000000000001" customHeight="1" x14ac:dyDescent="0.25">
      <c r="B62" s="7" t="e">
        <f>IF(DType[[#This Row],[Link]]="","",HYPERLINK(HTML_Doku&amp;DType[[#This Row],[Link]],"Doku"))</f>
        <v>#NAME?</v>
      </c>
      <c r="C62" s="38" t="s">
        <v>1222</v>
      </c>
      <c r="D62" s="39">
        <v>9</v>
      </c>
      <c r="E62" s="40">
        <f>IFERROR(VLOOKUP(DType[ID-Modul],Modul[],15,FALSE),"unbekannt")</f>
        <v>3</v>
      </c>
      <c r="F62" s="38" t="s">
        <v>1175</v>
      </c>
      <c r="G62" s="41" t="s">
        <v>2507</v>
      </c>
      <c r="H62" s="38" t="s">
        <v>3618</v>
      </c>
      <c r="I62" s="38" t="str">
        <f>IFERROR(VLOOKUP(DType[[#This Row],[IFC-Type]],DType[[IFC-Name]:[IFC-Type]],4,FALSE),DType[[#This Row],[IFC-Type]])</f>
        <v>INTEGER</v>
      </c>
      <c r="J62" s="42" t="str">
        <f>"Public Function New_"&amp;DType[[#This Row],[IFC-Name]]&amp;"() As exp"&amp;DType[[#This Row],[Grundtype]]&amp;CHAR(13)&amp;"  Set New_"&amp;DType[[#This Row],[IFC-Name]]&amp;" = ExpressSimpleTypes.New_"&amp;DType[[#This Row],[Grundtype]]&amp;CHAR(13)&amp;"End Function" &amp; CHAR(13) &amp; CHAR(13)</f>
        <v>Public Function New_IfcMinuteInHour() As expINTEGER_x000D_  Set New_IfcMinuteInHour = ExpressSimpleTypes.New_INTEGER_x000D_End Function_x000D__x000D_</v>
      </c>
      <c r="K62" s="37" t="str">
        <f xml:space="preserve"> "  Set TestVar = New_"&amp;DType[[#This Row],[IFC-Name]]</f>
        <v xml:space="preserve">  Set TestVar = New_IfcMinuteInHour</v>
      </c>
      <c r="L62" s="1" t="b">
        <v>1</v>
      </c>
      <c r="M62" s="1" t="b">
        <v>1</v>
      </c>
    </row>
    <row r="63" spans="2:13" ht="20.100000000000001" customHeight="1" x14ac:dyDescent="0.25">
      <c r="B63" s="7" t="e">
        <f>IF(DType[[#This Row],[Link]]="","",HYPERLINK(HTML_Doku&amp;DType[[#This Row],[Link]],"Doku"))</f>
        <v>#NAME?</v>
      </c>
      <c r="C63" s="38" t="s">
        <v>1223</v>
      </c>
      <c r="D63" s="39">
        <v>20</v>
      </c>
      <c r="E63" s="40">
        <f>IFERROR(VLOOKUP(DType[ID-Modul],Modul[],15,FALSE),"unbekannt")</f>
        <v>4</v>
      </c>
      <c r="F63" s="38" t="s">
        <v>1158</v>
      </c>
      <c r="G63" s="41" t="s">
        <v>2508</v>
      </c>
      <c r="H63" s="38" t="s">
        <v>3619</v>
      </c>
      <c r="I63" s="38" t="str">
        <f>IFERROR(VLOOKUP(DType[[#This Row],[IFC-Type]],DType[[IFC-Name]:[IFC-Type]],4,FALSE),DType[[#This Row],[IFC-Type]])</f>
        <v>REAL</v>
      </c>
      <c r="J63" s="42" t="str">
        <f>"Public Function New_"&amp;DType[[#This Row],[IFC-Name]]&amp;"() As exp"&amp;DType[[#This Row],[Grundtype]]&amp;CHAR(13)&amp;"  Set New_"&amp;DType[[#This Row],[IFC-Name]]&amp;" = ExpressSimpleTypes.New_"&amp;DType[[#This Row],[Grundtype]]&amp;CHAR(13)&amp;"End Function" &amp; CHAR(13) &amp; CHAR(13)</f>
        <v>Public Function New_IfcModulusOfElasticityMeasure() As expREAL_x000D_  Set New_IfcModulusOfElasticityMeasure = ExpressSimpleTypes.New_REAL_x000D_End Function_x000D__x000D_</v>
      </c>
      <c r="K63" s="37" t="str">
        <f xml:space="preserve"> "  Set TestVar = New_"&amp;DType[[#This Row],[IFC-Name]]</f>
        <v xml:space="preserve">  Set TestVar = New_IfcModulusOfElasticityMeasure</v>
      </c>
      <c r="L63" s="1" t="b">
        <v>1</v>
      </c>
      <c r="M63" s="1" t="b">
        <v>1</v>
      </c>
    </row>
    <row r="64" spans="2:13" ht="20.100000000000001" customHeight="1" x14ac:dyDescent="0.25">
      <c r="B64" s="7" t="e">
        <f>IF(DType[[#This Row],[Link]]="","",HYPERLINK(HTML_Doku&amp;DType[[#This Row],[Link]],"Doku"))</f>
        <v>#NAME?</v>
      </c>
      <c r="C64" s="38" t="s">
        <v>1224</v>
      </c>
      <c r="D64" s="39">
        <v>20</v>
      </c>
      <c r="E64" s="40">
        <f>IFERROR(VLOOKUP(DType[ID-Modul],Modul[],15,FALSE),"unbekannt")</f>
        <v>4</v>
      </c>
      <c r="F64" s="38" t="s">
        <v>1158</v>
      </c>
      <c r="G64" s="41" t="s">
        <v>2509</v>
      </c>
      <c r="H64" s="38" t="s">
        <v>3620</v>
      </c>
      <c r="I64" s="38" t="str">
        <f>IFERROR(VLOOKUP(DType[[#This Row],[IFC-Type]],DType[[IFC-Name]:[IFC-Type]],4,FALSE),DType[[#This Row],[IFC-Type]])</f>
        <v>REAL</v>
      </c>
      <c r="J64" s="42" t="str">
        <f>"Public Function New_"&amp;DType[[#This Row],[IFC-Name]]&amp;"() As exp"&amp;DType[[#This Row],[Grundtype]]&amp;CHAR(13)&amp;"  Set New_"&amp;DType[[#This Row],[IFC-Name]]&amp;" = ExpressSimpleTypes.New_"&amp;DType[[#This Row],[Grundtype]]&amp;CHAR(13)&amp;"End Function" &amp; CHAR(13) &amp; CHAR(13)</f>
        <v>Public Function New_IfcModulusOfLinearSubgradeReactionMeasure() As expREAL_x000D_  Set New_IfcModulusOfLinearSubgradeReactionMeasure = ExpressSimpleTypes.New_REAL_x000D_End Function_x000D__x000D_</v>
      </c>
      <c r="K64" s="37" t="str">
        <f xml:space="preserve"> "  Set TestVar = New_"&amp;DType[[#This Row],[IFC-Name]]</f>
        <v xml:space="preserve">  Set TestVar = New_IfcModulusOfLinearSubgradeReactionMeasure</v>
      </c>
      <c r="L64" s="1" t="b">
        <v>1</v>
      </c>
      <c r="M64" s="1" t="b">
        <v>1</v>
      </c>
    </row>
    <row r="65" spans="2:13" ht="20.100000000000001" customHeight="1" x14ac:dyDescent="0.25">
      <c r="B65" s="7" t="e">
        <f>IF(DType[[#This Row],[Link]]="","",HYPERLINK(HTML_Doku&amp;DType[[#This Row],[Link]],"Doku"))</f>
        <v>#NAME?</v>
      </c>
      <c r="C65" s="38" t="s">
        <v>1225</v>
      </c>
      <c r="D65" s="39">
        <v>20</v>
      </c>
      <c r="E65" s="40">
        <f>IFERROR(VLOOKUP(DType[ID-Modul],Modul[],15,FALSE),"unbekannt")</f>
        <v>4</v>
      </c>
      <c r="F65" s="38" t="s">
        <v>1158</v>
      </c>
      <c r="G65" s="41" t="s">
        <v>2510</v>
      </c>
      <c r="H65" s="38" t="s">
        <v>3621</v>
      </c>
      <c r="I65" s="38" t="str">
        <f>IFERROR(VLOOKUP(DType[[#This Row],[IFC-Type]],DType[[IFC-Name]:[IFC-Type]],4,FALSE),DType[[#This Row],[IFC-Type]])</f>
        <v>REAL</v>
      </c>
      <c r="J65" s="42" t="str">
        <f>"Public Function New_"&amp;DType[[#This Row],[IFC-Name]]&amp;"() As exp"&amp;DType[[#This Row],[Grundtype]]&amp;CHAR(13)&amp;"  Set New_"&amp;DType[[#This Row],[IFC-Name]]&amp;" = ExpressSimpleTypes.New_"&amp;DType[[#This Row],[Grundtype]]&amp;CHAR(13)&amp;"End Function" &amp; CHAR(13) &amp; CHAR(13)</f>
        <v>Public Function New_IfcModulusOfRotationalSubgradeReactionMeasure() As expREAL_x000D_  Set New_IfcModulusOfRotationalSubgradeReactionMeasure = ExpressSimpleTypes.New_REAL_x000D_End Function_x000D__x000D_</v>
      </c>
      <c r="K65" s="37" t="str">
        <f xml:space="preserve"> "  Set TestVar = New_"&amp;DType[[#This Row],[IFC-Name]]</f>
        <v xml:space="preserve">  Set TestVar = New_IfcModulusOfRotationalSubgradeReactionMeasure</v>
      </c>
      <c r="L65" s="1" t="b">
        <v>1</v>
      </c>
      <c r="M65" s="1" t="b">
        <v>1</v>
      </c>
    </row>
    <row r="66" spans="2:13" ht="20.100000000000001" customHeight="1" x14ac:dyDescent="0.25">
      <c r="B66" s="7" t="e">
        <f>IF(DType[[#This Row],[Link]]="","",HYPERLINK(HTML_Doku&amp;DType[[#This Row],[Link]],"Doku"))</f>
        <v>#NAME?</v>
      </c>
      <c r="C66" s="38" t="s">
        <v>1226</v>
      </c>
      <c r="D66" s="39">
        <v>20</v>
      </c>
      <c r="E66" s="40">
        <f>IFERROR(VLOOKUP(DType[ID-Modul],Modul[],15,FALSE),"unbekannt")</f>
        <v>4</v>
      </c>
      <c r="F66" s="38" t="s">
        <v>1158</v>
      </c>
      <c r="G66" s="41" t="s">
        <v>2511</v>
      </c>
      <c r="H66" s="38" t="s">
        <v>3622</v>
      </c>
      <c r="I66" s="38" t="str">
        <f>IFERROR(VLOOKUP(DType[[#This Row],[IFC-Type]],DType[[IFC-Name]:[IFC-Type]],4,FALSE),DType[[#This Row],[IFC-Type]])</f>
        <v>REAL</v>
      </c>
      <c r="J66" s="42" t="str">
        <f>"Public Function New_"&amp;DType[[#This Row],[IFC-Name]]&amp;"() As exp"&amp;DType[[#This Row],[Grundtype]]&amp;CHAR(13)&amp;"  Set New_"&amp;DType[[#This Row],[IFC-Name]]&amp;" = ExpressSimpleTypes.New_"&amp;DType[[#This Row],[Grundtype]]&amp;CHAR(13)&amp;"End Function" &amp; CHAR(13) &amp; CHAR(13)</f>
        <v>Public Function New_IfcModulusOfSubgradeReactionMeasure() As expREAL_x000D_  Set New_IfcModulusOfSubgradeReactionMeasure = ExpressSimpleTypes.New_REAL_x000D_End Function_x000D__x000D_</v>
      </c>
      <c r="K66" s="37" t="str">
        <f xml:space="preserve"> "  Set TestVar = New_"&amp;DType[[#This Row],[IFC-Name]]</f>
        <v xml:space="preserve">  Set TestVar = New_IfcModulusOfSubgradeReactionMeasure</v>
      </c>
      <c r="L66" s="1" t="b">
        <v>1</v>
      </c>
      <c r="M66" s="1" t="b">
        <v>1</v>
      </c>
    </row>
    <row r="67" spans="2:13" ht="20.100000000000001" customHeight="1" x14ac:dyDescent="0.25">
      <c r="B67" s="7" t="e">
        <f>IF(DType[[#This Row],[Link]]="","",HYPERLINK(HTML_Doku&amp;DType[[#This Row],[Link]],"Doku"))</f>
        <v>#NAME?</v>
      </c>
      <c r="C67" s="38" t="s">
        <v>1227</v>
      </c>
      <c r="D67" s="39">
        <v>20</v>
      </c>
      <c r="E67" s="40">
        <f>IFERROR(VLOOKUP(DType[ID-Modul],Modul[],15,FALSE),"unbekannt")</f>
        <v>4</v>
      </c>
      <c r="F67" s="38" t="s">
        <v>1158</v>
      </c>
      <c r="G67" s="41" t="s">
        <v>2512</v>
      </c>
      <c r="H67" s="38" t="s">
        <v>3623</v>
      </c>
      <c r="I67" s="38" t="str">
        <f>IFERROR(VLOOKUP(DType[[#This Row],[IFC-Type]],DType[[IFC-Name]:[IFC-Type]],4,FALSE),DType[[#This Row],[IFC-Type]])</f>
        <v>REAL</v>
      </c>
      <c r="J67" s="42" t="str">
        <f>"Public Function New_"&amp;DType[[#This Row],[IFC-Name]]&amp;"() As exp"&amp;DType[[#This Row],[Grundtype]]&amp;CHAR(13)&amp;"  Set New_"&amp;DType[[#This Row],[IFC-Name]]&amp;" = ExpressSimpleTypes.New_"&amp;DType[[#This Row],[Grundtype]]&amp;CHAR(13)&amp;"End Function" &amp; CHAR(13) &amp; CHAR(13)</f>
        <v>Public Function New_IfcMoistureDiffusivityMeasure() As expREAL_x000D_  Set New_IfcMoistureDiffusivityMeasure = ExpressSimpleTypes.New_REAL_x000D_End Function_x000D__x000D_</v>
      </c>
      <c r="K67" s="37" t="str">
        <f xml:space="preserve"> "  Set TestVar = New_"&amp;DType[[#This Row],[IFC-Name]]</f>
        <v xml:space="preserve">  Set TestVar = New_IfcMoistureDiffusivityMeasure</v>
      </c>
      <c r="L67" s="1" t="b">
        <v>1</v>
      </c>
      <c r="M67" s="1" t="b">
        <v>1</v>
      </c>
    </row>
    <row r="68" spans="2:13" ht="20.100000000000001" customHeight="1" x14ac:dyDescent="0.25">
      <c r="B68" s="7" t="e">
        <f>IF(DType[[#This Row],[Link]]="","",HYPERLINK(HTML_Doku&amp;DType[[#This Row],[Link]],"Doku"))</f>
        <v>#NAME?</v>
      </c>
      <c r="C68" s="38" t="s">
        <v>1228</v>
      </c>
      <c r="D68" s="39">
        <v>20</v>
      </c>
      <c r="E68" s="40">
        <f>IFERROR(VLOOKUP(DType[ID-Modul],Modul[],15,FALSE),"unbekannt")</f>
        <v>4</v>
      </c>
      <c r="F68" s="38" t="s">
        <v>1158</v>
      </c>
      <c r="G68" s="41" t="s">
        <v>2513</v>
      </c>
      <c r="H68" s="38" t="s">
        <v>3624</v>
      </c>
      <c r="I68" s="38" t="str">
        <f>IFERROR(VLOOKUP(DType[[#This Row],[IFC-Type]],DType[[IFC-Name]:[IFC-Type]],4,FALSE),DType[[#This Row],[IFC-Type]])</f>
        <v>REAL</v>
      </c>
      <c r="J68" s="42" t="str">
        <f>"Public Function New_"&amp;DType[[#This Row],[IFC-Name]]&amp;"() As exp"&amp;DType[[#This Row],[Grundtype]]&amp;CHAR(13)&amp;"  Set New_"&amp;DType[[#This Row],[IFC-Name]]&amp;" = ExpressSimpleTypes.New_"&amp;DType[[#This Row],[Grundtype]]&amp;CHAR(13)&amp;"End Function" &amp; CHAR(13) &amp; CHAR(13)</f>
        <v>Public Function New_IfcMolecularWeightMeasure() As expREAL_x000D_  Set New_IfcMolecularWeightMeasure = ExpressSimpleTypes.New_REAL_x000D_End Function_x000D__x000D_</v>
      </c>
      <c r="K68" s="37" t="str">
        <f xml:space="preserve"> "  Set TestVar = New_"&amp;DType[[#This Row],[IFC-Name]]</f>
        <v xml:space="preserve">  Set TestVar = New_IfcMolecularWeightMeasure</v>
      </c>
      <c r="L68" s="1" t="b">
        <v>1</v>
      </c>
      <c r="M68" s="1" t="b">
        <v>1</v>
      </c>
    </row>
    <row r="69" spans="2:13" ht="20.100000000000001" customHeight="1" x14ac:dyDescent="0.25">
      <c r="B69" s="7" t="e">
        <f>IF(DType[[#This Row],[Link]]="","",HYPERLINK(HTML_Doku&amp;DType[[#This Row],[Link]],"Doku"))</f>
        <v>#NAME?</v>
      </c>
      <c r="C69" s="38" t="s">
        <v>1229</v>
      </c>
      <c r="D69" s="39">
        <v>20</v>
      </c>
      <c r="E69" s="40">
        <f>IFERROR(VLOOKUP(DType[ID-Modul],Modul[],15,FALSE),"unbekannt")</f>
        <v>4</v>
      </c>
      <c r="F69" s="38" t="s">
        <v>1158</v>
      </c>
      <c r="G69" s="41" t="s">
        <v>2514</v>
      </c>
      <c r="H69" s="38" t="s">
        <v>3625</v>
      </c>
      <c r="I69" s="38" t="str">
        <f>IFERROR(VLOOKUP(DType[[#This Row],[IFC-Type]],DType[[IFC-Name]:[IFC-Type]],4,FALSE),DType[[#This Row],[IFC-Type]])</f>
        <v>REAL</v>
      </c>
      <c r="J69" s="42" t="str">
        <f>"Public Function New_"&amp;DType[[#This Row],[IFC-Name]]&amp;"() As exp"&amp;DType[[#This Row],[Grundtype]]&amp;CHAR(13)&amp;"  Set New_"&amp;DType[[#This Row],[IFC-Name]]&amp;" = ExpressSimpleTypes.New_"&amp;DType[[#This Row],[Grundtype]]&amp;CHAR(13)&amp;"End Function" &amp; CHAR(13) &amp; CHAR(13)</f>
        <v>Public Function New_IfcMomentOfInertiaMeasure() As expREAL_x000D_  Set New_IfcMomentOfInertiaMeasure = ExpressSimpleTypes.New_REAL_x000D_End Function_x000D__x000D_</v>
      </c>
      <c r="K69" s="37" t="str">
        <f xml:space="preserve"> "  Set TestVar = New_"&amp;DType[[#This Row],[IFC-Name]]</f>
        <v xml:space="preserve">  Set TestVar = New_IfcMomentOfInertiaMeasure</v>
      </c>
      <c r="L69" s="1" t="b">
        <v>1</v>
      </c>
      <c r="M69" s="1" t="b">
        <v>1</v>
      </c>
    </row>
    <row r="70" spans="2:13" ht="20.100000000000001" customHeight="1" x14ac:dyDescent="0.25">
      <c r="B70" s="7" t="e">
        <f>IF(DType[[#This Row],[Link]]="","",HYPERLINK(HTML_Doku&amp;DType[[#This Row],[Link]],"Doku"))</f>
        <v>#NAME?</v>
      </c>
      <c r="C70" s="38" t="s">
        <v>1230</v>
      </c>
      <c r="D70" s="39">
        <v>20</v>
      </c>
      <c r="E70" s="40">
        <f>IFERROR(VLOOKUP(DType[ID-Modul],Modul[],15,FALSE),"unbekannt")</f>
        <v>4</v>
      </c>
      <c r="F70" s="38" t="s">
        <v>1158</v>
      </c>
      <c r="G70" s="41" t="s">
        <v>2515</v>
      </c>
      <c r="H70" s="38" t="s">
        <v>3626</v>
      </c>
      <c r="I70" s="38" t="str">
        <f>IFERROR(VLOOKUP(DType[[#This Row],[IFC-Type]],DType[[IFC-Name]:[IFC-Type]],4,FALSE),DType[[#This Row],[IFC-Type]])</f>
        <v>REAL</v>
      </c>
      <c r="J70" s="42" t="str">
        <f>"Public Function New_"&amp;DType[[#This Row],[IFC-Name]]&amp;"() As exp"&amp;DType[[#This Row],[Grundtype]]&amp;CHAR(13)&amp;"  Set New_"&amp;DType[[#This Row],[IFC-Name]]&amp;" = ExpressSimpleTypes.New_"&amp;DType[[#This Row],[Grundtype]]&amp;CHAR(13)&amp;"End Function" &amp; CHAR(13) &amp; CHAR(13)</f>
        <v>Public Function New_IfcMonetaryMeasure() As expREAL_x000D_  Set New_IfcMonetaryMeasure = ExpressSimpleTypes.New_REAL_x000D_End Function_x000D__x000D_</v>
      </c>
      <c r="K70" s="37" t="str">
        <f xml:space="preserve"> "  Set TestVar = New_"&amp;DType[[#This Row],[IFC-Name]]</f>
        <v xml:space="preserve">  Set TestVar = New_IfcMonetaryMeasure</v>
      </c>
      <c r="L70" s="1" t="b">
        <v>1</v>
      </c>
      <c r="M70" s="1" t="b">
        <v>1</v>
      </c>
    </row>
    <row r="71" spans="2:13" ht="20.100000000000001" customHeight="1" x14ac:dyDescent="0.25">
      <c r="B71" s="7" t="e">
        <f>IF(DType[[#This Row],[Link]]="","",HYPERLINK(HTML_Doku&amp;DType[[#This Row],[Link]],"Doku"))</f>
        <v>#NAME?</v>
      </c>
      <c r="C71" s="38" t="s">
        <v>1231</v>
      </c>
      <c r="D71" s="39">
        <v>9</v>
      </c>
      <c r="E71" s="40">
        <f>IFERROR(VLOOKUP(DType[ID-Modul],Modul[],15,FALSE),"unbekannt")</f>
        <v>3</v>
      </c>
      <c r="F71" s="38" t="s">
        <v>1175</v>
      </c>
      <c r="G71" s="41" t="s">
        <v>2516</v>
      </c>
      <c r="H71" s="38" t="s">
        <v>3627</v>
      </c>
      <c r="I71" s="38" t="str">
        <f>IFERROR(VLOOKUP(DType[[#This Row],[IFC-Type]],DType[[IFC-Name]:[IFC-Type]],4,FALSE),DType[[#This Row],[IFC-Type]])</f>
        <v>INTEGER</v>
      </c>
      <c r="J71" s="42" t="str">
        <f>"Public Function New_"&amp;DType[[#This Row],[IFC-Name]]&amp;"() As exp"&amp;DType[[#This Row],[Grundtype]]&amp;CHAR(13)&amp;"  Set New_"&amp;DType[[#This Row],[IFC-Name]]&amp;" = ExpressSimpleTypes.New_"&amp;DType[[#This Row],[Grundtype]]&amp;CHAR(13)&amp;"End Function" &amp; CHAR(13) &amp; CHAR(13)</f>
        <v>Public Function New_IfcMonthInYearNumber() As expINTEGER_x000D_  Set New_IfcMonthInYearNumber = ExpressSimpleTypes.New_INTEGER_x000D_End Function_x000D__x000D_</v>
      </c>
      <c r="K71" s="37" t="str">
        <f xml:space="preserve"> "  Set TestVar = New_"&amp;DType[[#This Row],[IFC-Name]]</f>
        <v xml:space="preserve">  Set TestVar = New_IfcMonthInYearNumber</v>
      </c>
      <c r="L71" s="1" t="b">
        <v>1</v>
      </c>
      <c r="M71" s="1" t="b">
        <v>1</v>
      </c>
    </row>
    <row r="72" spans="2:13" ht="20.100000000000001" customHeight="1" x14ac:dyDescent="0.25">
      <c r="B72" s="7" t="e">
        <f>IF(DType[[#This Row],[Link]]="","",HYPERLINK(HTML_Doku&amp;DType[[#This Row],[Link]],"Doku"))</f>
        <v>#NAME?</v>
      </c>
      <c r="C72" s="38" t="s">
        <v>1232</v>
      </c>
      <c r="D72" s="39">
        <v>20</v>
      </c>
      <c r="E72" s="40">
        <f>IFERROR(VLOOKUP(DType[ID-Modul],Modul[],15,FALSE),"unbekannt")</f>
        <v>4</v>
      </c>
      <c r="F72" s="38" t="s">
        <v>1233</v>
      </c>
      <c r="G72" s="41" t="s">
        <v>2517</v>
      </c>
      <c r="H72" s="38" t="s">
        <v>3628</v>
      </c>
      <c r="I72" s="38" t="str">
        <f>IFERROR(VLOOKUP(DType[[#This Row],[IFC-Type]],DType[[IFC-Name]:[IFC-Type]],4,FALSE),DType[[#This Row],[IFC-Type]])</f>
        <v>REAL</v>
      </c>
      <c r="J72" s="42" t="str">
        <f>"Public Function New_"&amp;DType[[#This Row],[IFC-Name]]&amp;"() As exp"&amp;DType[[#This Row],[Grundtype]]&amp;CHAR(13)&amp;"  Set New_"&amp;DType[[#This Row],[IFC-Name]]&amp;" = ExpressSimpleTypes.New_"&amp;DType[[#This Row],[Grundtype]]&amp;CHAR(13)&amp;"End Function" &amp; CHAR(13) &amp; CHAR(13)</f>
        <v>Public Function New_IfcNormalisedRatioMeasure() As expREAL_x000D_  Set New_IfcNormalisedRatioMeasure = ExpressSimpleTypes.New_REAL_x000D_End Function_x000D__x000D_</v>
      </c>
      <c r="K72" s="37" t="str">
        <f xml:space="preserve"> "  Set TestVar = New_"&amp;DType[[#This Row],[IFC-Name]]</f>
        <v xml:space="preserve">  Set TestVar = New_IfcNormalisedRatioMeasure</v>
      </c>
      <c r="L72" s="1" t="b">
        <v>1</v>
      </c>
      <c r="M72" s="1" t="b">
        <v>1</v>
      </c>
    </row>
    <row r="73" spans="2:13" ht="20.100000000000001" customHeight="1" x14ac:dyDescent="0.25">
      <c r="B73" s="7" t="e">
        <f>IF(DType[[#This Row],[Link]]="","",HYPERLINK(HTML_Doku&amp;DType[[#This Row],[Link]],"Doku"))</f>
        <v>#NAME?</v>
      </c>
      <c r="C73" s="38" t="s">
        <v>1234</v>
      </c>
      <c r="D73" s="39">
        <v>20</v>
      </c>
      <c r="E73" s="40">
        <f>IFERROR(VLOOKUP(DType[ID-Modul],Modul[],15,FALSE),"unbekannt")</f>
        <v>4</v>
      </c>
      <c r="F73" s="38" t="s">
        <v>1172</v>
      </c>
      <c r="G73" s="41" t="s">
        <v>2518</v>
      </c>
      <c r="H73" s="38" t="s">
        <v>3629</v>
      </c>
      <c r="I73" s="38" t="str">
        <f>IFERROR(VLOOKUP(DType[[#This Row],[IFC-Type]],DType[[IFC-Name]:[IFC-Type]],4,FALSE),DType[[#This Row],[IFC-Type]])</f>
        <v>NUMBER</v>
      </c>
      <c r="J73" s="42" t="str">
        <f>"Public Function New_"&amp;DType[[#This Row],[IFC-Name]]&amp;"() As exp"&amp;DType[[#This Row],[Grundtype]]&amp;CHAR(13)&amp;"  Set New_"&amp;DType[[#This Row],[IFC-Name]]&amp;" = ExpressSimpleTypes.New_"&amp;DType[[#This Row],[Grundtype]]&amp;CHAR(13)&amp;"End Function" &amp; CHAR(13) &amp; CHAR(13)</f>
        <v>Public Function New_IfcNumericMeasure() As expNUMBER_x000D_  Set New_IfcNumericMeasure = ExpressSimpleTypes.New_NUMBER_x000D_End Function_x000D__x000D_</v>
      </c>
      <c r="K73" s="37" t="str">
        <f xml:space="preserve"> "  Set TestVar = New_"&amp;DType[[#This Row],[IFC-Name]]</f>
        <v xml:space="preserve">  Set TestVar = New_IfcNumericMeasure</v>
      </c>
      <c r="L73" s="1" t="b">
        <v>1</v>
      </c>
      <c r="M73" s="1" t="b">
        <v>1</v>
      </c>
    </row>
    <row r="74" spans="2:13" ht="20.100000000000001" customHeight="1" x14ac:dyDescent="0.25">
      <c r="B74" s="7" t="e">
        <f>IF(DType[[#This Row],[Link]]="","",HYPERLINK(HTML_Doku&amp;DType[[#This Row],[Link]],"Doku"))</f>
        <v>#NAME?</v>
      </c>
      <c r="C74" s="38" t="s">
        <v>1236</v>
      </c>
      <c r="D74" s="39">
        <v>20</v>
      </c>
      <c r="E74" s="40">
        <f>IFERROR(VLOOKUP(DType[ID-Modul],Modul[],15,FALSE),"unbekannt")</f>
        <v>4</v>
      </c>
      <c r="F74" s="38" t="s">
        <v>1158</v>
      </c>
      <c r="G74" s="41" t="s">
        <v>2520</v>
      </c>
      <c r="H74" s="38" t="s">
        <v>3630</v>
      </c>
      <c r="I74" s="38" t="str">
        <f>IFERROR(VLOOKUP(DType[[#This Row],[IFC-Type]],DType[[IFC-Name]:[IFC-Type]],4,FALSE),DType[[#This Row],[IFC-Type]])</f>
        <v>REAL</v>
      </c>
      <c r="J74" s="42" t="str">
        <f>"Public Function New_"&amp;DType[[#This Row],[IFC-Name]]&amp;"() As exp"&amp;DType[[#This Row],[Grundtype]]&amp;CHAR(13)&amp;"  Set New_"&amp;DType[[#This Row],[IFC-Name]]&amp;" = ExpressSimpleTypes.New_"&amp;DType[[#This Row],[Grundtype]]&amp;CHAR(13)&amp;"End Function" &amp; CHAR(13) &amp; CHAR(13)</f>
        <v>Public Function New_IfcParameterValue() As expREAL_x000D_  Set New_IfcParameterValue = ExpressSimpleTypes.New_REAL_x000D_End Function_x000D__x000D_</v>
      </c>
      <c r="K74" s="37" t="str">
        <f xml:space="preserve"> "  Set TestVar = New_"&amp;DType[[#This Row],[IFC-Name]]</f>
        <v xml:space="preserve">  Set TestVar = New_IfcParameterValue</v>
      </c>
      <c r="L74" s="1" t="b">
        <v>1</v>
      </c>
      <c r="M74" s="1" t="b">
        <v>1</v>
      </c>
    </row>
    <row r="75" spans="2:13" ht="20.100000000000001" customHeight="1" x14ac:dyDescent="0.25">
      <c r="B75" s="7" t="e">
        <f>IF(DType[[#This Row],[Link]]="","",HYPERLINK(HTML_Doku&amp;DType[[#This Row],[Link]],"Doku"))</f>
        <v>#NAME?</v>
      </c>
      <c r="C75" s="38" t="s">
        <v>1235</v>
      </c>
      <c r="D75" s="39">
        <v>20</v>
      </c>
      <c r="E75" s="40">
        <f>IFERROR(VLOOKUP(DType[ID-Modul],Modul[],15,FALSE),"unbekannt")</f>
        <v>4</v>
      </c>
      <c r="F75" s="38" t="s">
        <v>1158</v>
      </c>
      <c r="G75" s="41" t="s">
        <v>2519</v>
      </c>
      <c r="H75" s="38" t="s">
        <v>3631</v>
      </c>
      <c r="I75" s="38" t="str">
        <f>IFERROR(VLOOKUP(DType[[#This Row],[IFC-Type]],DType[[IFC-Name]:[IFC-Type]],4,FALSE),DType[[#This Row],[IFC-Type]])</f>
        <v>REAL</v>
      </c>
      <c r="J75" s="42" t="str">
        <f>"Public Function New_"&amp;DType[[#This Row],[IFC-Name]]&amp;"() As exp"&amp;DType[[#This Row],[Grundtype]]&amp;CHAR(13)&amp;"  Set New_"&amp;DType[[#This Row],[IFC-Name]]&amp;" = ExpressSimpleTypes.New_"&amp;DType[[#This Row],[Grundtype]]&amp;CHAR(13)&amp;"End Function" &amp; CHAR(13) &amp; CHAR(13)</f>
        <v>Public Function New_IfcPHMeasure() As expREAL_x000D_  Set New_IfcPHMeasure = ExpressSimpleTypes.New_REAL_x000D_End Function_x000D__x000D_</v>
      </c>
      <c r="K75" s="37" t="str">
        <f xml:space="preserve"> "  Set TestVar = New_"&amp;DType[[#This Row],[IFC-Name]]</f>
        <v xml:space="preserve">  Set TestVar = New_IfcPHMeasure</v>
      </c>
      <c r="L75" s="1" t="b">
        <v>1</v>
      </c>
      <c r="M75" s="1" t="b">
        <v>1</v>
      </c>
    </row>
    <row r="76" spans="2:13" ht="20.100000000000001" customHeight="1" x14ac:dyDescent="0.25">
      <c r="B76" s="7" t="e">
        <f>IF(DType[[#This Row],[Link]]="","",HYPERLINK(HTML_Doku&amp;DType[[#This Row],[Link]],"Doku"))</f>
        <v>#NAME?</v>
      </c>
      <c r="C76" s="38" t="s">
        <v>1237</v>
      </c>
      <c r="D76" s="39">
        <v>20</v>
      </c>
      <c r="E76" s="40">
        <f>IFERROR(VLOOKUP(DType[ID-Modul],Modul[],15,FALSE),"unbekannt")</f>
        <v>4</v>
      </c>
      <c r="F76" s="38" t="s">
        <v>1158</v>
      </c>
      <c r="G76" s="41" t="s">
        <v>2521</v>
      </c>
      <c r="H76" s="38" t="s">
        <v>3632</v>
      </c>
      <c r="I76" s="38" t="str">
        <f>IFERROR(VLOOKUP(DType[[#This Row],[IFC-Type]],DType[[IFC-Name]:[IFC-Type]],4,FALSE),DType[[#This Row],[IFC-Type]])</f>
        <v>REAL</v>
      </c>
      <c r="J76" s="42" t="str">
        <f>"Public Function New_"&amp;DType[[#This Row],[IFC-Name]]&amp;"() As exp"&amp;DType[[#This Row],[Grundtype]]&amp;CHAR(13)&amp;"  Set New_"&amp;DType[[#This Row],[IFC-Name]]&amp;" = ExpressSimpleTypes.New_"&amp;DType[[#This Row],[Grundtype]]&amp;CHAR(13)&amp;"End Function" &amp; CHAR(13) &amp; CHAR(13)</f>
        <v>Public Function New_IfcPlanarForceMeasure() As expREAL_x000D_  Set New_IfcPlanarForceMeasure = ExpressSimpleTypes.New_REAL_x000D_End Function_x000D__x000D_</v>
      </c>
      <c r="K76" s="37" t="str">
        <f xml:space="preserve"> "  Set TestVar = New_"&amp;DType[[#This Row],[IFC-Name]]</f>
        <v xml:space="preserve">  Set TestVar = New_IfcPlanarForceMeasure</v>
      </c>
      <c r="L76" s="1" t="b">
        <v>1</v>
      </c>
      <c r="M76" s="1" t="b">
        <v>1</v>
      </c>
    </row>
    <row r="77" spans="2:13" ht="20.100000000000001" customHeight="1" x14ac:dyDescent="0.25">
      <c r="B77" s="7" t="e">
        <f>IF(DType[[#This Row],[Link]]="","",HYPERLINK(HTML_Doku&amp;DType[[#This Row],[Link]],"Doku"))</f>
        <v>#NAME?</v>
      </c>
      <c r="C77" s="38" t="s">
        <v>1238</v>
      </c>
      <c r="D77" s="39">
        <v>20</v>
      </c>
      <c r="E77" s="40">
        <f>IFERROR(VLOOKUP(DType[ID-Modul],Modul[],15,FALSE),"unbekannt")</f>
        <v>4</v>
      </c>
      <c r="F77" s="38" t="s">
        <v>1158</v>
      </c>
      <c r="G77" s="41" t="s">
        <v>2522</v>
      </c>
      <c r="H77" s="38" t="s">
        <v>3633</v>
      </c>
      <c r="I77" s="38" t="str">
        <f>IFERROR(VLOOKUP(DType[[#This Row],[IFC-Type]],DType[[IFC-Name]:[IFC-Type]],4,FALSE),DType[[#This Row],[IFC-Type]])</f>
        <v>REAL</v>
      </c>
      <c r="J77" s="42" t="str">
        <f>"Public Function New_"&amp;DType[[#This Row],[IFC-Name]]&amp;"() As exp"&amp;DType[[#This Row],[Grundtype]]&amp;CHAR(13)&amp;"  Set New_"&amp;DType[[#This Row],[IFC-Name]]&amp;" = ExpressSimpleTypes.New_"&amp;DType[[#This Row],[Grundtype]]&amp;CHAR(13)&amp;"End Function" &amp; CHAR(13) &amp; CHAR(13)</f>
        <v>Public Function New_IfcPlaneAngleMeasure() As expREAL_x000D_  Set New_IfcPlaneAngleMeasure = ExpressSimpleTypes.New_REAL_x000D_End Function_x000D__x000D_</v>
      </c>
      <c r="K77" s="37" t="str">
        <f xml:space="preserve"> "  Set TestVar = New_"&amp;DType[[#This Row],[IFC-Name]]</f>
        <v xml:space="preserve">  Set TestVar = New_IfcPlaneAngleMeasure</v>
      </c>
      <c r="L77" s="1" t="b">
        <v>1</v>
      </c>
      <c r="M77" s="1" t="b">
        <v>1</v>
      </c>
    </row>
    <row r="78" spans="2:13" ht="20.100000000000001" customHeight="1" x14ac:dyDescent="0.25">
      <c r="B78" s="7" t="e">
        <f>IF(DType[[#This Row],[Link]]="","",HYPERLINK(HTML_Doku&amp;DType[[#This Row],[Link]],"Doku"))</f>
        <v>#NAME?</v>
      </c>
      <c r="C78" s="38" t="s">
        <v>1239</v>
      </c>
      <c r="D78" s="39">
        <v>20</v>
      </c>
      <c r="E78" s="40">
        <f>IFERROR(VLOOKUP(DType[ID-Modul],Modul[],15,FALSE),"unbekannt")</f>
        <v>4</v>
      </c>
      <c r="F78" s="38" t="s">
        <v>1206</v>
      </c>
      <c r="G78" s="41" t="s">
        <v>2523</v>
      </c>
      <c r="H78" s="38" t="s">
        <v>3634</v>
      </c>
      <c r="I78" s="38" t="str">
        <f>IFERROR(VLOOKUP(DType[[#This Row],[IFC-Type]],DType[[IFC-Name]:[IFC-Type]],4,FALSE),DType[[#This Row],[IFC-Type]])</f>
        <v>REAL</v>
      </c>
      <c r="J78" s="42" t="str">
        <f>"Public Function New_"&amp;DType[[#This Row],[IFC-Name]]&amp;"() As exp"&amp;DType[[#This Row],[Grundtype]]&amp;CHAR(13)&amp;"  Set New_"&amp;DType[[#This Row],[IFC-Name]]&amp;" = ExpressSimpleTypes.New_"&amp;DType[[#This Row],[Grundtype]]&amp;CHAR(13)&amp;"End Function" &amp; CHAR(13) &amp; CHAR(13)</f>
        <v>Public Function New_IfcPositiveLengthMeasure() As expREAL_x000D_  Set New_IfcPositiveLengthMeasure = ExpressSimpleTypes.New_REAL_x000D_End Function_x000D__x000D_</v>
      </c>
      <c r="K78" s="37" t="str">
        <f xml:space="preserve"> "  Set TestVar = New_"&amp;DType[[#This Row],[IFC-Name]]</f>
        <v xml:space="preserve">  Set TestVar = New_IfcPositiveLengthMeasure</v>
      </c>
      <c r="L78" s="1" t="b">
        <v>1</v>
      </c>
      <c r="M78" s="1" t="b">
        <v>1</v>
      </c>
    </row>
    <row r="79" spans="2:13" ht="20.100000000000001" customHeight="1" x14ac:dyDescent="0.25">
      <c r="B79" s="7" t="e">
        <f>IF(DType[[#This Row],[Link]]="","",HYPERLINK(HTML_Doku&amp;DType[[#This Row],[Link]],"Doku"))</f>
        <v>#NAME?</v>
      </c>
      <c r="C79" s="38" t="s">
        <v>1240</v>
      </c>
      <c r="D79" s="39">
        <v>20</v>
      </c>
      <c r="E79" s="40">
        <f>IFERROR(VLOOKUP(DType[ID-Modul],Modul[],15,FALSE),"unbekannt")</f>
        <v>4</v>
      </c>
      <c r="F79" s="38" t="s">
        <v>1238</v>
      </c>
      <c r="G79" s="41" t="s">
        <v>2524</v>
      </c>
      <c r="H79" s="38" t="s">
        <v>3635</v>
      </c>
      <c r="I79" s="38" t="str">
        <f>IFERROR(VLOOKUP(DType[[#This Row],[IFC-Type]],DType[[IFC-Name]:[IFC-Type]],4,FALSE),DType[[#This Row],[IFC-Type]])</f>
        <v>REAL</v>
      </c>
      <c r="J79" s="42" t="str">
        <f>"Public Function New_"&amp;DType[[#This Row],[IFC-Name]]&amp;"() As exp"&amp;DType[[#This Row],[Grundtype]]&amp;CHAR(13)&amp;"  Set New_"&amp;DType[[#This Row],[IFC-Name]]&amp;" = ExpressSimpleTypes.New_"&amp;DType[[#This Row],[Grundtype]]&amp;CHAR(13)&amp;"End Function" &amp; CHAR(13) &amp; CHAR(13)</f>
        <v>Public Function New_IfcPositivePlaneAngleMeasure() As expREAL_x000D_  Set New_IfcPositivePlaneAngleMeasure = ExpressSimpleTypes.New_REAL_x000D_End Function_x000D__x000D_</v>
      </c>
      <c r="K79" s="37" t="str">
        <f xml:space="preserve"> "  Set TestVar = New_"&amp;DType[[#This Row],[IFC-Name]]</f>
        <v xml:space="preserve">  Set TestVar = New_IfcPositivePlaneAngleMeasure</v>
      </c>
      <c r="L79" s="1" t="b">
        <v>1</v>
      </c>
      <c r="M79" s="1" t="b">
        <v>1</v>
      </c>
    </row>
    <row r="80" spans="2:13" ht="20.100000000000001" customHeight="1" x14ac:dyDescent="0.25">
      <c r="B80" s="7" t="e">
        <f>IF(DType[[#This Row],[Link]]="","",HYPERLINK(HTML_Doku&amp;DType[[#This Row],[Link]],"Doku"))</f>
        <v>#NAME?</v>
      </c>
      <c r="C80" s="38" t="s">
        <v>1241</v>
      </c>
      <c r="D80" s="39">
        <v>20</v>
      </c>
      <c r="E80" s="40">
        <f>IFERROR(VLOOKUP(DType[ID-Modul],Modul[],15,FALSE),"unbekannt")</f>
        <v>4</v>
      </c>
      <c r="F80" s="38" t="s">
        <v>1233</v>
      </c>
      <c r="G80" s="41" t="s">
        <v>2525</v>
      </c>
      <c r="H80" s="38" t="s">
        <v>3636</v>
      </c>
      <c r="I80" s="38" t="str">
        <f>IFERROR(VLOOKUP(DType[[#This Row],[IFC-Type]],DType[[IFC-Name]:[IFC-Type]],4,FALSE),DType[[#This Row],[IFC-Type]])</f>
        <v>REAL</v>
      </c>
      <c r="J80" s="42" t="str">
        <f>"Public Function New_"&amp;DType[[#This Row],[IFC-Name]]&amp;"() As exp"&amp;DType[[#This Row],[Grundtype]]&amp;CHAR(13)&amp;"  Set New_"&amp;DType[[#This Row],[IFC-Name]]&amp;" = ExpressSimpleTypes.New_"&amp;DType[[#This Row],[Grundtype]]&amp;CHAR(13)&amp;"End Function" &amp; CHAR(13) &amp; CHAR(13)</f>
        <v>Public Function New_IfcPositiveRatioMeasure() As expREAL_x000D_  Set New_IfcPositiveRatioMeasure = ExpressSimpleTypes.New_REAL_x000D_End Function_x000D__x000D_</v>
      </c>
      <c r="K80" s="37" t="str">
        <f xml:space="preserve"> "  Set TestVar = New_"&amp;DType[[#This Row],[IFC-Name]]</f>
        <v xml:space="preserve">  Set TestVar = New_IfcPositiveRatioMeasure</v>
      </c>
      <c r="L80" s="1" t="b">
        <v>1</v>
      </c>
      <c r="M80" s="1" t="b">
        <v>1</v>
      </c>
    </row>
    <row r="81" spans="2:13" ht="20.100000000000001" customHeight="1" x14ac:dyDescent="0.25">
      <c r="B81" s="7" t="e">
        <f>IF(DType[[#This Row],[Link]]="","",HYPERLINK(HTML_Doku&amp;DType[[#This Row],[Link]],"Doku"))</f>
        <v>#NAME?</v>
      </c>
      <c r="C81" s="38" t="s">
        <v>1242</v>
      </c>
      <c r="D81" s="39">
        <v>20</v>
      </c>
      <c r="E81" s="40">
        <f>IFERROR(VLOOKUP(DType[ID-Modul],Modul[],15,FALSE),"unbekannt")</f>
        <v>4</v>
      </c>
      <c r="F81" s="38" t="s">
        <v>1158</v>
      </c>
      <c r="G81" s="41" t="s">
        <v>2526</v>
      </c>
      <c r="H81" s="38" t="s">
        <v>3637</v>
      </c>
      <c r="I81" s="38" t="str">
        <f>IFERROR(VLOOKUP(DType[[#This Row],[IFC-Type]],DType[[IFC-Name]:[IFC-Type]],4,FALSE),DType[[#This Row],[IFC-Type]])</f>
        <v>REAL</v>
      </c>
      <c r="J81" s="42" t="str">
        <f>"Public Function New_"&amp;DType[[#This Row],[IFC-Name]]&amp;"() As exp"&amp;DType[[#This Row],[Grundtype]]&amp;CHAR(13)&amp;"  Set New_"&amp;DType[[#This Row],[IFC-Name]]&amp;" = ExpressSimpleTypes.New_"&amp;DType[[#This Row],[Grundtype]]&amp;CHAR(13)&amp;"End Function" &amp; CHAR(13) &amp; CHAR(13)</f>
        <v>Public Function New_IfcPowerMeasure() As expREAL_x000D_  Set New_IfcPowerMeasure = ExpressSimpleTypes.New_REAL_x000D_End Function_x000D__x000D_</v>
      </c>
      <c r="K81" s="37" t="str">
        <f xml:space="preserve"> "  Set TestVar = New_"&amp;DType[[#This Row],[IFC-Name]]</f>
        <v xml:space="preserve">  Set TestVar = New_IfcPowerMeasure</v>
      </c>
      <c r="L81" s="1" t="b">
        <v>1</v>
      </c>
      <c r="M81" s="1" t="b">
        <v>1</v>
      </c>
    </row>
    <row r="82" spans="2:13" ht="20.100000000000001" customHeight="1" x14ac:dyDescent="0.25">
      <c r="B82" s="7" t="e">
        <f>IF(DType[[#This Row],[Link]]="","",HYPERLINK(HTML_Doku&amp;DType[[#This Row],[Link]],"Doku"))</f>
        <v>#NAME?</v>
      </c>
      <c r="C82" s="38" t="s">
        <v>1243</v>
      </c>
      <c r="D82" s="39">
        <v>26</v>
      </c>
      <c r="E82" s="40">
        <f>IFERROR(VLOOKUP(DType[ID-Modul],Modul[],15,FALSE),"unbekannt")</f>
        <v>0</v>
      </c>
      <c r="F82" s="38" t="s">
        <v>1178</v>
      </c>
      <c r="G82" s="41" t="s">
        <v>2527</v>
      </c>
      <c r="H82" s="38" t="s">
        <v>3638</v>
      </c>
      <c r="I82" s="38" t="str">
        <f>IFERROR(VLOOKUP(DType[[#This Row],[IFC-Type]],DType[[IFC-Name]:[IFC-Type]],4,FALSE),DType[[#This Row],[IFC-Type]])</f>
        <v>STRING</v>
      </c>
      <c r="J82" s="42" t="str">
        <f>"Public Function New_"&amp;DType[[#This Row],[IFC-Name]]&amp;"() As exp"&amp;DType[[#This Row],[Grundtype]]&amp;CHAR(13)&amp;"  Set New_"&amp;DType[[#This Row],[IFC-Name]]&amp;" = ExpressSimpleTypes.New_"&amp;DType[[#This Row],[Grundtype]]&amp;CHAR(13)&amp;"End Function" &amp; CHAR(13) &amp; CHAR(13)</f>
        <v>Public Function New_IfcPresentableText() As expSTRING_x000D_  Set New_IfcPresentableText = ExpressSimpleTypes.New_STRING_x000D_End Function_x000D__x000D_</v>
      </c>
      <c r="K82" s="37" t="str">
        <f xml:space="preserve"> "  Set TestVar = New_"&amp;DType[[#This Row],[IFC-Name]]</f>
        <v xml:space="preserve">  Set TestVar = New_IfcPresentableText</v>
      </c>
      <c r="L82" s="1" t="b">
        <v>1</v>
      </c>
      <c r="M82" s="1" t="b">
        <v>1</v>
      </c>
    </row>
    <row r="83" spans="2:13" ht="20.100000000000001" customHeight="1" x14ac:dyDescent="0.25">
      <c r="B83" s="7" t="e">
        <f>IF(DType[[#This Row],[Link]]="","",HYPERLINK(HTML_Doku&amp;DType[[#This Row],[Link]],"Doku"))</f>
        <v>#NAME?</v>
      </c>
      <c r="C83" s="38" t="s">
        <v>1244</v>
      </c>
      <c r="D83" s="39">
        <v>20</v>
      </c>
      <c r="E83" s="40">
        <f>IFERROR(VLOOKUP(DType[ID-Modul],Modul[],15,FALSE),"unbekannt")</f>
        <v>4</v>
      </c>
      <c r="F83" s="38" t="s">
        <v>1158</v>
      </c>
      <c r="G83" s="41" t="s">
        <v>2528</v>
      </c>
      <c r="H83" s="38" t="s">
        <v>3639</v>
      </c>
      <c r="I83" s="38" t="str">
        <f>IFERROR(VLOOKUP(DType[[#This Row],[IFC-Type]],DType[[IFC-Name]:[IFC-Type]],4,FALSE),DType[[#This Row],[IFC-Type]])</f>
        <v>REAL</v>
      </c>
      <c r="J83" s="42" t="str">
        <f>"Public Function New_"&amp;DType[[#This Row],[IFC-Name]]&amp;"() As exp"&amp;DType[[#This Row],[Grundtype]]&amp;CHAR(13)&amp;"  Set New_"&amp;DType[[#This Row],[IFC-Name]]&amp;" = ExpressSimpleTypes.New_"&amp;DType[[#This Row],[Grundtype]]&amp;CHAR(13)&amp;"End Function" &amp; CHAR(13) &amp; CHAR(13)</f>
        <v>Public Function New_IfcPressureMeasure() As expREAL_x000D_  Set New_IfcPressureMeasure = ExpressSimpleTypes.New_REAL_x000D_End Function_x000D__x000D_</v>
      </c>
      <c r="K83" s="37" t="str">
        <f xml:space="preserve"> "  Set TestVar = New_"&amp;DType[[#This Row],[IFC-Name]]</f>
        <v xml:space="preserve">  Set TestVar = New_IfcPressureMeasure</v>
      </c>
      <c r="L83" s="1" t="b">
        <v>1</v>
      </c>
      <c r="M83" s="1" t="b">
        <v>1</v>
      </c>
    </row>
    <row r="84" spans="2:13" ht="20.100000000000001" customHeight="1" x14ac:dyDescent="0.25">
      <c r="B84" s="7" t="e">
        <f>IF(DType[[#This Row],[Link]]="","",HYPERLINK(HTML_Doku&amp;DType[[#This Row],[Link]],"Doku"))</f>
        <v>#NAME?</v>
      </c>
      <c r="C84" s="38" t="s">
        <v>1245</v>
      </c>
      <c r="D84" s="39">
        <v>20</v>
      </c>
      <c r="E84" s="40">
        <f>IFERROR(VLOOKUP(DType[ID-Modul],Modul[],15,FALSE),"unbekannt")</f>
        <v>4</v>
      </c>
      <c r="F84" s="38" t="s">
        <v>1158</v>
      </c>
      <c r="G84" s="41" t="s">
        <v>2529</v>
      </c>
      <c r="H84" s="38" t="s">
        <v>3640</v>
      </c>
      <c r="I84" s="38" t="str">
        <f>IFERROR(VLOOKUP(DType[[#This Row],[IFC-Type]],DType[[IFC-Name]:[IFC-Type]],4,FALSE),DType[[#This Row],[IFC-Type]])</f>
        <v>REAL</v>
      </c>
      <c r="J84" s="42" t="str">
        <f>"Public Function New_"&amp;DType[[#This Row],[IFC-Name]]&amp;"() As exp"&amp;DType[[#This Row],[Grundtype]]&amp;CHAR(13)&amp;"  Set New_"&amp;DType[[#This Row],[IFC-Name]]&amp;" = ExpressSimpleTypes.New_"&amp;DType[[#This Row],[Grundtype]]&amp;CHAR(13)&amp;"End Function" &amp; CHAR(13) &amp; CHAR(13)</f>
        <v>Public Function New_IfcRadioActivityMeasure() As expREAL_x000D_  Set New_IfcRadioActivityMeasure = ExpressSimpleTypes.New_REAL_x000D_End Function_x000D__x000D_</v>
      </c>
      <c r="K84" s="37" t="str">
        <f xml:space="preserve"> "  Set TestVar = New_"&amp;DType[[#This Row],[IFC-Name]]</f>
        <v xml:space="preserve">  Set TestVar = New_IfcRadioActivityMeasure</v>
      </c>
      <c r="L84" s="1" t="b">
        <v>1</v>
      </c>
      <c r="M84" s="1" t="b">
        <v>1</v>
      </c>
    </row>
    <row r="85" spans="2:13" ht="20.100000000000001" customHeight="1" x14ac:dyDescent="0.25">
      <c r="B85" s="7" t="e">
        <f>IF(DType[[#This Row],[Link]]="","",HYPERLINK(HTML_Doku&amp;DType[[#This Row],[Link]],"Doku"))</f>
        <v>#NAME?</v>
      </c>
      <c r="C85" s="38" t="s">
        <v>1233</v>
      </c>
      <c r="D85" s="39">
        <v>20</v>
      </c>
      <c r="E85" s="40">
        <f>IFERROR(VLOOKUP(DType[ID-Modul],Modul[],15,FALSE),"unbekannt")</f>
        <v>4</v>
      </c>
      <c r="F85" s="38" t="s">
        <v>1158</v>
      </c>
      <c r="G85" s="41" t="s">
        <v>2530</v>
      </c>
      <c r="H85" s="38" t="s">
        <v>3641</v>
      </c>
      <c r="I85" s="38" t="str">
        <f>IFERROR(VLOOKUP(DType[[#This Row],[IFC-Type]],DType[[IFC-Name]:[IFC-Type]],4,FALSE),DType[[#This Row],[IFC-Type]])</f>
        <v>REAL</v>
      </c>
      <c r="J85" s="42" t="str">
        <f>"Public Function New_"&amp;DType[[#This Row],[IFC-Name]]&amp;"() As exp"&amp;DType[[#This Row],[Grundtype]]&amp;CHAR(13)&amp;"  Set New_"&amp;DType[[#This Row],[IFC-Name]]&amp;" = ExpressSimpleTypes.New_"&amp;DType[[#This Row],[Grundtype]]&amp;CHAR(13)&amp;"End Function" &amp; CHAR(13) &amp; CHAR(13)</f>
        <v>Public Function New_IfcRatioMeasure() As expREAL_x000D_  Set New_IfcRatioMeasure = ExpressSimpleTypes.New_REAL_x000D_End Function_x000D__x000D_</v>
      </c>
      <c r="K85" s="37" t="str">
        <f xml:space="preserve"> "  Set TestVar = New_"&amp;DType[[#This Row],[IFC-Name]]</f>
        <v xml:space="preserve">  Set TestVar = New_IfcRatioMeasure</v>
      </c>
      <c r="L85" s="1" t="b">
        <v>1</v>
      </c>
      <c r="M85" s="1" t="b">
        <v>1</v>
      </c>
    </row>
    <row r="86" spans="2:13" ht="20.100000000000001" customHeight="1" x14ac:dyDescent="0.25">
      <c r="B86" s="7" t="e">
        <f>IF(DType[[#This Row],[Link]]="","",HYPERLINK(HTML_Doku&amp;DType[[#This Row],[Link]],"Doku"))</f>
        <v>#NAME?</v>
      </c>
      <c r="C86" s="38" t="s">
        <v>1246</v>
      </c>
      <c r="D86" s="39">
        <v>20</v>
      </c>
      <c r="E86" s="40">
        <f>IFERROR(VLOOKUP(DType[ID-Modul],Modul[],15,FALSE),"unbekannt")</f>
        <v>4</v>
      </c>
      <c r="F86" s="38" t="s">
        <v>1158</v>
      </c>
      <c r="G86" s="41" t="s">
        <v>2531</v>
      </c>
      <c r="H86" s="38" t="s">
        <v>3642</v>
      </c>
      <c r="I86" s="38" t="str">
        <f>IFERROR(VLOOKUP(DType[[#This Row],[IFC-Type]],DType[[IFC-Name]:[IFC-Type]],4,FALSE),DType[[#This Row],[IFC-Type]])</f>
        <v>REAL</v>
      </c>
      <c r="J86" s="42" t="str">
        <f>"Public Function New_"&amp;DType[[#This Row],[IFC-Name]]&amp;"() As exp"&amp;DType[[#This Row],[Grundtype]]&amp;CHAR(13)&amp;"  Set New_"&amp;DType[[#This Row],[IFC-Name]]&amp;" = ExpressSimpleTypes.New_"&amp;DType[[#This Row],[Grundtype]]&amp;CHAR(13)&amp;"End Function" &amp; CHAR(13) &amp; CHAR(13)</f>
        <v>Public Function New_IfcReal() As expREAL_x000D_  Set New_IfcReal = ExpressSimpleTypes.New_REAL_x000D_End Function_x000D__x000D_</v>
      </c>
      <c r="K86" s="37" t="str">
        <f xml:space="preserve"> "  Set TestVar = New_"&amp;DType[[#This Row],[IFC-Name]]</f>
        <v xml:space="preserve">  Set TestVar = New_IfcReal</v>
      </c>
      <c r="L86" s="1" t="b">
        <v>1</v>
      </c>
      <c r="M86" s="1" t="b">
        <v>1</v>
      </c>
    </row>
    <row r="87" spans="2:13" ht="20.100000000000001" customHeight="1" x14ac:dyDescent="0.25">
      <c r="B87" s="7" t="e">
        <f>IF(DType[[#This Row],[Link]]="","",HYPERLINK(HTML_Doku&amp;DType[[#This Row],[Link]],"Doku"))</f>
        <v>#NAME?</v>
      </c>
      <c r="C87" s="38" t="s">
        <v>1247</v>
      </c>
      <c r="D87" s="39">
        <v>20</v>
      </c>
      <c r="E87" s="40">
        <f>IFERROR(VLOOKUP(DType[ID-Modul],Modul[],15,FALSE),"unbekannt")</f>
        <v>4</v>
      </c>
      <c r="F87" s="38" t="s">
        <v>1158</v>
      </c>
      <c r="G87" s="41" t="s">
        <v>2532</v>
      </c>
      <c r="H87" s="38" t="s">
        <v>3643</v>
      </c>
      <c r="I87" s="38" t="str">
        <f>IFERROR(VLOOKUP(DType[[#This Row],[IFC-Type]],DType[[IFC-Name]:[IFC-Type]],4,FALSE),DType[[#This Row],[IFC-Type]])</f>
        <v>REAL</v>
      </c>
      <c r="J87" s="42" t="str">
        <f>"Public Function New_"&amp;DType[[#This Row],[IFC-Name]]&amp;"() As exp"&amp;DType[[#This Row],[Grundtype]]&amp;CHAR(13)&amp;"  Set New_"&amp;DType[[#This Row],[IFC-Name]]&amp;" = ExpressSimpleTypes.New_"&amp;DType[[#This Row],[Grundtype]]&amp;CHAR(13)&amp;"End Function" &amp; CHAR(13) &amp; CHAR(13)</f>
        <v>Public Function New_IfcRotationalFrequencyMeasure() As expREAL_x000D_  Set New_IfcRotationalFrequencyMeasure = ExpressSimpleTypes.New_REAL_x000D_End Function_x000D__x000D_</v>
      </c>
      <c r="K87" s="37" t="str">
        <f xml:space="preserve"> "  Set TestVar = New_"&amp;DType[[#This Row],[IFC-Name]]</f>
        <v xml:space="preserve">  Set TestVar = New_IfcRotationalFrequencyMeasure</v>
      </c>
      <c r="L87" s="1" t="b">
        <v>1</v>
      </c>
      <c r="M87" s="1" t="b">
        <v>1</v>
      </c>
    </row>
    <row r="88" spans="2:13" ht="20.100000000000001" customHeight="1" x14ac:dyDescent="0.25">
      <c r="B88" s="7" t="e">
        <f>IF(DType[[#This Row],[Link]]="","",HYPERLINK(HTML_Doku&amp;DType[[#This Row],[Link]],"Doku"))</f>
        <v>#NAME?</v>
      </c>
      <c r="C88" s="38" t="s">
        <v>1248</v>
      </c>
      <c r="D88" s="39">
        <v>20</v>
      </c>
      <c r="E88" s="40">
        <f>IFERROR(VLOOKUP(DType[ID-Modul],Modul[],15,FALSE),"unbekannt")</f>
        <v>4</v>
      </c>
      <c r="F88" s="38" t="s">
        <v>1158</v>
      </c>
      <c r="G88" s="41" t="s">
        <v>2533</v>
      </c>
      <c r="H88" s="38" t="s">
        <v>3644</v>
      </c>
      <c r="I88" s="38" t="str">
        <f>IFERROR(VLOOKUP(DType[[#This Row],[IFC-Type]],DType[[IFC-Name]:[IFC-Type]],4,FALSE),DType[[#This Row],[IFC-Type]])</f>
        <v>REAL</v>
      </c>
      <c r="J88" s="42" t="str">
        <f>"Public Function New_"&amp;DType[[#This Row],[IFC-Name]]&amp;"() As exp"&amp;DType[[#This Row],[Grundtype]]&amp;CHAR(13)&amp;"  Set New_"&amp;DType[[#This Row],[IFC-Name]]&amp;" = ExpressSimpleTypes.New_"&amp;DType[[#This Row],[Grundtype]]&amp;CHAR(13)&amp;"End Function" &amp; CHAR(13) &amp; CHAR(13)</f>
        <v>Public Function New_IfcRotationalMassMeasure() As expREAL_x000D_  Set New_IfcRotationalMassMeasure = ExpressSimpleTypes.New_REAL_x000D_End Function_x000D__x000D_</v>
      </c>
      <c r="K88" s="37" t="str">
        <f xml:space="preserve"> "  Set TestVar = New_"&amp;DType[[#This Row],[IFC-Name]]</f>
        <v xml:space="preserve">  Set TestVar = New_IfcRotationalMassMeasure</v>
      </c>
      <c r="L88" s="1" t="b">
        <v>1</v>
      </c>
      <c r="M88" s="1" t="b">
        <v>1</v>
      </c>
    </row>
    <row r="89" spans="2:13" ht="20.100000000000001" customHeight="1" x14ac:dyDescent="0.25">
      <c r="B89" s="7" t="e">
        <f>IF(DType[[#This Row],[Link]]="","",HYPERLINK(HTML_Doku&amp;DType[[#This Row],[Link]],"Doku"))</f>
        <v>#NAME?</v>
      </c>
      <c r="C89" s="38" t="s">
        <v>1249</v>
      </c>
      <c r="D89" s="39">
        <v>20</v>
      </c>
      <c r="E89" s="40">
        <f>IFERROR(VLOOKUP(DType[ID-Modul],Modul[],15,FALSE),"unbekannt")</f>
        <v>4</v>
      </c>
      <c r="F89" s="38" t="s">
        <v>1158</v>
      </c>
      <c r="G89" s="41" t="s">
        <v>2534</v>
      </c>
      <c r="H89" s="38" t="s">
        <v>3645</v>
      </c>
      <c r="I89" s="38" t="str">
        <f>IFERROR(VLOOKUP(DType[[#This Row],[IFC-Type]],DType[[IFC-Name]:[IFC-Type]],4,FALSE),DType[[#This Row],[IFC-Type]])</f>
        <v>REAL</v>
      </c>
      <c r="J89" s="42" t="str">
        <f>"Public Function New_"&amp;DType[[#This Row],[IFC-Name]]&amp;"() As exp"&amp;DType[[#This Row],[Grundtype]]&amp;CHAR(13)&amp;"  Set New_"&amp;DType[[#This Row],[IFC-Name]]&amp;" = ExpressSimpleTypes.New_"&amp;DType[[#This Row],[Grundtype]]&amp;CHAR(13)&amp;"End Function" &amp; CHAR(13) &amp; CHAR(13)</f>
        <v>Public Function New_IfcRotationalStiffnessMeasure() As expREAL_x000D_  Set New_IfcRotationalStiffnessMeasure = ExpressSimpleTypes.New_REAL_x000D_End Function_x000D__x000D_</v>
      </c>
      <c r="K89" s="37" t="str">
        <f xml:space="preserve"> "  Set TestVar = New_"&amp;DType[[#This Row],[IFC-Name]]</f>
        <v xml:space="preserve">  Set TestVar = New_IfcRotationalStiffnessMeasure</v>
      </c>
      <c r="L89" s="1" t="b">
        <v>1</v>
      </c>
      <c r="M89" s="1" t="b">
        <v>1</v>
      </c>
    </row>
    <row r="90" spans="2:13" ht="20.100000000000001" customHeight="1" x14ac:dyDescent="0.25">
      <c r="B90" s="7" t="e">
        <f>IF(DType[[#This Row],[Link]]="","",HYPERLINK(HTML_Doku&amp;DType[[#This Row],[Link]],"Doku"))</f>
        <v>#NAME?</v>
      </c>
      <c r="C90" s="38" t="s">
        <v>1250</v>
      </c>
      <c r="D90" s="39">
        <v>9</v>
      </c>
      <c r="E90" s="40">
        <f>IFERROR(VLOOKUP(DType[ID-Modul],Modul[],15,FALSE),"unbekannt")</f>
        <v>3</v>
      </c>
      <c r="F90" s="38" t="s">
        <v>1158</v>
      </c>
      <c r="G90" s="41" t="s">
        <v>2535</v>
      </c>
      <c r="H90" s="38" t="s">
        <v>3646</v>
      </c>
      <c r="I90" s="38" t="str">
        <f>IFERROR(VLOOKUP(DType[[#This Row],[IFC-Type]],DType[[IFC-Name]:[IFC-Type]],4,FALSE),DType[[#This Row],[IFC-Type]])</f>
        <v>REAL</v>
      </c>
      <c r="J90" s="42" t="str">
        <f>"Public Function New_"&amp;DType[[#This Row],[IFC-Name]]&amp;"() As exp"&amp;DType[[#This Row],[Grundtype]]&amp;CHAR(13)&amp;"  Set New_"&amp;DType[[#This Row],[IFC-Name]]&amp;" = ExpressSimpleTypes.New_"&amp;DType[[#This Row],[Grundtype]]&amp;CHAR(13)&amp;"End Function" &amp; CHAR(13) &amp; CHAR(13)</f>
        <v>Public Function New_IfcSecondInMinute() As expREAL_x000D_  Set New_IfcSecondInMinute = ExpressSimpleTypes.New_REAL_x000D_End Function_x000D__x000D_</v>
      </c>
      <c r="K90" s="37" t="str">
        <f xml:space="preserve"> "  Set TestVar = New_"&amp;DType[[#This Row],[IFC-Name]]</f>
        <v xml:space="preserve">  Set TestVar = New_IfcSecondInMinute</v>
      </c>
      <c r="L90" s="1" t="b">
        <v>1</v>
      </c>
      <c r="M90" s="1" t="b">
        <v>1</v>
      </c>
    </row>
    <row r="91" spans="2:13" ht="20.100000000000001" customHeight="1" x14ac:dyDescent="0.25">
      <c r="B91" s="7" t="e">
        <f>IF(DType[[#This Row],[Link]]="","",HYPERLINK(HTML_Doku&amp;DType[[#This Row],[Link]],"Doku"))</f>
        <v>#NAME?</v>
      </c>
      <c r="C91" s="38" t="s">
        <v>1252</v>
      </c>
      <c r="D91" s="39">
        <v>20</v>
      </c>
      <c r="E91" s="40">
        <f>IFERROR(VLOOKUP(DType[ID-Modul],Modul[],15,FALSE),"unbekannt")</f>
        <v>4</v>
      </c>
      <c r="F91" s="38" t="s">
        <v>1158</v>
      </c>
      <c r="G91" s="41" t="s">
        <v>2537</v>
      </c>
      <c r="H91" s="38" t="s">
        <v>3647</v>
      </c>
      <c r="I91" s="38" t="str">
        <f>IFERROR(VLOOKUP(DType[[#This Row],[IFC-Type]],DType[[IFC-Name]:[IFC-Type]],4,FALSE),DType[[#This Row],[IFC-Type]])</f>
        <v>REAL</v>
      </c>
      <c r="J91" s="42" t="str">
        <f>"Public Function New_"&amp;DType[[#This Row],[IFC-Name]]&amp;"() As exp"&amp;DType[[#This Row],[Grundtype]]&amp;CHAR(13)&amp;"  Set New_"&amp;DType[[#This Row],[IFC-Name]]&amp;" = ExpressSimpleTypes.New_"&amp;DType[[#This Row],[Grundtype]]&amp;CHAR(13)&amp;"End Function" &amp; CHAR(13) &amp; CHAR(13)</f>
        <v>Public Function New_IfcSectionalAreaIntegralMeasure() As expREAL_x000D_  Set New_IfcSectionalAreaIntegralMeasure = ExpressSimpleTypes.New_REAL_x000D_End Function_x000D__x000D_</v>
      </c>
      <c r="K91" s="37" t="str">
        <f xml:space="preserve"> "  Set TestVar = New_"&amp;DType[[#This Row],[IFC-Name]]</f>
        <v xml:space="preserve">  Set TestVar = New_IfcSectionalAreaIntegralMeasure</v>
      </c>
      <c r="L91" s="1" t="b">
        <v>1</v>
      </c>
      <c r="M91" s="1" t="b">
        <v>1</v>
      </c>
    </row>
    <row r="92" spans="2:13" ht="20.100000000000001" customHeight="1" x14ac:dyDescent="0.25">
      <c r="B92" s="7" t="e">
        <f>IF(DType[[#This Row],[Link]]="","",HYPERLINK(HTML_Doku&amp;DType[[#This Row],[Link]],"Doku"))</f>
        <v>#NAME?</v>
      </c>
      <c r="C92" s="38" t="s">
        <v>1251</v>
      </c>
      <c r="D92" s="39">
        <v>20</v>
      </c>
      <c r="E92" s="40">
        <f>IFERROR(VLOOKUP(DType[ID-Modul],Modul[],15,FALSE),"unbekannt")</f>
        <v>4</v>
      </c>
      <c r="F92" s="38" t="s">
        <v>1158</v>
      </c>
      <c r="G92" s="41" t="s">
        <v>2536</v>
      </c>
      <c r="H92" s="38" t="s">
        <v>3648</v>
      </c>
      <c r="I92" s="38" t="str">
        <f>IFERROR(VLOOKUP(DType[[#This Row],[IFC-Type]],DType[[IFC-Name]:[IFC-Type]],4,FALSE),DType[[#This Row],[IFC-Type]])</f>
        <v>REAL</v>
      </c>
      <c r="J92" s="42" t="str">
        <f>"Public Function New_"&amp;DType[[#This Row],[IFC-Name]]&amp;"() As exp"&amp;DType[[#This Row],[Grundtype]]&amp;CHAR(13)&amp;"  Set New_"&amp;DType[[#This Row],[IFC-Name]]&amp;" = ExpressSimpleTypes.New_"&amp;DType[[#This Row],[Grundtype]]&amp;CHAR(13)&amp;"End Function" &amp; CHAR(13) &amp; CHAR(13)</f>
        <v>Public Function New_IfcSectionModulusMeasure() As expREAL_x000D_  Set New_IfcSectionModulusMeasure = ExpressSimpleTypes.New_REAL_x000D_End Function_x000D__x000D_</v>
      </c>
      <c r="K92" s="37" t="str">
        <f xml:space="preserve"> "  Set TestVar = New_"&amp;DType[[#This Row],[IFC-Name]]</f>
        <v xml:space="preserve">  Set TestVar = New_IfcSectionModulusMeasure</v>
      </c>
      <c r="L92" s="1" t="b">
        <v>1</v>
      </c>
      <c r="M92" s="1" t="b">
        <v>1</v>
      </c>
    </row>
    <row r="93" spans="2:13" ht="20.100000000000001" customHeight="1" x14ac:dyDescent="0.25">
      <c r="B93" s="7" t="e">
        <f>IF(DType[[#This Row],[Link]]="","",HYPERLINK(HTML_Doku&amp;DType[[#This Row],[Link]],"Doku"))</f>
        <v>#NAME?</v>
      </c>
      <c r="C93" s="38" t="s">
        <v>1253</v>
      </c>
      <c r="D93" s="39">
        <v>20</v>
      </c>
      <c r="E93" s="40">
        <f>IFERROR(VLOOKUP(DType[ID-Modul],Modul[],15,FALSE),"unbekannt")</f>
        <v>4</v>
      </c>
      <c r="F93" s="38" t="s">
        <v>1158</v>
      </c>
      <c r="G93" s="41" t="s">
        <v>2538</v>
      </c>
      <c r="H93" s="38" t="s">
        <v>3649</v>
      </c>
      <c r="I93" s="38" t="str">
        <f>IFERROR(VLOOKUP(DType[[#This Row],[IFC-Type]],DType[[IFC-Name]:[IFC-Type]],4,FALSE),DType[[#This Row],[IFC-Type]])</f>
        <v>REAL</v>
      </c>
      <c r="J93" s="42" t="str">
        <f>"Public Function New_"&amp;DType[[#This Row],[IFC-Name]]&amp;"() As exp"&amp;DType[[#This Row],[Grundtype]]&amp;CHAR(13)&amp;"  Set New_"&amp;DType[[#This Row],[IFC-Name]]&amp;" = ExpressSimpleTypes.New_"&amp;DType[[#This Row],[Grundtype]]&amp;CHAR(13)&amp;"End Function" &amp; CHAR(13) &amp; CHAR(13)</f>
        <v>Public Function New_IfcShearModulusMeasure() As expREAL_x000D_  Set New_IfcShearModulusMeasure = ExpressSimpleTypes.New_REAL_x000D_End Function_x000D__x000D_</v>
      </c>
      <c r="K93" s="37" t="str">
        <f xml:space="preserve"> "  Set TestVar = New_"&amp;DType[[#This Row],[IFC-Name]]</f>
        <v xml:space="preserve">  Set TestVar = New_IfcShearModulusMeasure</v>
      </c>
      <c r="L93" s="1" t="b">
        <v>1</v>
      </c>
      <c r="M93" s="1" t="b">
        <v>1</v>
      </c>
    </row>
    <row r="94" spans="2:13" ht="20.100000000000001" customHeight="1" x14ac:dyDescent="0.25">
      <c r="B94" s="7" t="e">
        <f>IF(DType[[#This Row],[Link]]="","",HYPERLINK(HTML_Doku&amp;DType[[#This Row],[Link]],"Doku"))</f>
        <v>#NAME?</v>
      </c>
      <c r="C94" s="38" t="s">
        <v>1254</v>
      </c>
      <c r="D94" s="39">
        <v>20</v>
      </c>
      <c r="E94" s="40">
        <f>IFERROR(VLOOKUP(DType[ID-Modul],Modul[],15,FALSE),"unbekannt")</f>
        <v>4</v>
      </c>
      <c r="F94" s="38" t="s">
        <v>1158</v>
      </c>
      <c r="G94" s="41" t="s">
        <v>2539</v>
      </c>
      <c r="H94" s="38" t="s">
        <v>3650</v>
      </c>
      <c r="I94" s="38" t="str">
        <f>IFERROR(VLOOKUP(DType[[#This Row],[IFC-Type]],DType[[IFC-Name]:[IFC-Type]],4,FALSE),DType[[#This Row],[IFC-Type]])</f>
        <v>REAL</v>
      </c>
      <c r="J94" s="42" t="str">
        <f>"Public Function New_"&amp;DType[[#This Row],[IFC-Name]]&amp;"() As exp"&amp;DType[[#This Row],[Grundtype]]&amp;CHAR(13)&amp;"  Set New_"&amp;DType[[#This Row],[IFC-Name]]&amp;" = ExpressSimpleTypes.New_"&amp;DType[[#This Row],[Grundtype]]&amp;CHAR(13)&amp;"End Function" &amp; CHAR(13) &amp; CHAR(13)</f>
        <v>Public Function New_IfcSolidAngleMeasure() As expREAL_x000D_  Set New_IfcSolidAngleMeasure = ExpressSimpleTypes.New_REAL_x000D_End Function_x000D__x000D_</v>
      </c>
      <c r="K94" s="37" t="str">
        <f xml:space="preserve"> "  Set TestVar = New_"&amp;DType[[#This Row],[IFC-Name]]</f>
        <v xml:space="preserve">  Set TestVar = New_IfcSolidAngleMeasure</v>
      </c>
      <c r="L94" s="1" t="b">
        <v>1</v>
      </c>
      <c r="M94" s="1" t="b">
        <v>1</v>
      </c>
    </row>
    <row r="95" spans="2:13" ht="20.100000000000001" customHeight="1" x14ac:dyDescent="0.25">
      <c r="B95" s="7" t="e">
        <f>IF(DType[[#This Row],[Link]]="","",HYPERLINK(HTML_Doku&amp;DType[[#This Row],[Link]],"Doku"))</f>
        <v>#NAME?</v>
      </c>
      <c r="C95" s="38" t="s">
        <v>1255</v>
      </c>
      <c r="D95" s="39">
        <v>20</v>
      </c>
      <c r="E95" s="40">
        <f>IFERROR(VLOOKUP(DType[ID-Modul],Modul[],15,FALSE),"unbekannt")</f>
        <v>4</v>
      </c>
      <c r="F95" s="38" t="s">
        <v>1158</v>
      </c>
      <c r="G95" s="41" t="s">
        <v>2540</v>
      </c>
      <c r="H95" s="38" t="s">
        <v>3651</v>
      </c>
      <c r="I95" s="38" t="str">
        <f>IFERROR(VLOOKUP(DType[[#This Row],[IFC-Type]],DType[[IFC-Name]:[IFC-Type]],4,FALSE),DType[[#This Row],[IFC-Type]])</f>
        <v>REAL</v>
      </c>
      <c r="J95" s="42" t="str">
        <f>"Public Function New_"&amp;DType[[#This Row],[IFC-Name]]&amp;"() As exp"&amp;DType[[#This Row],[Grundtype]]&amp;CHAR(13)&amp;"  Set New_"&amp;DType[[#This Row],[IFC-Name]]&amp;" = ExpressSimpleTypes.New_"&amp;DType[[#This Row],[Grundtype]]&amp;CHAR(13)&amp;"End Function" &amp; CHAR(13) &amp; CHAR(13)</f>
        <v>Public Function New_IfcSoundPowerMeasure() As expREAL_x000D_  Set New_IfcSoundPowerMeasure = ExpressSimpleTypes.New_REAL_x000D_End Function_x000D__x000D_</v>
      </c>
      <c r="K95" s="37" t="str">
        <f xml:space="preserve"> "  Set TestVar = New_"&amp;DType[[#This Row],[IFC-Name]]</f>
        <v xml:space="preserve">  Set TestVar = New_IfcSoundPowerMeasure</v>
      </c>
      <c r="L95" s="1" t="b">
        <v>1</v>
      </c>
      <c r="M95" s="1" t="b">
        <v>1</v>
      </c>
    </row>
    <row r="96" spans="2:13" ht="20.100000000000001" customHeight="1" x14ac:dyDescent="0.25">
      <c r="B96" s="7" t="e">
        <f>IF(DType[[#This Row],[Link]]="","",HYPERLINK(HTML_Doku&amp;DType[[#This Row],[Link]],"Doku"))</f>
        <v>#NAME?</v>
      </c>
      <c r="C96" s="38" t="s">
        <v>1256</v>
      </c>
      <c r="D96" s="39">
        <v>20</v>
      </c>
      <c r="E96" s="40">
        <f>IFERROR(VLOOKUP(DType[ID-Modul],Modul[],15,FALSE),"unbekannt")</f>
        <v>4</v>
      </c>
      <c r="F96" s="38" t="s">
        <v>1158</v>
      </c>
      <c r="G96" s="41" t="s">
        <v>2541</v>
      </c>
      <c r="H96" s="38" t="s">
        <v>3652</v>
      </c>
      <c r="I96" s="38" t="str">
        <f>IFERROR(VLOOKUP(DType[[#This Row],[IFC-Type]],DType[[IFC-Name]:[IFC-Type]],4,FALSE),DType[[#This Row],[IFC-Type]])</f>
        <v>REAL</v>
      </c>
      <c r="J96" s="42" t="str">
        <f>"Public Function New_"&amp;DType[[#This Row],[IFC-Name]]&amp;"() As exp"&amp;DType[[#This Row],[Grundtype]]&amp;CHAR(13)&amp;"  Set New_"&amp;DType[[#This Row],[IFC-Name]]&amp;" = ExpressSimpleTypes.New_"&amp;DType[[#This Row],[Grundtype]]&amp;CHAR(13)&amp;"End Function" &amp; CHAR(13) &amp; CHAR(13)</f>
        <v>Public Function New_IfcSoundPressureMeasure() As expREAL_x000D_  Set New_IfcSoundPressureMeasure = ExpressSimpleTypes.New_REAL_x000D_End Function_x000D__x000D_</v>
      </c>
      <c r="K96" s="37" t="str">
        <f xml:space="preserve"> "  Set TestVar = New_"&amp;DType[[#This Row],[IFC-Name]]</f>
        <v xml:space="preserve">  Set TestVar = New_IfcSoundPressureMeasure</v>
      </c>
      <c r="L96" s="1" t="b">
        <v>1</v>
      </c>
      <c r="M96" s="1" t="b">
        <v>1</v>
      </c>
    </row>
    <row r="97" spans="2:13" ht="20.100000000000001" customHeight="1" x14ac:dyDescent="0.25">
      <c r="B97" s="7" t="e">
        <f>IF(DType[[#This Row],[Link]]="","",HYPERLINK(HTML_Doku&amp;DType[[#This Row],[Link]],"Doku"))</f>
        <v>#NAME?</v>
      </c>
      <c r="C97" s="38" t="s">
        <v>1257</v>
      </c>
      <c r="D97" s="39">
        <v>20</v>
      </c>
      <c r="E97" s="40">
        <f>IFERROR(VLOOKUP(DType[ID-Modul],Modul[],15,FALSE),"unbekannt")</f>
        <v>4</v>
      </c>
      <c r="F97" s="38" t="s">
        <v>1158</v>
      </c>
      <c r="G97" s="41" t="s">
        <v>2542</v>
      </c>
      <c r="H97" s="38" t="s">
        <v>3653</v>
      </c>
      <c r="I97" s="38" t="str">
        <f>IFERROR(VLOOKUP(DType[[#This Row],[IFC-Type]],DType[[IFC-Name]:[IFC-Type]],4,FALSE),DType[[#This Row],[IFC-Type]])</f>
        <v>REAL</v>
      </c>
      <c r="J97" s="42" t="str">
        <f>"Public Function New_"&amp;DType[[#This Row],[IFC-Name]]&amp;"() As exp"&amp;DType[[#This Row],[Grundtype]]&amp;CHAR(13)&amp;"  Set New_"&amp;DType[[#This Row],[IFC-Name]]&amp;" = ExpressSimpleTypes.New_"&amp;DType[[#This Row],[Grundtype]]&amp;CHAR(13)&amp;"End Function" &amp; CHAR(13) &amp; CHAR(13)</f>
        <v>Public Function New_IfcSpecificHeatCapacityMeasure() As expREAL_x000D_  Set New_IfcSpecificHeatCapacityMeasure = ExpressSimpleTypes.New_REAL_x000D_End Function_x000D__x000D_</v>
      </c>
      <c r="K97" s="37" t="str">
        <f xml:space="preserve"> "  Set TestVar = New_"&amp;DType[[#This Row],[IFC-Name]]</f>
        <v xml:space="preserve">  Set TestVar = New_IfcSpecificHeatCapacityMeasure</v>
      </c>
      <c r="L97" s="1" t="b">
        <v>1</v>
      </c>
      <c r="M97" s="1" t="b">
        <v>1</v>
      </c>
    </row>
    <row r="98" spans="2:13" ht="20.100000000000001" customHeight="1" x14ac:dyDescent="0.25">
      <c r="B98" s="7" t="e">
        <f>IF(DType[[#This Row],[Link]]="","",HYPERLINK(HTML_Doku&amp;DType[[#This Row],[Link]],"Doku"))</f>
        <v>#NAME?</v>
      </c>
      <c r="C98" s="38" t="s">
        <v>1258</v>
      </c>
      <c r="D98" s="39">
        <v>22</v>
      </c>
      <c r="E98" s="40">
        <f>IFERROR(VLOOKUP(DType[ID-Modul],Modul[],15,FALSE),"unbekannt")</f>
        <v>1</v>
      </c>
      <c r="F98" s="38" t="s">
        <v>1158</v>
      </c>
      <c r="G98" s="41" t="s">
        <v>2543</v>
      </c>
      <c r="H98" s="38" t="s">
        <v>3654</v>
      </c>
      <c r="I98" s="38" t="str">
        <f>IFERROR(VLOOKUP(DType[[#This Row],[IFC-Type]],DType[[IFC-Name]:[IFC-Type]],4,FALSE),DType[[#This Row],[IFC-Type]])</f>
        <v>REAL</v>
      </c>
      <c r="J98" s="42" t="str">
        <f>"Public Function New_"&amp;DType[[#This Row],[IFC-Name]]&amp;"() As exp"&amp;DType[[#This Row],[Grundtype]]&amp;CHAR(13)&amp;"  Set New_"&amp;DType[[#This Row],[IFC-Name]]&amp;" = ExpressSimpleTypes.New_"&amp;DType[[#This Row],[Grundtype]]&amp;CHAR(13)&amp;"End Function" &amp; CHAR(13) &amp; CHAR(13)</f>
        <v>Public Function New_IfcSpecularExponent() As expREAL_x000D_  Set New_IfcSpecularExponent = ExpressSimpleTypes.New_REAL_x000D_End Function_x000D__x000D_</v>
      </c>
      <c r="K98" s="37" t="str">
        <f xml:space="preserve"> "  Set TestVar = New_"&amp;DType[[#This Row],[IFC-Name]]</f>
        <v xml:space="preserve">  Set TestVar = New_IfcSpecularExponent</v>
      </c>
      <c r="L98" s="1" t="b">
        <v>1</v>
      </c>
      <c r="M98" s="1" t="b">
        <v>1</v>
      </c>
    </row>
    <row r="99" spans="2:13" ht="20.100000000000001" customHeight="1" x14ac:dyDescent="0.25">
      <c r="B99" s="7" t="e">
        <f>IF(DType[[#This Row],[Link]]="","",HYPERLINK(HTML_Doku&amp;DType[[#This Row],[Link]],"Doku"))</f>
        <v>#NAME?</v>
      </c>
      <c r="C99" s="38" t="s">
        <v>1259</v>
      </c>
      <c r="D99" s="39">
        <v>22</v>
      </c>
      <c r="E99" s="40">
        <f>IFERROR(VLOOKUP(DType[ID-Modul],Modul[],15,FALSE),"unbekannt")</f>
        <v>1</v>
      </c>
      <c r="F99" s="38" t="s">
        <v>1158</v>
      </c>
      <c r="G99" s="41" t="s">
        <v>2544</v>
      </c>
      <c r="H99" s="38" t="s">
        <v>3655</v>
      </c>
      <c r="I99" s="38" t="str">
        <f>IFERROR(VLOOKUP(DType[[#This Row],[IFC-Type]],DType[[IFC-Name]:[IFC-Type]],4,FALSE),DType[[#This Row],[IFC-Type]])</f>
        <v>REAL</v>
      </c>
      <c r="J99" s="42" t="str">
        <f>"Public Function New_"&amp;DType[[#This Row],[IFC-Name]]&amp;"() As exp"&amp;DType[[#This Row],[Grundtype]]&amp;CHAR(13)&amp;"  Set New_"&amp;DType[[#This Row],[IFC-Name]]&amp;" = ExpressSimpleTypes.New_"&amp;DType[[#This Row],[Grundtype]]&amp;CHAR(13)&amp;"End Function" &amp; CHAR(13) &amp; CHAR(13)</f>
        <v>Public Function New_IfcSpecularRoughness() As expREAL_x000D_  Set New_IfcSpecularRoughness = ExpressSimpleTypes.New_REAL_x000D_End Function_x000D__x000D_</v>
      </c>
      <c r="K99" s="37" t="str">
        <f xml:space="preserve"> "  Set TestVar = New_"&amp;DType[[#This Row],[IFC-Name]]</f>
        <v xml:space="preserve">  Set TestVar = New_IfcSpecularRoughness</v>
      </c>
      <c r="L99" s="1" t="b">
        <v>1</v>
      </c>
      <c r="M99" s="1" t="b">
        <v>1</v>
      </c>
    </row>
    <row r="100" spans="2:13" ht="20.100000000000001" customHeight="1" x14ac:dyDescent="0.25">
      <c r="B100" s="7" t="e">
        <f>IF(DType[[#This Row],[Link]]="","",HYPERLINK(HTML_Doku&amp;DType[[#This Row],[Link]],"Doku"))</f>
        <v>#NAME?</v>
      </c>
      <c r="C100" s="38" t="s">
        <v>1260</v>
      </c>
      <c r="D100" s="39">
        <v>20</v>
      </c>
      <c r="E100" s="40">
        <f>IFERROR(VLOOKUP(DType[ID-Modul],Modul[],15,FALSE),"unbekannt")</f>
        <v>4</v>
      </c>
      <c r="F100" s="38" t="s">
        <v>1158</v>
      </c>
      <c r="G100" s="41" t="s">
        <v>2545</v>
      </c>
      <c r="H100" s="38" t="s">
        <v>3656</v>
      </c>
      <c r="I100" s="38" t="str">
        <f>IFERROR(VLOOKUP(DType[[#This Row],[IFC-Type]],DType[[IFC-Name]:[IFC-Type]],4,FALSE),DType[[#This Row],[IFC-Type]])</f>
        <v>REAL</v>
      </c>
      <c r="J100" s="42" t="str">
        <f>"Public Function New_"&amp;DType[[#This Row],[IFC-Name]]&amp;"() As exp"&amp;DType[[#This Row],[Grundtype]]&amp;CHAR(13)&amp;"  Set New_"&amp;DType[[#This Row],[IFC-Name]]&amp;" = ExpressSimpleTypes.New_"&amp;DType[[#This Row],[Grundtype]]&amp;CHAR(13)&amp;"End Function" &amp; CHAR(13) &amp; CHAR(13)</f>
        <v>Public Function New_IfcTemperatureGradientMeasure() As expREAL_x000D_  Set New_IfcTemperatureGradientMeasure = ExpressSimpleTypes.New_REAL_x000D_End Function_x000D__x000D_</v>
      </c>
      <c r="K100" s="37" t="str">
        <f xml:space="preserve"> "  Set TestVar = New_"&amp;DType[[#This Row],[IFC-Name]]</f>
        <v xml:space="preserve">  Set TestVar = New_IfcTemperatureGradientMeasure</v>
      </c>
      <c r="L100" s="1" t="b">
        <v>1</v>
      </c>
      <c r="M100" s="1" t="b">
        <v>1</v>
      </c>
    </row>
    <row r="101" spans="2:13" ht="20.100000000000001" customHeight="1" x14ac:dyDescent="0.25">
      <c r="B101" s="7" t="e">
        <f>IF(DType[[#This Row],[Link]]="","",HYPERLINK(HTML_Doku&amp;DType[[#This Row],[Link]],"Doku"))</f>
        <v>#NAME?</v>
      </c>
      <c r="C101" s="38" t="s">
        <v>1155</v>
      </c>
      <c r="D101" s="39">
        <v>20</v>
      </c>
      <c r="E101" s="40">
        <f>IFERROR(VLOOKUP(DType[ID-Modul],Modul[],15,FALSE),"unbekannt")</f>
        <v>4</v>
      </c>
      <c r="F101" s="38" t="s">
        <v>1178</v>
      </c>
      <c r="G101" s="41" t="s">
        <v>2546</v>
      </c>
      <c r="H101" s="38" t="s">
        <v>3657</v>
      </c>
      <c r="I101" s="38" t="str">
        <f>IFERROR(VLOOKUP(DType[[#This Row],[IFC-Type]],DType[[IFC-Name]:[IFC-Type]],4,FALSE),DType[[#This Row],[IFC-Type]])</f>
        <v>STRING</v>
      </c>
      <c r="J101" s="42" t="str">
        <f>"Public Function New_"&amp;DType[[#This Row],[IFC-Name]]&amp;"() As exp"&amp;DType[[#This Row],[Grundtype]]&amp;CHAR(13)&amp;"  Set New_"&amp;DType[[#This Row],[IFC-Name]]&amp;" = ExpressSimpleTypes.New_"&amp;DType[[#This Row],[Grundtype]]&amp;CHAR(13)&amp;"End Function" &amp; CHAR(13) &amp; CHAR(13)</f>
        <v>Public Function New_IfcText() As expSTRING_x000D_  Set New_IfcText = ExpressSimpleTypes.New_STRING_x000D_End Function_x000D__x000D_</v>
      </c>
      <c r="K101" s="37" t="str">
        <f xml:space="preserve"> "  Set TestVar = New_"&amp;DType[[#This Row],[IFC-Name]]</f>
        <v xml:space="preserve">  Set TestVar = New_IfcText</v>
      </c>
      <c r="L101" s="1" t="b">
        <v>1</v>
      </c>
      <c r="M101" s="1" t="b">
        <v>1</v>
      </c>
    </row>
    <row r="102" spans="2:13" ht="20.100000000000001" customHeight="1" x14ac:dyDescent="0.25">
      <c r="B102" s="7" t="e">
        <f>IF(DType[[#This Row],[Link]]="","",HYPERLINK(HTML_Doku&amp;DType[[#This Row],[Link]],"Doku"))</f>
        <v>#NAME?</v>
      </c>
      <c r="C102" s="38" t="s">
        <v>1261</v>
      </c>
      <c r="D102" s="39">
        <v>22</v>
      </c>
      <c r="E102" s="40">
        <f>IFERROR(VLOOKUP(DType[ID-Modul],Modul[],15,FALSE),"unbekannt")</f>
        <v>1</v>
      </c>
      <c r="F102" s="38" t="s">
        <v>1178</v>
      </c>
      <c r="G102" s="41" t="s">
        <v>2547</v>
      </c>
      <c r="H102" s="38" t="s">
        <v>3658</v>
      </c>
      <c r="I102" s="38" t="str">
        <f>IFERROR(VLOOKUP(DType[[#This Row],[IFC-Type]],DType[[IFC-Name]:[IFC-Type]],4,FALSE),DType[[#This Row],[IFC-Type]])</f>
        <v>STRING</v>
      </c>
      <c r="J102" s="42" t="str">
        <f>"Public Function New_"&amp;DType[[#This Row],[IFC-Name]]&amp;"() As exp"&amp;DType[[#This Row],[Grundtype]]&amp;CHAR(13)&amp;"  Set New_"&amp;DType[[#This Row],[IFC-Name]]&amp;" = ExpressSimpleTypes.New_"&amp;DType[[#This Row],[Grundtype]]&amp;CHAR(13)&amp;"End Function" &amp; CHAR(13) &amp; CHAR(13)</f>
        <v>Public Function New_IfcTextAlignment() As expSTRING_x000D_  Set New_IfcTextAlignment = ExpressSimpleTypes.New_STRING_x000D_End Function_x000D__x000D_</v>
      </c>
      <c r="K102" s="37" t="str">
        <f xml:space="preserve"> "  Set TestVar = New_"&amp;DType[[#This Row],[IFC-Name]]</f>
        <v xml:space="preserve">  Set TestVar = New_IfcTextAlignment</v>
      </c>
      <c r="L102" s="1" t="b">
        <v>1</v>
      </c>
      <c r="M102" s="1" t="b">
        <v>1</v>
      </c>
    </row>
    <row r="103" spans="2:13" ht="20.100000000000001" customHeight="1" x14ac:dyDescent="0.25">
      <c r="B103" s="7" t="e">
        <f>IF(DType[[#This Row],[Link]]="","",HYPERLINK(HTML_Doku&amp;DType[[#This Row],[Link]],"Doku"))</f>
        <v>#NAME?</v>
      </c>
      <c r="C103" s="38" t="s">
        <v>1262</v>
      </c>
      <c r="D103" s="39">
        <v>22</v>
      </c>
      <c r="E103" s="40">
        <f>IFERROR(VLOOKUP(DType[ID-Modul],Modul[],15,FALSE),"unbekannt")</f>
        <v>1</v>
      </c>
      <c r="F103" s="38" t="s">
        <v>1178</v>
      </c>
      <c r="G103" s="41" t="s">
        <v>2548</v>
      </c>
      <c r="H103" s="38" t="s">
        <v>3659</v>
      </c>
      <c r="I103" s="38" t="str">
        <f>IFERROR(VLOOKUP(DType[[#This Row],[IFC-Type]],DType[[IFC-Name]:[IFC-Type]],4,FALSE),DType[[#This Row],[IFC-Type]])</f>
        <v>STRING</v>
      </c>
      <c r="J103" s="42" t="str">
        <f>"Public Function New_"&amp;DType[[#This Row],[IFC-Name]]&amp;"() As exp"&amp;DType[[#This Row],[Grundtype]]&amp;CHAR(13)&amp;"  Set New_"&amp;DType[[#This Row],[IFC-Name]]&amp;" = ExpressSimpleTypes.New_"&amp;DType[[#This Row],[Grundtype]]&amp;CHAR(13)&amp;"End Function" &amp; CHAR(13) &amp; CHAR(13)</f>
        <v>Public Function New_IfcTextDecoration() As expSTRING_x000D_  Set New_IfcTextDecoration = ExpressSimpleTypes.New_STRING_x000D_End Function_x000D__x000D_</v>
      </c>
      <c r="K103" s="37" t="str">
        <f xml:space="preserve"> "  Set TestVar = New_"&amp;DType[[#This Row],[IFC-Name]]</f>
        <v xml:space="preserve">  Set TestVar = New_IfcTextDecoration</v>
      </c>
      <c r="L103" s="1" t="b">
        <v>1</v>
      </c>
      <c r="M103" s="1" t="b">
        <v>1</v>
      </c>
    </row>
    <row r="104" spans="2:13" ht="20.100000000000001" customHeight="1" x14ac:dyDescent="0.25">
      <c r="B104" s="7" t="e">
        <f>IF(DType[[#This Row],[Link]]="","",HYPERLINK(HTML_Doku&amp;DType[[#This Row],[Link]],"Doku"))</f>
        <v>#NAME?</v>
      </c>
      <c r="C104" s="38" t="s">
        <v>1263</v>
      </c>
      <c r="D104" s="39">
        <v>26</v>
      </c>
      <c r="E104" s="40">
        <f>IFERROR(VLOOKUP(DType[ID-Modul],Modul[],15,FALSE),"unbekannt")</f>
        <v>0</v>
      </c>
      <c r="F104" s="38" t="s">
        <v>1178</v>
      </c>
      <c r="G104" s="41" t="s">
        <v>2549</v>
      </c>
      <c r="H104" s="38" t="s">
        <v>3660</v>
      </c>
      <c r="I104" s="38" t="str">
        <f>IFERROR(VLOOKUP(DType[[#This Row],[IFC-Type]],DType[[IFC-Name]:[IFC-Type]],4,FALSE),DType[[#This Row],[IFC-Type]])</f>
        <v>STRING</v>
      </c>
      <c r="J104" s="42" t="str">
        <f>"Public Function New_"&amp;DType[[#This Row],[IFC-Name]]&amp;"() As exp"&amp;DType[[#This Row],[Grundtype]]&amp;CHAR(13)&amp;"  Set New_"&amp;DType[[#This Row],[IFC-Name]]&amp;" = ExpressSimpleTypes.New_"&amp;DType[[#This Row],[Grundtype]]&amp;CHAR(13)&amp;"End Function" &amp; CHAR(13) &amp; CHAR(13)</f>
        <v>Public Function New_IfcTextFontName() As expSTRING_x000D_  Set New_IfcTextFontName = ExpressSimpleTypes.New_STRING_x000D_End Function_x000D__x000D_</v>
      </c>
      <c r="K104" s="37" t="str">
        <f xml:space="preserve"> "  Set TestVar = New_"&amp;DType[[#This Row],[IFC-Name]]</f>
        <v xml:space="preserve">  Set TestVar = New_IfcTextFontName</v>
      </c>
      <c r="L104" s="1" t="b">
        <v>1</v>
      </c>
      <c r="M104" s="1" t="b">
        <v>1</v>
      </c>
    </row>
    <row r="105" spans="2:13" ht="20.100000000000001" customHeight="1" x14ac:dyDescent="0.25">
      <c r="B105" s="7" t="e">
        <f>IF(DType[[#This Row],[Link]]="","",HYPERLINK(HTML_Doku&amp;DType[[#This Row],[Link]],"Doku"))</f>
        <v>#NAME?</v>
      </c>
      <c r="C105" s="38" t="s">
        <v>1264</v>
      </c>
      <c r="D105" s="39">
        <v>22</v>
      </c>
      <c r="E105" s="40">
        <f>IFERROR(VLOOKUP(DType[ID-Modul],Modul[],15,FALSE),"unbekannt")</f>
        <v>1</v>
      </c>
      <c r="F105" s="38" t="s">
        <v>1178</v>
      </c>
      <c r="G105" s="41" t="s">
        <v>2550</v>
      </c>
      <c r="H105" s="38" t="s">
        <v>3661</v>
      </c>
      <c r="I105" s="38" t="str">
        <f>IFERROR(VLOOKUP(DType[[#This Row],[IFC-Type]],DType[[IFC-Name]:[IFC-Type]],4,FALSE),DType[[#This Row],[IFC-Type]])</f>
        <v>STRING</v>
      </c>
      <c r="J105" s="42" t="str">
        <f>"Public Function New_"&amp;DType[[#This Row],[IFC-Name]]&amp;"() As exp"&amp;DType[[#This Row],[Grundtype]]&amp;CHAR(13)&amp;"  Set New_"&amp;DType[[#This Row],[IFC-Name]]&amp;" = ExpressSimpleTypes.New_"&amp;DType[[#This Row],[Grundtype]]&amp;CHAR(13)&amp;"End Function" &amp; CHAR(13) &amp; CHAR(13)</f>
        <v>Public Function New_IfcTextTransformation() As expSTRING_x000D_  Set New_IfcTextTransformation = ExpressSimpleTypes.New_STRING_x000D_End Function_x000D__x000D_</v>
      </c>
      <c r="K105" s="37" t="str">
        <f xml:space="preserve"> "  Set TestVar = New_"&amp;DType[[#This Row],[IFC-Name]]</f>
        <v xml:space="preserve">  Set TestVar = New_IfcTextTransformation</v>
      </c>
      <c r="L105" s="1" t="b">
        <v>1</v>
      </c>
      <c r="M105" s="1" t="b">
        <v>1</v>
      </c>
    </row>
    <row r="106" spans="2:13" ht="20.100000000000001" customHeight="1" x14ac:dyDescent="0.25">
      <c r="B106" s="7" t="e">
        <f>IF(DType[[#This Row],[Link]]="","",HYPERLINK(HTML_Doku&amp;DType[[#This Row],[Link]],"Doku"))</f>
        <v>#NAME?</v>
      </c>
      <c r="C106" s="38" t="s">
        <v>1265</v>
      </c>
      <c r="D106" s="39">
        <v>20</v>
      </c>
      <c r="E106" s="40">
        <f>IFERROR(VLOOKUP(DType[ID-Modul],Modul[],15,FALSE),"unbekannt")</f>
        <v>4</v>
      </c>
      <c r="F106" s="38" t="s">
        <v>1158</v>
      </c>
      <c r="G106" s="41" t="s">
        <v>2551</v>
      </c>
      <c r="H106" s="38" t="s">
        <v>3662</v>
      </c>
      <c r="I106" s="38" t="str">
        <f>IFERROR(VLOOKUP(DType[[#This Row],[IFC-Type]],DType[[IFC-Name]:[IFC-Type]],4,FALSE),DType[[#This Row],[IFC-Type]])</f>
        <v>REAL</v>
      </c>
      <c r="J106" s="42" t="str">
        <f>"Public Function New_"&amp;DType[[#This Row],[IFC-Name]]&amp;"() As exp"&amp;DType[[#This Row],[Grundtype]]&amp;CHAR(13)&amp;"  Set New_"&amp;DType[[#This Row],[IFC-Name]]&amp;" = ExpressSimpleTypes.New_"&amp;DType[[#This Row],[Grundtype]]&amp;CHAR(13)&amp;"End Function" &amp; CHAR(13) &amp; CHAR(13)</f>
        <v>Public Function New_IfcThermalAdmittanceMeasure() As expREAL_x000D_  Set New_IfcThermalAdmittanceMeasure = ExpressSimpleTypes.New_REAL_x000D_End Function_x000D__x000D_</v>
      </c>
      <c r="K106" s="37" t="str">
        <f xml:space="preserve"> "  Set TestVar = New_"&amp;DType[[#This Row],[IFC-Name]]</f>
        <v xml:space="preserve">  Set TestVar = New_IfcThermalAdmittanceMeasure</v>
      </c>
      <c r="L106" s="1" t="b">
        <v>1</v>
      </c>
      <c r="M106" s="1" t="b">
        <v>1</v>
      </c>
    </row>
    <row r="107" spans="2:13" ht="20.100000000000001" customHeight="1" x14ac:dyDescent="0.25">
      <c r="B107" s="7" t="e">
        <f>IF(DType[[#This Row],[Link]]="","",HYPERLINK(HTML_Doku&amp;DType[[#This Row],[Link]],"Doku"))</f>
        <v>#NAME?</v>
      </c>
      <c r="C107" s="38" t="s">
        <v>1266</v>
      </c>
      <c r="D107" s="39">
        <v>20</v>
      </c>
      <c r="E107" s="40">
        <f>IFERROR(VLOOKUP(DType[ID-Modul],Modul[],15,FALSE),"unbekannt")</f>
        <v>4</v>
      </c>
      <c r="F107" s="38" t="s">
        <v>1158</v>
      </c>
      <c r="G107" s="41" t="s">
        <v>2552</v>
      </c>
      <c r="H107" s="38" t="s">
        <v>3663</v>
      </c>
      <c r="I107" s="38" t="str">
        <f>IFERROR(VLOOKUP(DType[[#This Row],[IFC-Type]],DType[[IFC-Name]:[IFC-Type]],4,FALSE),DType[[#This Row],[IFC-Type]])</f>
        <v>REAL</v>
      </c>
      <c r="J107" s="42" t="str">
        <f>"Public Function New_"&amp;DType[[#This Row],[IFC-Name]]&amp;"() As exp"&amp;DType[[#This Row],[Grundtype]]&amp;CHAR(13)&amp;"  Set New_"&amp;DType[[#This Row],[IFC-Name]]&amp;" = ExpressSimpleTypes.New_"&amp;DType[[#This Row],[Grundtype]]&amp;CHAR(13)&amp;"End Function" &amp; CHAR(13) &amp; CHAR(13)</f>
        <v>Public Function New_IfcThermalConductivityMeasure() As expREAL_x000D_  Set New_IfcThermalConductivityMeasure = ExpressSimpleTypes.New_REAL_x000D_End Function_x000D__x000D_</v>
      </c>
      <c r="K107" s="37" t="str">
        <f xml:space="preserve"> "  Set TestVar = New_"&amp;DType[[#This Row],[IFC-Name]]</f>
        <v xml:space="preserve">  Set TestVar = New_IfcThermalConductivityMeasure</v>
      </c>
      <c r="L107" s="1" t="b">
        <v>1</v>
      </c>
      <c r="M107" s="1" t="b">
        <v>1</v>
      </c>
    </row>
    <row r="108" spans="2:13" ht="20.100000000000001" customHeight="1" x14ac:dyDescent="0.25">
      <c r="B108" s="7" t="e">
        <f>IF(DType[[#This Row],[Link]]="","",HYPERLINK(HTML_Doku&amp;DType[[#This Row],[Link]],"Doku"))</f>
        <v>#NAME?</v>
      </c>
      <c r="C108" s="38" t="s">
        <v>1267</v>
      </c>
      <c r="D108" s="39">
        <v>20</v>
      </c>
      <c r="E108" s="40">
        <f>IFERROR(VLOOKUP(DType[ID-Modul],Modul[],15,FALSE),"unbekannt")</f>
        <v>4</v>
      </c>
      <c r="F108" s="38" t="s">
        <v>1158</v>
      </c>
      <c r="G108" s="41" t="s">
        <v>2553</v>
      </c>
      <c r="H108" s="38" t="s">
        <v>3664</v>
      </c>
      <c r="I108" s="38" t="str">
        <f>IFERROR(VLOOKUP(DType[[#This Row],[IFC-Type]],DType[[IFC-Name]:[IFC-Type]],4,FALSE),DType[[#This Row],[IFC-Type]])</f>
        <v>REAL</v>
      </c>
      <c r="J108" s="42" t="str">
        <f>"Public Function New_"&amp;DType[[#This Row],[IFC-Name]]&amp;"() As exp"&amp;DType[[#This Row],[Grundtype]]&amp;CHAR(13)&amp;"  Set New_"&amp;DType[[#This Row],[IFC-Name]]&amp;" = ExpressSimpleTypes.New_"&amp;DType[[#This Row],[Grundtype]]&amp;CHAR(13)&amp;"End Function" &amp; CHAR(13) &amp; CHAR(13)</f>
        <v>Public Function New_IfcThermalExpansionCoefficientMeasure() As expREAL_x000D_  Set New_IfcThermalExpansionCoefficientMeasure = ExpressSimpleTypes.New_REAL_x000D_End Function_x000D__x000D_</v>
      </c>
      <c r="K108" s="37" t="str">
        <f xml:space="preserve"> "  Set TestVar = New_"&amp;DType[[#This Row],[IFC-Name]]</f>
        <v xml:space="preserve">  Set TestVar = New_IfcThermalExpansionCoefficientMeasure</v>
      </c>
      <c r="L108" s="1" t="b">
        <v>1</v>
      </c>
      <c r="M108" s="1" t="b">
        <v>1</v>
      </c>
    </row>
    <row r="109" spans="2:13" ht="20.100000000000001" customHeight="1" x14ac:dyDescent="0.25">
      <c r="B109" s="7" t="e">
        <f>IF(DType[[#This Row],[Link]]="","",HYPERLINK(HTML_Doku&amp;DType[[#This Row],[Link]],"Doku"))</f>
        <v>#NAME?</v>
      </c>
      <c r="C109" s="38" t="s">
        <v>1268</v>
      </c>
      <c r="D109" s="39">
        <v>20</v>
      </c>
      <c r="E109" s="40">
        <f>IFERROR(VLOOKUP(DType[ID-Modul],Modul[],15,FALSE),"unbekannt")</f>
        <v>4</v>
      </c>
      <c r="F109" s="38" t="s">
        <v>1158</v>
      </c>
      <c r="G109" s="41" t="s">
        <v>2554</v>
      </c>
      <c r="H109" s="38" t="s">
        <v>3665</v>
      </c>
      <c r="I109" s="38" t="str">
        <f>IFERROR(VLOOKUP(DType[[#This Row],[IFC-Type]],DType[[IFC-Name]:[IFC-Type]],4,FALSE),DType[[#This Row],[IFC-Type]])</f>
        <v>REAL</v>
      </c>
      <c r="J109" s="42" t="str">
        <f>"Public Function New_"&amp;DType[[#This Row],[IFC-Name]]&amp;"() As exp"&amp;DType[[#This Row],[Grundtype]]&amp;CHAR(13)&amp;"  Set New_"&amp;DType[[#This Row],[IFC-Name]]&amp;" = ExpressSimpleTypes.New_"&amp;DType[[#This Row],[Grundtype]]&amp;CHAR(13)&amp;"End Function" &amp; CHAR(13) &amp; CHAR(13)</f>
        <v>Public Function New_IfcThermalResistanceMeasure() As expREAL_x000D_  Set New_IfcThermalResistanceMeasure = ExpressSimpleTypes.New_REAL_x000D_End Function_x000D__x000D_</v>
      </c>
      <c r="K109" s="37" t="str">
        <f xml:space="preserve"> "  Set TestVar = New_"&amp;DType[[#This Row],[IFC-Name]]</f>
        <v xml:space="preserve">  Set TestVar = New_IfcThermalResistanceMeasure</v>
      </c>
      <c r="L109" s="1" t="b">
        <v>1</v>
      </c>
      <c r="M109" s="1" t="b">
        <v>1</v>
      </c>
    </row>
    <row r="110" spans="2:13" ht="20.100000000000001" customHeight="1" x14ac:dyDescent="0.25">
      <c r="B110" s="7" t="e">
        <f>IF(DType[[#This Row],[Link]]="","",HYPERLINK(HTML_Doku&amp;DType[[#This Row],[Link]],"Doku"))</f>
        <v>#NAME?</v>
      </c>
      <c r="C110" s="38" t="s">
        <v>1269</v>
      </c>
      <c r="D110" s="39">
        <v>20</v>
      </c>
      <c r="E110" s="40">
        <f>IFERROR(VLOOKUP(DType[ID-Modul],Modul[],15,FALSE),"unbekannt")</f>
        <v>4</v>
      </c>
      <c r="F110" s="38" t="s">
        <v>1158</v>
      </c>
      <c r="G110" s="41" t="s">
        <v>2555</v>
      </c>
      <c r="H110" s="38" t="s">
        <v>3666</v>
      </c>
      <c r="I110" s="38" t="str">
        <f>IFERROR(VLOOKUP(DType[[#This Row],[IFC-Type]],DType[[IFC-Name]:[IFC-Type]],4,FALSE),DType[[#This Row],[IFC-Type]])</f>
        <v>REAL</v>
      </c>
      <c r="J110" s="42" t="str">
        <f>"Public Function New_"&amp;DType[[#This Row],[IFC-Name]]&amp;"() As exp"&amp;DType[[#This Row],[Grundtype]]&amp;CHAR(13)&amp;"  Set New_"&amp;DType[[#This Row],[IFC-Name]]&amp;" = ExpressSimpleTypes.New_"&amp;DType[[#This Row],[Grundtype]]&amp;CHAR(13)&amp;"End Function" &amp; CHAR(13) &amp; CHAR(13)</f>
        <v>Public Function New_IfcThermalTransmittanceMeasure() As expREAL_x000D_  Set New_IfcThermalTransmittanceMeasure = ExpressSimpleTypes.New_REAL_x000D_End Function_x000D__x000D_</v>
      </c>
      <c r="K110" s="37" t="str">
        <f xml:space="preserve"> "  Set TestVar = New_"&amp;DType[[#This Row],[IFC-Name]]</f>
        <v xml:space="preserve">  Set TestVar = New_IfcThermalTransmittanceMeasure</v>
      </c>
      <c r="L110" s="1" t="b">
        <v>1</v>
      </c>
      <c r="M110" s="1" t="b">
        <v>1</v>
      </c>
    </row>
    <row r="111" spans="2:13" ht="20.100000000000001" customHeight="1" x14ac:dyDescent="0.25">
      <c r="B111" s="7" t="e">
        <f>IF(DType[[#This Row],[Link]]="","",HYPERLINK(HTML_Doku&amp;DType[[#This Row],[Link]],"Doku"))</f>
        <v>#NAME?</v>
      </c>
      <c r="C111" s="38" t="s">
        <v>1270</v>
      </c>
      <c r="D111" s="39">
        <v>20</v>
      </c>
      <c r="E111" s="40">
        <f>IFERROR(VLOOKUP(DType[ID-Modul],Modul[],15,FALSE),"unbekannt")</f>
        <v>4</v>
      </c>
      <c r="F111" s="38" t="s">
        <v>1158</v>
      </c>
      <c r="G111" s="41" t="s">
        <v>2556</v>
      </c>
      <c r="H111" s="38" t="s">
        <v>3667</v>
      </c>
      <c r="I111" s="38" t="str">
        <f>IFERROR(VLOOKUP(DType[[#This Row],[IFC-Type]],DType[[IFC-Name]:[IFC-Type]],4,FALSE),DType[[#This Row],[IFC-Type]])</f>
        <v>REAL</v>
      </c>
      <c r="J111" s="42" t="str">
        <f>"Public Function New_"&amp;DType[[#This Row],[IFC-Name]]&amp;"() As exp"&amp;DType[[#This Row],[Grundtype]]&amp;CHAR(13)&amp;"  Set New_"&amp;DType[[#This Row],[IFC-Name]]&amp;" = ExpressSimpleTypes.New_"&amp;DType[[#This Row],[Grundtype]]&amp;CHAR(13)&amp;"End Function" &amp; CHAR(13) &amp; CHAR(13)</f>
        <v>Public Function New_IfcThermodynamicTemperatureMeasure() As expREAL_x000D_  Set New_IfcThermodynamicTemperatureMeasure = ExpressSimpleTypes.New_REAL_x000D_End Function_x000D__x000D_</v>
      </c>
      <c r="K111" s="37" t="str">
        <f xml:space="preserve"> "  Set TestVar = New_"&amp;DType[[#This Row],[IFC-Name]]</f>
        <v xml:space="preserve">  Set TestVar = New_IfcThermodynamicTemperatureMeasure</v>
      </c>
      <c r="L111" s="1" t="b">
        <v>1</v>
      </c>
      <c r="M111" s="1" t="b">
        <v>1</v>
      </c>
    </row>
    <row r="112" spans="2:13" ht="20.100000000000001" customHeight="1" x14ac:dyDescent="0.25">
      <c r="B112" s="7" t="e">
        <f>IF(DType[[#This Row],[Link]]="","",HYPERLINK(HTML_Doku&amp;DType[[#This Row],[Link]],"Doku"))</f>
        <v>#NAME?</v>
      </c>
      <c r="C112" s="38" t="s">
        <v>1271</v>
      </c>
      <c r="D112" s="39">
        <v>20</v>
      </c>
      <c r="E112" s="40">
        <f>IFERROR(VLOOKUP(DType[ID-Modul],Modul[],15,FALSE),"unbekannt")</f>
        <v>4</v>
      </c>
      <c r="F112" s="38" t="s">
        <v>1158</v>
      </c>
      <c r="G112" s="41" t="s">
        <v>2557</v>
      </c>
      <c r="H112" s="38" t="s">
        <v>3668</v>
      </c>
      <c r="I112" s="38" t="str">
        <f>IFERROR(VLOOKUP(DType[[#This Row],[IFC-Type]],DType[[IFC-Name]:[IFC-Type]],4,FALSE),DType[[#This Row],[IFC-Type]])</f>
        <v>REAL</v>
      </c>
      <c r="J112" s="42" t="str">
        <f>"Public Function New_"&amp;DType[[#This Row],[IFC-Name]]&amp;"() As exp"&amp;DType[[#This Row],[Grundtype]]&amp;CHAR(13)&amp;"  Set New_"&amp;DType[[#This Row],[IFC-Name]]&amp;" = ExpressSimpleTypes.New_"&amp;DType[[#This Row],[Grundtype]]&amp;CHAR(13)&amp;"End Function" &amp; CHAR(13) &amp; CHAR(13)</f>
        <v>Public Function New_IfcTimeMeasure() As expREAL_x000D_  Set New_IfcTimeMeasure = ExpressSimpleTypes.New_REAL_x000D_End Function_x000D__x000D_</v>
      </c>
      <c r="K112" s="37" t="str">
        <f xml:space="preserve"> "  Set TestVar = New_"&amp;DType[[#This Row],[IFC-Name]]</f>
        <v xml:space="preserve">  Set TestVar = New_IfcTimeMeasure</v>
      </c>
      <c r="L112" s="1" t="b">
        <v>1</v>
      </c>
      <c r="M112" s="1" t="b">
        <v>1</v>
      </c>
    </row>
    <row r="113" spans="2:13" ht="20.100000000000001" customHeight="1" x14ac:dyDescent="0.25">
      <c r="B113" s="7" t="e">
        <f>IF(DType[[#This Row],[Link]]="","",HYPERLINK(HTML_Doku&amp;DType[[#This Row],[Link]],"Doku"))</f>
        <v>#NAME?</v>
      </c>
      <c r="C113" s="38" t="s">
        <v>1272</v>
      </c>
      <c r="D113" s="39">
        <v>20</v>
      </c>
      <c r="E113" s="40">
        <f>IFERROR(VLOOKUP(DType[ID-Modul],Modul[],15,FALSE),"unbekannt")</f>
        <v>4</v>
      </c>
      <c r="F113" s="38" t="s">
        <v>1175</v>
      </c>
      <c r="G113" s="41" t="s">
        <v>2558</v>
      </c>
      <c r="H113" s="38" t="s">
        <v>3669</v>
      </c>
      <c r="I113" s="38" t="str">
        <f>IFERROR(VLOOKUP(DType[[#This Row],[IFC-Type]],DType[[IFC-Name]:[IFC-Type]],4,FALSE),DType[[#This Row],[IFC-Type]])</f>
        <v>INTEGER</v>
      </c>
      <c r="J113" s="42" t="str">
        <f>"Public Function New_"&amp;DType[[#This Row],[IFC-Name]]&amp;"() As exp"&amp;DType[[#This Row],[Grundtype]]&amp;CHAR(13)&amp;"  Set New_"&amp;DType[[#This Row],[IFC-Name]]&amp;" = ExpressSimpleTypes.New_"&amp;DType[[#This Row],[Grundtype]]&amp;CHAR(13)&amp;"End Function" &amp; CHAR(13) &amp; CHAR(13)</f>
        <v>Public Function New_IfcTimeStamp() As expINTEGER_x000D_  Set New_IfcTimeStamp = ExpressSimpleTypes.New_INTEGER_x000D_End Function_x000D__x000D_</v>
      </c>
      <c r="K113" s="37" t="str">
        <f xml:space="preserve"> "  Set TestVar = New_"&amp;DType[[#This Row],[IFC-Name]]</f>
        <v xml:space="preserve">  Set TestVar = New_IfcTimeStamp</v>
      </c>
      <c r="L113" s="1" t="b">
        <v>1</v>
      </c>
      <c r="M113" s="1" t="b">
        <v>1</v>
      </c>
    </row>
    <row r="114" spans="2:13" ht="20.100000000000001" customHeight="1" x14ac:dyDescent="0.25">
      <c r="B114" s="7" t="e">
        <f>IF(DType[[#This Row],[Link]]="","",HYPERLINK(HTML_Doku&amp;DType[[#This Row],[Link]],"Doku"))</f>
        <v>#NAME?</v>
      </c>
      <c r="C114" s="38" t="s">
        <v>1273</v>
      </c>
      <c r="D114" s="39">
        <v>20</v>
      </c>
      <c r="E114" s="40">
        <f>IFERROR(VLOOKUP(DType[ID-Modul],Modul[],15,FALSE),"unbekannt")</f>
        <v>4</v>
      </c>
      <c r="F114" s="38" t="s">
        <v>1158</v>
      </c>
      <c r="G114" s="41" t="s">
        <v>2559</v>
      </c>
      <c r="H114" s="38" t="s">
        <v>3670</v>
      </c>
      <c r="I114" s="38" t="str">
        <f>IFERROR(VLOOKUP(DType[[#This Row],[IFC-Type]],DType[[IFC-Name]:[IFC-Type]],4,FALSE),DType[[#This Row],[IFC-Type]])</f>
        <v>REAL</v>
      </c>
      <c r="J114" s="42" t="str">
        <f>"Public Function New_"&amp;DType[[#This Row],[IFC-Name]]&amp;"() As exp"&amp;DType[[#This Row],[Grundtype]]&amp;CHAR(13)&amp;"  Set New_"&amp;DType[[#This Row],[IFC-Name]]&amp;" = ExpressSimpleTypes.New_"&amp;DType[[#This Row],[Grundtype]]&amp;CHAR(13)&amp;"End Function" &amp; CHAR(13) &amp; CHAR(13)</f>
        <v>Public Function New_IfcTorqueMeasure() As expREAL_x000D_  Set New_IfcTorqueMeasure = ExpressSimpleTypes.New_REAL_x000D_End Function_x000D__x000D_</v>
      </c>
      <c r="K114" s="37" t="str">
        <f xml:space="preserve"> "  Set TestVar = New_"&amp;DType[[#This Row],[IFC-Name]]</f>
        <v xml:space="preserve">  Set TestVar = New_IfcTorqueMeasure</v>
      </c>
      <c r="L114" s="1" t="b">
        <v>1</v>
      </c>
      <c r="M114" s="1" t="b">
        <v>1</v>
      </c>
    </row>
    <row r="115" spans="2:13" ht="20.100000000000001" customHeight="1" x14ac:dyDescent="0.25">
      <c r="B115" s="7" t="e">
        <f>IF(DType[[#This Row],[Link]]="","",HYPERLINK(HTML_Doku&amp;DType[[#This Row],[Link]],"Doku"))</f>
        <v>#NAME?</v>
      </c>
      <c r="C115" s="38" t="s">
        <v>1274</v>
      </c>
      <c r="D115" s="39">
        <v>20</v>
      </c>
      <c r="E115" s="40">
        <f>IFERROR(VLOOKUP(DType[ID-Modul],Modul[],15,FALSE),"unbekannt")</f>
        <v>4</v>
      </c>
      <c r="F115" s="38" t="s">
        <v>1158</v>
      </c>
      <c r="G115" s="41" t="s">
        <v>2560</v>
      </c>
      <c r="H115" s="38" t="s">
        <v>3671</v>
      </c>
      <c r="I115" s="38" t="str">
        <f>IFERROR(VLOOKUP(DType[[#This Row],[IFC-Type]],DType[[IFC-Name]:[IFC-Type]],4,FALSE),DType[[#This Row],[IFC-Type]])</f>
        <v>REAL</v>
      </c>
      <c r="J115" s="42" t="str">
        <f>"Public Function New_"&amp;DType[[#This Row],[IFC-Name]]&amp;"() As exp"&amp;DType[[#This Row],[Grundtype]]&amp;CHAR(13)&amp;"  Set New_"&amp;DType[[#This Row],[IFC-Name]]&amp;" = ExpressSimpleTypes.New_"&amp;DType[[#This Row],[Grundtype]]&amp;CHAR(13)&amp;"End Function" &amp; CHAR(13) &amp; CHAR(13)</f>
        <v>Public Function New_IfcVaporPermeabilityMeasure() As expREAL_x000D_  Set New_IfcVaporPermeabilityMeasure = ExpressSimpleTypes.New_REAL_x000D_End Function_x000D__x000D_</v>
      </c>
      <c r="K115" s="37" t="str">
        <f xml:space="preserve"> "  Set TestVar = New_"&amp;DType[[#This Row],[IFC-Name]]</f>
        <v xml:space="preserve">  Set TestVar = New_IfcVaporPermeabilityMeasure</v>
      </c>
      <c r="L115" s="1" t="b">
        <v>1</v>
      </c>
      <c r="M115" s="1" t="b">
        <v>1</v>
      </c>
    </row>
    <row r="116" spans="2:13" ht="20.100000000000001" customHeight="1" x14ac:dyDescent="0.25">
      <c r="B116" s="7" t="e">
        <f>IF(DType[[#This Row],[Link]]="","",HYPERLINK(HTML_Doku&amp;DType[[#This Row],[Link]],"Doku"))</f>
        <v>#NAME?</v>
      </c>
      <c r="C116" s="38" t="s">
        <v>1275</v>
      </c>
      <c r="D116" s="39">
        <v>20</v>
      </c>
      <c r="E116" s="40">
        <f>IFERROR(VLOOKUP(DType[ID-Modul],Modul[],15,FALSE),"unbekannt")</f>
        <v>4</v>
      </c>
      <c r="F116" s="38" t="s">
        <v>1158</v>
      </c>
      <c r="G116" s="41" t="s">
        <v>2561</v>
      </c>
      <c r="H116" s="38" t="s">
        <v>3672</v>
      </c>
      <c r="I116" s="38" t="str">
        <f>IFERROR(VLOOKUP(DType[[#This Row],[IFC-Type]],DType[[IFC-Name]:[IFC-Type]],4,FALSE),DType[[#This Row],[IFC-Type]])</f>
        <v>REAL</v>
      </c>
      <c r="J116" s="42" t="str">
        <f>"Public Function New_"&amp;DType[[#This Row],[IFC-Name]]&amp;"() As exp"&amp;DType[[#This Row],[Grundtype]]&amp;CHAR(13)&amp;"  Set New_"&amp;DType[[#This Row],[IFC-Name]]&amp;" = ExpressSimpleTypes.New_"&amp;DType[[#This Row],[Grundtype]]&amp;CHAR(13)&amp;"End Function" &amp; CHAR(13) &amp; CHAR(13)</f>
        <v>Public Function New_IfcVolumeMeasure() As expREAL_x000D_  Set New_IfcVolumeMeasure = ExpressSimpleTypes.New_REAL_x000D_End Function_x000D__x000D_</v>
      </c>
      <c r="K116" s="37" t="str">
        <f xml:space="preserve"> "  Set TestVar = New_"&amp;DType[[#This Row],[IFC-Name]]</f>
        <v xml:space="preserve">  Set TestVar = New_IfcVolumeMeasure</v>
      </c>
      <c r="L116" s="1" t="b">
        <v>1</v>
      </c>
      <c r="M116" s="1" t="b">
        <v>1</v>
      </c>
    </row>
    <row r="117" spans="2:13" ht="20.100000000000001" customHeight="1" x14ac:dyDescent="0.25">
      <c r="B117" s="7" t="e">
        <f>IF(DType[[#This Row],[Link]]="","",HYPERLINK(HTML_Doku&amp;DType[[#This Row],[Link]],"Doku"))</f>
        <v>#NAME?</v>
      </c>
      <c r="C117" s="38" t="s">
        <v>1276</v>
      </c>
      <c r="D117" s="39">
        <v>20</v>
      </c>
      <c r="E117" s="40">
        <f>IFERROR(VLOOKUP(DType[ID-Modul],Modul[],15,FALSE),"unbekannt")</f>
        <v>4</v>
      </c>
      <c r="F117" s="38" t="s">
        <v>1158</v>
      </c>
      <c r="G117" s="41" t="s">
        <v>2562</v>
      </c>
      <c r="H117" s="38" t="s">
        <v>3673</v>
      </c>
      <c r="I117" s="38" t="str">
        <f>IFERROR(VLOOKUP(DType[[#This Row],[IFC-Type]],DType[[IFC-Name]:[IFC-Type]],4,FALSE),DType[[#This Row],[IFC-Type]])</f>
        <v>REAL</v>
      </c>
      <c r="J117" s="42" t="str">
        <f>"Public Function New_"&amp;DType[[#This Row],[IFC-Name]]&amp;"() As exp"&amp;DType[[#This Row],[Grundtype]]&amp;CHAR(13)&amp;"  Set New_"&amp;DType[[#This Row],[IFC-Name]]&amp;" = ExpressSimpleTypes.New_"&amp;DType[[#This Row],[Grundtype]]&amp;CHAR(13)&amp;"End Function" &amp; CHAR(13) &amp; CHAR(13)</f>
        <v>Public Function New_IfcVolumetricFlowRateMeasure() As expREAL_x000D_  Set New_IfcVolumetricFlowRateMeasure = ExpressSimpleTypes.New_REAL_x000D_End Function_x000D__x000D_</v>
      </c>
      <c r="K117" s="37" t="str">
        <f xml:space="preserve"> "  Set TestVar = New_"&amp;DType[[#This Row],[IFC-Name]]</f>
        <v xml:space="preserve">  Set TestVar = New_IfcVolumetricFlowRateMeasure</v>
      </c>
      <c r="L117" s="1" t="b">
        <v>1</v>
      </c>
      <c r="M117" s="1" t="b">
        <v>1</v>
      </c>
    </row>
    <row r="118" spans="2:13" ht="20.100000000000001" customHeight="1" x14ac:dyDescent="0.25">
      <c r="B118" s="7" t="e">
        <f>IF(DType[[#This Row],[Link]]="","",HYPERLINK(HTML_Doku&amp;DType[[#This Row],[Link]],"Doku"))</f>
        <v>#NAME?</v>
      </c>
      <c r="C118" s="38" t="s">
        <v>1277</v>
      </c>
      <c r="D118" s="39">
        <v>20</v>
      </c>
      <c r="E118" s="40">
        <f>IFERROR(VLOOKUP(DType[ID-Modul],Modul[],15,FALSE),"unbekannt")</f>
        <v>4</v>
      </c>
      <c r="F118" s="38" t="s">
        <v>1158</v>
      </c>
      <c r="G118" s="41" t="s">
        <v>2563</v>
      </c>
      <c r="H118" s="38" t="s">
        <v>3674</v>
      </c>
      <c r="I118" s="38" t="str">
        <f>IFERROR(VLOOKUP(DType[[#This Row],[IFC-Type]],DType[[IFC-Name]:[IFC-Type]],4,FALSE),DType[[#This Row],[IFC-Type]])</f>
        <v>REAL</v>
      </c>
      <c r="J118" s="42" t="str">
        <f>"Public Function New_"&amp;DType[[#This Row],[IFC-Name]]&amp;"() As exp"&amp;DType[[#This Row],[Grundtype]]&amp;CHAR(13)&amp;"  Set New_"&amp;DType[[#This Row],[IFC-Name]]&amp;" = ExpressSimpleTypes.New_"&amp;DType[[#This Row],[Grundtype]]&amp;CHAR(13)&amp;"End Function" &amp; CHAR(13) &amp; CHAR(13)</f>
        <v>Public Function New_IfcWarpingConstantMeasure() As expREAL_x000D_  Set New_IfcWarpingConstantMeasure = ExpressSimpleTypes.New_REAL_x000D_End Function_x000D__x000D_</v>
      </c>
      <c r="K118" s="37" t="str">
        <f xml:space="preserve"> "  Set TestVar = New_"&amp;DType[[#This Row],[IFC-Name]]</f>
        <v xml:space="preserve">  Set TestVar = New_IfcWarpingConstantMeasure</v>
      </c>
      <c r="L118" s="1" t="b">
        <v>1</v>
      </c>
      <c r="M118" s="1" t="b">
        <v>1</v>
      </c>
    </row>
    <row r="119" spans="2:13" ht="20.100000000000001" customHeight="1" x14ac:dyDescent="0.25">
      <c r="B119" s="7" t="e">
        <f>IF(DType[[#This Row],[Link]]="","",HYPERLINK(HTML_Doku&amp;DType[[#This Row],[Link]],"Doku"))</f>
        <v>#NAME?</v>
      </c>
      <c r="C119" s="38" t="s">
        <v>1278</v>
      </c>
      <c r="D119" s="39">
        <v>20</v>
      </c>
      <c r="E119" s="40">
        <f>IFERROR(VLOOKUP(DType[ID-Modul],Modul[],15,FALSE),"unbekannt")</f>
        <v>4</v>
      </c>
      <c r="F119" s="38" t="s">
        <v>1158</v>
      </c>
      <c r="G119" s="41" t="s">
        <v>2564</v>
      </c>
      <c r="H119" s="38" t="s">
        <v>3675</v>
      </c>
      <c r="I119" s="38" t="str">
        <f>IFERROR(VLOOKUP(DType[[#This Row],[IFC-Type]],DType[[IFC-Name]:[IFC-Type]],4,FALSE),DType[[#This Row],[IFC-Type]])</f>
        <v>REAL</v>
      </c>
      <c r="J119" s="42" t="str">
        <f>"Public Function New_"&amp;DType[[#This Row],[IFC-Name]]&amp;"() As exp"&amp;DType[[#This Row],[Grundtype]]&amp;CHAR(13)&amp;"  Set New_"&amp;DType[[#This Row],[IFC-Name]]&amp;" = ExpressSimpleTypes.New_"&amp;DType[[#This Row],[Grundtype]]&amp;CHAR(13)&amp;"End Function" &amp; CHAR(13) &amp; CHAR(13)</f>
        <v>Public Function New_IfcWarpingMomentMeasure() As expREAL_x000D_  Set New_IfcWarpingMomentMeasure = ExpressSimpleTypes.New_REAL_x000D_End Function_x000D__x000D_</v>
      </c>
      <c r="K119" s="37" t="str">
        <f xml:space="preserve"> "  Set TestVar = New_"&amp;DType[[#This Row],[IFC-Name]]</f>
        <v xml:space="preserve">  Set TestVar = New_IfcWarpingMomentMeasure</v>
      </c>
      <c r="L119" s="1" t="b">
        <v>1</v>
      </c>
      <c r="M119" s="1" t="b">
        <v>1</v>
      </c>
    </row>
    <row r="120" spans="2:13" ht="20.100000000000001" customHeight="1" x14ac:dyDescent="0.25">
      <c r="B120" s="7" t="e">
        <f>IF(DType[[#This Row],[Link]]="","",HYPERLINK(HTML_Doku&amp;DType[[#This Row],[Link]],"Doku"))</f>
        <v>#NAME?</v>
      </c>
      <c r="C120" s="38" t="s">
        <v>1279</v>
      </c>
      <c r="D120" s="39">
        <v>9</v>
      </c>
      <c r="E120" s="40">
        <f>IFERROR(VLOOKUP(DType[ID-Modul],Modul[],15,FALSE),"unbekannt")</f>
        <v>3</v>
      </c>
      <c r="F120" s="38" t="s">
        <v>1175</v>
      </c>
      <c r="G120" s="41" t="s">
        <v>2565</v>
      </c>
      <c r="H120" s="38" t="s">
        <v>3676</v>
      </c>
      <c r="I120" s="38" t="str">
        <f>IFERROR(VLOOKUP(DType[[#This Row],[IFC-Type]],DType[[IFC-Name]:[IFC-Type]],4,FALSE),DType[[#This Row],[IFC-Type]])</f>
        <v>INTEGER</v>
      </c>
      <c r="J120" s="42" t="str">
        <f>"Public Function New_"&amp;DType[[#This Row],[IFC-Name]]&amp;"() As exp"&amp;DType[[#This Row],[Grundtype]]&amp;CHAR(13)&amp;"  Set New_"&amp;DType[[#This Row],[IFC-Name]]&amp;" = ExpressSimpleTypes.New_"&amp;DType[[#This Row],[Grundtype]]&amp;CHAR(13)&amp;"End Function" &amp; CHAR(13) &amp; CHAR(13)</f>
        <v>Public Function New_IfcYearNumber() As expINTEGER_x000D_  Set New_IfcYearNumber = ExpressSimpleTypes.New_INTEGER_x000D_End Function_x000D__x000D_</v>
      </c>
      <c r="K120" s="37" t="str">
        <f xml:space="preserve"> "  Set TestVar = New_"&amp;DType[[#This Row],[IFC-Name]]</f>
        <v xml:space="preserve">  Set TestVar = New_IfcYearNumber</v>
      </c>
      <c r="L120" s="1" t="b">
        <v>1</v>
      </c>
      <c r="M120" s="1" t="b">
        <v>1</v>
      </c>
    </row>
  </sheetData>
  <pageMargins left="0.7" right="0.7" top="0.78740157499999996" bottom="0.78740157499999996" header="0.3" footer="0.3"/>
  <pageSetup paperSize="9"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STypes"/>
  <dimension ref="B2:F49"/>
  <sheetViews>
    <sheetView zoomScale="90" zoomScaleNormal="90" workbookViewId="0">
      <selection activeCell="O17" sqref="O17"/>
    </sheetView>
  </sheetViews>
  <sheetFormatPr baseColWidth="10" defaultRowHeight="20.100000000000001" customHeight="1" x14ac:dyDescent="0.25"/>
  <cols>
    <col min="1" max="1" width="9.5703125" style="1" customWidth="1"/>
    <col min="2" max="2" width="10.5703125" style="2" bestFit="1" customWidth="1"/>
    <col min="3" max="3" width="43" style="1" bestFit="1" customWidth="1"/>
    <col min="4" max="4" width="13.85546875" style="1" bestFit="1" customWidth="1"/>
    <col min="5" max="5" width="32.5703125" style="4" bestFit="1" customWidth="1"/>
    <col min="6" max="16384" width="11.42578125" style="1"/>
  </cols>
  <sheetData>
    <row r="2" spans="2:6" ht="20.100000000000001" customHeight="1" x14ac:dyDescent="0.25">
      <c r="B2" s="3">
        <v>1</v>
      </c>
      <c r="C2" s="3">
        <v>2</v>
      </c>
      <c r="D2" s="3">
        <v>3</v>
      </c>
      <c r="E2" s="5">
        <v>4</v>
      </c>
    </row>
    <row r="3" spans="2:6" s="3" customFormat="1" ht="20.100000000000001" customHeight="1" x14ac:dyDescent="0.25">
      <c r="B3" s="3" t="s">
        <v>1750</v>
      </c>
      <c r="C3" s="3" t="s">
        <v>1</v>
      </c>
      <c r="D3" s="3" t="s">
        <v>2</v>
      </c>
      <c r="E3" s="5" t="s">
        <v>3</v>
      </c>
      <c r="F3" s="3" t="s">
        <v>1280</v>
      </c>
    </row>
    <row r="4" spans="2:6" ht="20.100000000000001" customHeight="1" x14ac:dyDescent="0.25">
      <c r="B4" s="1" t="e">
        <f>IF(SType[[#This Row],[Link]]="","",HYPERLINK(HTML_Doku&amp;SType[[#This Row],[Link]],"Doku"))</f>
        <v>#NAME?</v>
      </c>
      <c r="C4" s="1" t="s">
        <v>1457</v>
      </c>
      <c r="D4" s="2">
        <v>1</v>
      </c>
      <c r="E4" s="4" t="str">
        <f>IFERROR(VLOOKUP(SType[ID-Modul],Modul[],2,FALSE),"unbekannt")</f>
        <v>ifcactorresource</v>
      </c>
      <c r="F4" s="30" t="s">
        <v>2566</v>
      </c>
    </row>
    <row r="5" spans="2:6" ht="20.100000000000001" customHeight="1" x14ac:dyDescent="0.25">
      <c r="B5" s="7" t="e">
        <f>IF(SType[[#This Row],[Link]]="","",HYPERLINK(HTML_Doku&amp;SType[[#This Row],[Link]],"Doku"))</f>
        <v>#NAME?</v>
      </c>
      <c r="C5" s="7" t="s">
        <v>1458</v>
      </c>
      <c r="D5" s="6">
        <v>8</v>
      </c>
      <c r="E5" s="20" t="str">
        <f>IFERROR(VLOOKUP(SType[ID-Modul],Modul[],2,FALSE),"unbekannt")</f>
        <v>ifccostresource</v>
      </c>
      <c r="F5" s="30" t="s">
        <v>2567</v>
      </c>
    </row>
    <row r="6" spans="2:6" ht="20.100000000000001" customHeight="1" x14ac:dyDescent="0.25">
      <c r="B6" s="7" t="e">
        <f>IF(SType[[#This Row],[Link]]="","",HYPERLINK(HTML_Doku&amp;SType[[#This Row],[Link]],"Doku"))</f>
        <v>#NAME?</v>
      </c>
      <c r="C6" s="7" t="s">
        <v>1459</v>
      </c>
      <c r="D6" s="6">
        <v>15</v>
      </c>
      <c r="E6" s="20" t="str">
        <f>IFERROR(VLOOKUP(SType[ID-Modul],Modul[],2,FALSE),"unbekannt")</f>
        <v>ifcgeometryresource</v>
      </c>
      <c r="F6" s="30" t="s">
        <v>2568</v>
      </c>
    </row>
    <row r="7" spans="2:6" ht="20.100000000000001" customHeight="1" x14ac:dyDescent="0.25">
      <c r="B7" s="7" t="e">
        <f>IF(SType[[#This Row],[Link]]="","",HYPERLINK(HTML_Doku&amp;SType[[#This Row],[Link]],"Doku"))</f>
        <v>#NAME?</v>
      </c>
      <c r="C7" s="7" t="s">
        <v>1460</v>
      </c>
      <c r="D7" s="6">
        <v>14</v>
      </c>
      <c r="E7" s="20" t="str">
        <f>IFERROR(VLOOKUP(SType[ID-Modul],Modul[],2,FALSE),"unbekannt")</f>
        <v>ifcgeometricmodelresource</v>
      </c>
      <c r="F7" s="30" t="s">
        <v>2569</v>
      </c>
    </row>
    <row r="8" spans="2:6" ht="20.100000000000001" customHeight="1" x14ac:dyDescent="0.25">
      <c r="B8" s="7" t="e">
        <f>IF(SType[[#This Row],[Link]]="","",HYPERLINK(HTML_Doku&amp;SType[[#This Row],[Link]],"Doku"))</f>
        <v>#NAME?</v>
      </c>
      <c r="C8" s="7" t="s">
        <v>1461</v>
      </c>
      <c r="D8" s="6">
        <v>22</v>
      </c>
      <c r="E8" s="20" t="str">
        <f>IFERROR(VLOOKUP(SType[ID-Modul],Modul[],2,FALSE),"unbekannt")</f>
        <v>ifcpresentationappearanceresource</v>
      </c>
      <c r="F8" s="30" t="s">
        <v>2570</v>
      </c>
    </row>
    <row r="9" spans="2:6" ht="20.100000000000001" customHeight="1" x14ac:dyDescent="0.25">
      <c r="B9" s="7" t="e">
        <f>IF(SType[[#This Row],[Link]]="","",HYPERLINK(HTML_Doku&amp;SType[[#This Row],[Link]],"Doku"))</f>
        <v>#NAME?</v>
      </c>
      <c r="C9" s="7" t="s">
        <v>1462</v>
      </c>
      <c r="D9" s="6">
        <v>11</v>
      </c>
      <c r="E9" s="20" t="str">
        <f>IFERROR(VLOOKUP(SType[ID-Modul],Modul[],2,FALSE),"unbekannt")</f>
        <v>ifcexternalreferenceresource</v>
      </c>
      <c r="F9" s="30" t="s">
        <v>2571</v>
      </c>
    </row>
    <row r="10" spans="2:6" ht="20.100000000000001" customHeight="1" x14ac:dyDescent="0.25">
      <c r="B10" s="7" t="e">
        <f>IF(SType[[#This Row],[Link]]="","",HYPERLINK(HTML_Doku&amp;SType[[#This Row],[Link]],"Doku"))</f>
        <v>#NAME?</v>
      </c>
      <c r="C10" s="7" t="s">
        <v>1463</v>
      </c>
      <c r="D10" s="6">
        <v>26</v>
      </c>
      <c r="E10" s="20" t="str">
        <f>IFERROR(VLOOKUP(SType[ID-Modul],Modul[],2,FALSE),"unbekannt")</f>
        <v>ifcpresentationresource</v>
      </c>
      <c r="F10" s="30" t="s">
        <v>2572</v>
      </c>
    </row>
    <row r="11" spans="2:6" ht="20.100000000000001" customHeight="1" x14ac:dyDescent="0.25">
      <c r="B11" s="7" t="e">
        <f>IF(SType[[#This Row],[Link]]="","",HYPERLINK(HTML_Doku&amp;SType[[#This Row],[Link]],"Doku"))</f>
        <v>#NAME?</v>
      </c>
      <c r="C11" s="7" t="s">
        <v>1464</v>
      </c>
      <c r="D11" s="6">
        <v>22</v>
      </c>
      <c r="E11" s="20" t="str">
        <f>IFERROR(VLOOKUP(SType[ID-Modul],Modul[],2,FALSE),"unbekannt")</f>
        <v>ifcpresentationappearanceresource</v>
      </c>
      <c r="F11" s="30" t="s">
        <v>2573</v>
      </c>
    </row>
    <row r="12" spans="2:6" ht="20.100000000000001" customHeight="1" x14ac:dyDescent="0.25">
      <c r="B12" s="7" t="e">
        <f>IF(SType[[#This Row],[Link]]="","",HYPERLINK(HTML_Doku&amp;SType[[#This Row],[Link]],"Doku"))</f>
        <v>#NAME?</v>
      </c>
      <c r="C12" s="7" t="s">
        <v>1465</v>
      </c>
      <c r="D12" s="6">
        <v>12</v>
      </c>
      <c r="E12" s="20" t="str">
        <f>IFERROR(VLOOKUP(SType[ID-Modul],Modul[],2,FALSE),"unbekannt")</f>
        <v>ifcfacilitiesmgmtdomain</v>
      </c>
      <c r="F12" s="30" t="s">
        <v>2574</v>
      </c>
    </row>
    <row r="13" spans="2:6" ht="20.100000000000001" customHeight="1" x14ac:dyDescent="0.25">
      <c r="B13" s="7" t="e">
        <f>IF(SType[[#This Row],[Link]]="","",HYPERLINK(HTML_Doku&amp;SType[[#This Row],[Link]],"Doku"))</f>
        <v>#NAME?</v>
      </c>
      <c r="C13" s="7" t="s">
        <v>1466</v>
      </c>
      <c r="D13" s="6">
        <v>14</v>
      </c>
      <c r="E13" s="20" t="str">
        <f>IFERROR(VLOOKUP(SType[ID-Modul],Modul[],2,FALSE),"unbekannt")</f>
        <v>ifcgeometricmodelresource</v>
      </c>
      <c r="F13" s="30" t="s">
        <v>2575</v>
      </c>
    </row>
    <row r="14" spans="2:6" ht="20.100000000000001" customHeight="1" x14ac:dyDescent="0.25">
      <c r="B14" s="7" t="e">
        <f>IF(SType[[#This Row],[Link]]="","",HYPERLINK(HTML_Doku&amp;SType[[#This Row],[Link]],"Doku"))</f>
        <v>#NAME?</v>
      </c>
      <c r="C14" s="7" t="s">
        <v>1467</v>
      </c>
      <c r="D14" s="6">
        <v>22</v>
      </c>
      <c r="E14" s="20" t="str">
        <f>IFERROR(VLOOKUP(SType[ID-Modul],Modul[],2,FALSE),"unbekannt")</f>
        <v>ifcpresentationappearanceresource</v>
      </c>
      <c r="F14" s="30" t="s">
        <v>2576</v>
      </c>
    </row>
    <row r="15" spans="2:6" ht="20.100000000000001" customHeight="1" x14ac:dyDescent="0.25">
      <c r="B15" s="7" t="e">
        <f>IF(SType[[#This Row],[Link]]="","",HYPERLINK(HTML_Doku&amp;SType[[#This Row],[Link]],"Doku"))</f>
        <v>#NAME?</v>
      </c>
      <c r="C15" s="7" t="s">
        <v>1468</v>
      </c>
      <c r="D15" s="6">
        <v>13</v>
      </c>
      <c r="E15" s="20" t="str">
        <f>IFERROR(VLOOKUP(SType[ID-Modul],Modul[],2,FALSE),"unbekannt")</f>
        <v>ifcgeometricconstraintresource</v>
      </c>
      <c r="F15" s="30" t="s">
        <v>2577</v>
      </c>
    </row>
    <row r="16" spans="2:6" ht="20.100000000000001" customHeight="1" x14ac:dyDescent="0.25">
      <c r="B16" s="7" t="e">
        <f>IF(SType[[#This Row],[Link]]="","",HYPERLINK(HTML_Doku&amp;SType[[#This Row],[Link]],"Doku"))</f>
        <v>#NAME?</v>
      </c>
      <c r="C16" s="7" t="s">
        <v>1469</v>
      </c>
      <c r="D16" s="6">
        <v>22</v>
      </c>
      <c r="E16" s="20" t="str">
        <f>IFERROR(VLOOKUP(SType[ID-Modul],Modul[],2,FALSE),"unbekannt")</f>
        <v>ifcpresentationappearanceresource</v>
      </c>
      <c r="F16" s="30" t="s">
        <v>2578</v>
      </c>
    </row>
    <row r="17" spans="2:6" ht="20.100000000000001" customHeight="1" x14ac:dyDescent="0.25">
      <c r="B17" s="7" t="e">
        <f>IF(SType[[#This Row],[Link]]="","",HYPERLINK(HTML_Doku&amp;SType[[#This Row],[Link]],"Doku"))</f>
        <v>#NAME?</v>
      </c>
      <c r="C17" s="7" t="s">
        <v>1470</v>
      </c>
      <c r="D17" s="6">
        <v>9</v>
      </c>
      <c r="E17" s="20" t="str">
        <f>IFERROR(VLOOKUP(SType[ID-Modul],Modul[],2,FALSE),"unbekannt")</f>
        <v>ifcdatetimeresource</v>
      </c>
      <c r="F17" s="30" t="s">
        <v>2579</v>
      </c>
    </row>
    <row r="18" spans="2:6" ht="20.100000000000001" customHeight="1" x14ac:dyDescent="0.25">
      <c r="B18" s="7" t="e">
        <f>IF(SType[[#This Row],[Link]]="","",HYPERLINK(HTML_Doku&amp;SType[[#This Row],[Link]],"Doku"))</f>
        <v>#NAME?</v>
      </c>
      <c r="C18" s="7" t="s">
        <v>1471</v>
      </c>
      <c r="D18" s="6">
        <v>23</v>
      </c>
      <c r="E18" s="20" t="str">
        <f>IFERROR(VLOOKUP(SType[ID-Modul],Modul[],2,FALSE),"unbekannt")</f>
        <v>ifcpresentationdefinitionresource</v>
      </c>
      <c r="F18" s="30" t="s">
        <v>2580</v>
      </c>
    </row>
    <row r="19" spans="2:6" ht="20.100000000000001" customHeight="1" x14ac:dyDescent="0.25">
      <c r="B19" s="7" t="e">
        <f>IF(SType[[#This Row],[Link]]="","",HYPERLINK(HTML_Doku&amp;SType[[#This Row],[Link]],"Doku"))</f>
        <v>#NAME?</v>
      </c>
      <c r="C19" s="7" t="s">
        <v>1472</v>
      </c>
      <c r="D19" s="6">
        <v>20</v>
      </c>
      <c r="E19" s="20" t="str">
        <f>IFERROR(VLOOKUP(SType[ID-Modul],Modul[],2,FALSE),"unbekannt")</f>
        <v>ifcmeasureresource</v>
      </c>
      <c r="F19" s="30" t="s">
        <v>2581</v>
      </c>
    </row>
    <row r="20" spans="2:6" ht="20.100000000000001" customHeight="1" x14ac:dyDescent="0.25">
      <c r="B20" s="7" t="e">
        <f>IF(SType[[#This Row],[Link]]="","",HYPERLINK(HTML_Doku&amp;SType[[#This Row],[Link]],"Doku"))</f>
        <v>#NAME?</v>
      </c>
      <c r="C20" s="7" t="s">
        <v>1473</v>
      </c>
      <c r="D20" s="6">
        <v>11</v>
      </c>
      <c r="E20" s="20" t="str">
        <f>IFERROR(VLOOKUP(SType[ID-Modul],Modul[],2,FALSE),"unbekannt")</f>
        <v>ifcexternalreferenceresource</v>
      </c>
      <c r="F20" s="30" t="s">
        <v>2582</v>
      </c>
    </row>
    <row r="21" spans="2:6" ht="20.100000000000001" customHeight="1" x14ac:dyDescent="0.25">
      <c r="B21" s="7" t="e">
        <f>IF(SType[[#This Row],[Link]]="","",HYPERLINK(HTML_Doku&amp;SType[[#This Row],[Link]],"Doku"))</f>
        <v>#NAME?</v>
      </c>
      <c r="C21" s="7" t="s">
        <v>1474</v>
      </c>
      <c r="D21" s="6">
        <v>24</v>
      </c>
      <c r="E21" s="20" t="str">
        <f>IFERROR(VLOOKUP(SType[ID-Modul],Modul[],2,FALSE),"unbekannt")</f>
        <v>ifcpresentationdimensioningresource</v>
      </c>
      <c r="F21" s="30" t="s">
        <v>2583</v>
      </c>
    </row>
    <row r="22" spans="2:6" ht="20.100000000000001" customHeight="1" x14ac:dyDescent="0.25">
      <c r="B22" s="7" t="e">
        <f>IF(SType[[#This Row],[Link]]="","",HYPERLINK(HTML_Doku&amp;SType[[#This Row],[Link]],"Doku"))</f>
        <v>#NAME?</v>
      </c>
      <c r="C22" s="7" t="s">
        <v>1475</v>
      </c>
      <c r="D22" s="6">
        <v>22</v>
      </c>
      <c r="E22" s="20" t="str">
        <f>IFERROR(VLOOKUP(SType[ID-Modul],Modul[],2,FALSE),"unbekannt")</f>
        <v>ifcpresentationappearanceresource</v>
      </c>
      <c r="F22" s="30" t="s">
        <v>2584</v>
      </c>
    </row>
    <row r="23" spans="2:6" ht="20.100000000000001" customHeight="1" x14ac:dyDescent="0.25">
      <c r="B23" s="7" t="e">
        <f>IF(SType[[#This Row],[Link]]="","",HYPERLINK(HTML_Doku&amp;SType[[#This Row],[Link]],"Doku"))</f>
        <v>#NAME?</v>
      </c>
      <c r="C23" s="7" t="s">
        <v>1476</v>
      </c>
      <c r="D23" s="6">
        <v>22</v>
      </c>
      <c r="E23" s="20" t="str">
        <f>IFERROR(VLOOKUP(SType[ID-Modul],Modul[],2,FALSE),"unbekannt")</f>
        <v>ifcpresentationappearanceresource</v>
      </c>
      <c r="F23" s="30" t="s">
        <v>2585</v>
      </c>
    </row>
    <row r="24" spans="2:6" ht="20.100000000000001" customHeight="1" x14ac:dyDescent="0.25">
      <c r="B24" s="7" t="e">
        <f>IF(SType[[#This Row],[Link]]="","",HYPERLINK(HTML_Doku&amp;SType[[#This Row],[Link]],"Doku"))</f>
        <v>#NAME?</v>
      </c>
      <c r="C24" s="7" t="s">
        <v>1477</v>
      </c>
      <c r="D24" s="6">
        <v>14</v>
      </c>
      <c r="E24" s="20" t="str">
        <f>IFERROR(VLOOKUP(SType[ID-Modul],Modul[],2,FALSE),"unbekannt")</f>
        <v>ifcgeometricmodelresource</v>
      </c>
      <c r="F24" s="30" t="s">
        <v>2586</v>
      </c>
    </row>
    <row r="25" spans="2:6" ht="20.100000000000001" customHeight="1" x14ac:dyDescent="0.25">
      <c r="B25" s="7" t="e">
        <f>IF(SType[[#This Row],[Link]]="","",HYPERLINK(HTML_Doku&amp;SType[[#This Row],[Link]],"Doku"))</f>
        <v>#NAME?</v>
      </c>
      <c r="C25" s="7" t="s">
        <v>1478</v>
      </c>
      <c r="D25" s="6">
        <v>22</v>
      </c>
      <c r="E25" s="20" t="str">
        <f>IFERROR(VLOOKUP(SType[ID-Modul],Modul[],2,FALSE),"unbekannt")</f>
        <v>ifcpresentationappearanceresource</v>
      </c>
      <c r="F25" s="30" t="s">
        <v>2587</v>
      </c>
    </row>
    <row r="26" spans="2:6" ht="20.100000000000001" customHeight="1" x14ac:dyDescent="0.25">
      <c r="B26" s="7" t="e">
        <f>IF(SType[[#This Row],[Link]]="","",HYPERLINK(HTML_Doku&amp;SType[[#This Row],[Link]],"Doku"))</f>
        <v>#NAME?</v>
      </c>
      <c r="C26" s="7" t="s">
        <v>1479</v>
      </c>
      <c r="D26" s="6">
        <v>25</v>
      </c>
      <c r="E26" s="20" t="str">
        <f>IFERROR(VLOOKUP(SType[ID-Modul],Modul[],2,FALSE),"unbekannt")</f>
        <v>ifcpresentationorganizationresource</v>
      </c>
      <c r="F26" s="30" t="s">
        <v>2588</v>
      </c>
    </row>
    <row r="27" spans="2:6" ht="20.100000000000001" customHeight="1" x14ac:dyDescent="0.25">
      <c r="B27" s="7" t="e">
        <f>IF(SType[[#This Row],[Link]]="","",HYPERLINK(HTML_Doku&amp;SType[[#This Row],[Link]],"Doku"))</f>
        <v>#NAME?</v>
      </c>
      <c r="C27" s="7" t="s">
        <v>1480</v>
      </c>
      <c r="D27" s="6">
        <v>11</v>
      </c>
      <c r="E27" s="20" t="str">
        <f>IFERROR(VLOOKUP(SType[ID-Modul],Modul[],2,FALSE),"unbekannt")</f>
        <v>ifcexternalreferenceresource</v>
      </c>
      <c r="F27" s="30" t="s">
        <v>2589</v>
      </c>
    </row>
    <row r="28" spans="2:6" ht="20.100000000000001" customHeight="1" x14ac:dyDescent="0.25">
      <c r="B28" s="7" t="e">
        <f>IF(SType[[#This Row],[Link]]="","",HYPERLINK(HTML_Doku&amp;SType[[#This Row],[Link]],"Doku"))</f>
        <v>#NAME?</v>
      </c>
      <c r="C28" s="7" t="s">
        <v>1481</v>
      </c>
      <c r="D28" s="6">
        <v>25</v>
      </c>
      <c r="E28" s="20" t="str">
        <f>IFERROR(VLOOKUP(SType[ID-Modul],Modul[],2,FALSE),"unbekannt")</f>
        <v>ifcpresentationorganizationresource</v>
      </c>
      <c r="F28" s="30" t="s">
        <v>2590</v>
      </c>
    </row>
    <row r="29" spans="2:6" ht="20.100000000000001" customHeight="1" x14ac:dyDescent="0.25">
      <c r="B29" s="7" t="e">
        <f>IF(SType[[#This Row],[Link]]="","",HYPERLINK(HTML_Doku&amp;SType[[#This Row],[Link]],"Doku"))</f>
        <v>#NAME?</v>
      </c>
      <c r="C29" s="7" t="s">
        <v>1482</v>
      </c>
      <c r="D29" s="6">
        <v>19</v>
      </c>
      <c r="E29" s="20" t="str">
        <f>IFERROR(VLOOKUP(SType[ID-Modul],Modul[],2,FALSE),"unbekannt")</f>
        <v>ifcmaterialresource</v>
      </c>
      <c r="F29" s="30" t="s">
        <v>2591</v>
      </c>
    </row>
    <row r="30" spans="2:6" ht="20.100000000000001" customHeight="1" x14ac:dyDescent="0.25">
      <c r="B30" s="7" t="e">
        <f>IF(SType[[#This Row],[Link]]="","",HYPERLINK(HTML_Doku&amp;SType[[#This Row],[Link]],"Doku"))</f>
        <v>#NAME?</v>
      </c>
      <c r="C30" s="7" t="s">
        <v>1483</v>
      </c>
      <c r="D30" s="6">
        <v>20</v>
      </c>
      <c r="E30" s="20" t="str">
        <f>IFERROR(VLOOKUP(SType[ID-Modul],Modul[],2,FALSE),"unbekannt")</f>
        <v>ifcmeasureresource</v>
      </c>
      <c r="F30" s="30" t="s">
        <v>2592</v>
      </c>
    </row>
    <row r="31" spans="2:6" ht="20.100000000000001" customHeight="1" x14ac:dyDescent="0.25">
      <c r="B31" s="7" t="e">
        <f>IF(SType[[#This Row],[Link]]="","",HYPERLINK(HTML_Doku&amp;SType[[#This Row],[Link]],"Doku"))</f>
        <v>#NAME?</v>
      </c>
      <c r="C31" s="7" t="s">
        <v>1484</v>
      </c>
      <c r="D31" s="6">
        <v>5</v>
      </c>
      <c r="E31" s="20" t="str">
        <f>IFERROR(VLOOKUP(SType[ID-Modul],Modul[],2,FALSE),"unbekannt")</f>
        <v>ifcconstraintresource</v>
      </c>
      <c r="F31" s="30" t="s">
        <v>2593</v>
      </c>
    </row>
    <row r="32" spans="2:6" ht="20.100000000000001" customHeight="1" x14ac:dyDescent="0.25">
      <c r="B32" s="7" t="e">
        <f>IF(SType[[#This Row],[Link]]="","",HYPERLINK(HTML_Doku&amp;SType[[#This Row],[Link]],"Doku"))</f>
        <v>#NAME?</v>
      </c>
      <c r="C32" s="7" t="s">
        <v>1485</v>
      </c>
      <c r="D32" s="6">
        <v>31</v>
      </c>
      <c r="E32" s="20" t="str">
        <f>IFERROR(VLOOKUP(SType[ID-Modul],Modul[],2,FALSE),"unbekannt")</f>
        <v>ifcpropertyresource</v>
      </c>
      <c r="F32" s="30" t="s">
        <v>2594</v>
      </c>
    </row>
    <row r="33" spans="2:6" ht="20.100000000000001" customHeight="1" x14ac:dyDescent="0.25">
      <c r="B33" s="7" t="e">
        <f>IF(SType[[#This Row],[Link]]="","",HYPERLINK(HTML_Doku&amp;SType[[#This Row],[Link]],"Doku"))</f>
        <v>#NAME?</v>
      </c>
      <c r="C33" s="7" t="s">
        <v>1486</v>
      </c>
      <c r="D33" s="6">
        <v>39</v>
      </c>
      <c r="E33" s="20" t="str">
        <f>IFERROR(VLOOKUP(SType[ID-Modul],Modul[],2,FALSE),"unbekannt")</f>
        <v>ifcstructuralanalysisdomain</v>
      </c>
      <c r="F33" s="30" t="s">
        <v>2595</v>
      </c>
    </row>
    <row r="34" spans="2:6" ht="20.100000000000001" customHeight="1" x14ac:dyDescent="0.25">
      <c r="B34" s="7" t="e">
        <f>IF(SType[[#This Row],[Link]]="","",HYPERLINK(HTML_Doku&amp;SType[[#This Row],[Link]],"Doku"))</f>
        <v>#NAME?</v>
      </c>
      <c r="C34" s="7" t="s">
        <v>1487</v>
      </c>
      <c r="D34" s="6">
        <v>13</v>
      </c>
      <c r="E34" s="20" t="str">
        <f>IFERROR(VLOOKUP(SType[ID-Modul],Modul[],2,FALSE),"unbekannt")</f>
        <v>ifcgeometricconstraintresource</v>
      </c>
      <c r="F34" s="30" t="s">
        <v>2596</v>
      </c>
    </row>
    <row r="35" spans="2:6" ht="20.100000000000001" customHeight="1" x14ac:dyDescent="0.25">
      <c r="B35" s="7" t="e">
        <f>IF(SType[[#This Row],[Link]]="","",HYPERLINK(HTML_Doku&amp;SType[[#This Row],[Link]],"Doku"))</f>
        <v>#NAME?</v>
      </c>
      <c r="C35" s="7" t="s">
        <v>1488</v>
      </c>
      <c r="D35" s="6">
        <v>22</v>
      </c>
      <c r="E35" s="20" t="str">
        <f>IFERROR(VLOOKUP(SType[ID-Modul],Modul[],2,FALSE),"unbekannt")</f>
        <v>ifcpresentationappearanceresource</v>
      </c>
      <c r="F35" s="30" t="s">
        <v>2597</v>
      </c>
    </row>
    <row r="36" spans="2:6" ht="20.100000000000001" customHeight="1" x14ac:dyDescent="0.25">
      <c r="B36" s="7" t="e">
        <f>IF(SType[[#This Row],[Link]]="","",HYPERLINK(HTML_Doku&amp;SType[[#This Row],[Link]],"Doku"))</f>
        <v>#NAME?</v>
      </c>
      <c r="C36" s="7" t="s">
        <v>1489</v>
      </c>
      <c r="D36" s="6">
        <v>43</v>
      </c>
      <c r="E36" s="20" t="str">
        <f>IFERROR(VLOOKUP(SType[ID-Modul],Modul[],2,FALSE),"unbekannt")</f>
        <v>ifctopologyresource</v>
      </c>
      <c r="F36" s="30" t="s">
        <v>2598</v>
      </c>
    </row>
    <row r="37" spans="2:6" ht="20.100000000000001" customHeight="1" x14ac:dyDescent="0.25">
      <c r="B37" s="7" t="e">
        <f>IF(SType[[#This Row],[Link]]="","",HYPERLINK(HTML_Doku&amp;SType[[#This Row],[Link]],"Doku"))</f>
        <v>#NAME?</v>
      </c>
      <c r="C37" s="7" t="s">
        <v>1490</v>
      </c>
      <c r="D37" s="6">
        <v>20</v>
      </c>
      <c r="E37" s="20" t="str">
        <f>IFERROR(VLOOKUP(SType[ID-Modul],Modul[],2,FALSE),"unbekannt")</f>
        <v>ifcmeasureresource</v>
      </c>
      <c r="F37" s="30" t="s">
        <v>2599</v>
      </c>
    </row>
    <row r="38" spans="2:6" ht="20.100000000000001" customHeight="1" x14ac:dyDescent="0.25">
      <c r="B38" s="7" t="e">
        <f>IF(SType[[#This Row],[Link]]="","",HYPERLINK(HTML_Doku&amp;SType[[#This Row],[Link]],"Doku"))</f>
        <v>#NAME?</v>
      </c>
      <c r="C38" s="7" t="s">
        <v>1491</v>
      </c>
      <c r="D38" s="6">
        <v>22</v>
      </c>
      <c r="E38" s="20" t="str">
        <f>IFERROR(VLOOKUP(SType[ID-Modul],Modul[],2,FALSE),"unbekannt")</f>
        <v>ifcpresentationappearanceresource</v>
      </c>
      <c r="F38" s="30" t="s">
        <v>2600</v>
      </c>
    </row>
    <row r="39" spans="2:6" ht="20.100000000000001" customHeight="1" x14ac:dyDescent="0.25">
      <c r="B39" s="7" t="e">
        <f>IF(SType[[#This Row],[Link]]="","",HYPERLINK(HTML_Doku&amp;SType[[#This Row],[Link]],"Doku"))</f>
        <v>#NAME?</v>
      </c>
      <c r="C39" s="7" t="s">
        <v>1492</v>
      </c>
      <c r="D39" s="6">
        <v>22</v>
      </c>
      <c r="E39" s="20" t="str">
        <f>IFERROR(VLOOKUP(SType[ID-Modul],Modul[],2,FALSE),"unbekannt")</f>
        <v>ifcpresentationappearanceresource</v>
      </c>
      <c r="F39" s="30" t="s">
        <v>2601</v>
      </c>
    </row>
    <row r="40" spans="2:6" ht="20.100000000000001" customHeight="1" x14ac:dyDescent="0.25">
      <c r="B40" s="7" t="e">
        <f>IF(SType[[#This Row],[Link]]="","",HYPERLINK(HTML_Doku&amp;SType[[#This Row],[Link]],"Doku"))</f>
        <v>#NAME?</v>
      </c>
      <c r="C40" s="7" t="s">
        <v>1493</v>
      </c>
      <c r="D40" s="6">
        <v>39</v>
      </c>
      <c r="E40" s="20" t="str">
        <f>IFERROR(VLOOKUP(SType[ID-Modul],Modul[],2,FALSE),"unbekannt")</f>
        <v>ifcstructuralanalysisdomain</v>
      </c>
      <c r="F40" s="30" t="s">
        <v>2602</v>
      </c>
    </row>
    <row r="41" spans="2:6" ht="20.100000000000001" customHeight="1" x14ac:dyDescent="0.25">
      <c r="B41" s="7" t="e">
        <f>IF(SType[[#This Row],[Link]]="","",HYPERLINK(HTML_Doku&amp;SType[[#This Row],[Link]],"Doku"))</f>
        <v>#NAME?</v>
      </c>
      <c r="C41" s="7" t="s">
        <v>1494</v>
      </c>
      <c r="D41" s="6">
        <v>13</v>
      </c>
      <c r="E41" s="20" t="str">
        <f>IFERROR(VLOOKUP(SType[ID-Modul],Modul[],2,FALSE),"unbekannt")</f>
        <v>ifcgeometricconstraintresource</v>
      </c>
      <c r="F41" s="30" t="s">
        <v>2603</v>
      </c>
    </row>
    <row r="42" spans="2:6" ht="20.100000000000001" customHeight="1" x14ac:dyDescent="0.25">
      <c r="B42" s="7" t="e">
        <f>IF(SType[[#This Row],[Link]]="","",HYPERLINK(HTML_Doku&amp;SType[[#This Row],[Link]],"Doku"))</f>
        <v>#NAME?</v>
      </c>
      <c r="C42" s="7" t="s">
        <v>1495</v>
      </c>
      <c r="D42" s="6">
        <v>22</v>
      </c>
      <c r="E42" s="20" t="str">
        <f>IFERROR(VLOOKUP(SType[ID-Modul],Modul[],2,FALSE),"unbekannt")</f>
        <v>ifcpresentationappearanceresource</v>
      </c>
      <c r="F42" s="30" t="s">
        <v>2604</v>
      </c>
    </row>
    <row r="43" spans="2:6" ht="20.100000000000001" customHeight="1" x14ac:dyDescent="0.25">
      <c r="B43" s="7" t="e">
        <f>IF(SType[[#This Row],[Link]]="","",HYPERLINK(HTML_Doku&amp;SType[[#This Row],[Link]],"Doku"))</f>
        <v>#NAME?</v>
      </c>
      <c r="C43" s="7" t="s">
        <v>1496</v>
      </c>
      <c r="D43" s="6">
        <v>22</v>
      </c>
      <c r="E43" s="20" t="str">
        <f>IFERROR(VLOOKUP(SType[ID-Modul],Modul[],2,FALSE),"unbekannt")</f>
        <v>ifcpresentationappearanceresource</v>
      </c>
      <c r="F43" s="30" t="s">
        <v>2605</v>
      </c>
    </row>
    <row r="44" spans="2:6" ht="20.100000000000001" customHeight="1" x14ac:dyDescent="0.25">
      <c r="B44" s="7" t="e">
        <f>IF(SType[[#This Row],[Link]]="","",HYPERLINK(HTML_Doku&amp;SType[[#This Row],[Link]],"Doku"))</f>
        <v>#NAME?</v>
      </c>
      <c r="C44" s="7" t="s">
        <v>1497</v>
      </c>
      <c r="D44" s="6">
        <v>26</v>
      </c>
      <c r="E44" s="20" t="str">
        <f>IFERROR(VLOOKUP(SType[ID-Modul],Modul[],2,FALSE),"unbekannt")</f>
        <v>ifcpresentationresource</v>
      </c>
      <c r="F44" s="30" t="s">
        <v>2606</v>
      </c>
    </row>
    <row r="45" spans="2:6" ht="20.100000000000001" customHeight="1" x14ac:dyDescent="0.25">
      <c r="B45" s="7" t="e">
        <f>IF(SType[[#This Row],[Link]]="","",HYPERLINK(HTML_Doku&amp;SType[[#This Row],[Link]],"Doku"))</f>
        <v>#NAME?</v>
      </c>
      <c r="C45" s="7" t="s">
        <v>1498</v>
      </c>
      <c r="D45" s="6">
        <v>22</v>
      </c>
      <c r="E45" s="20" t="str">
        <f>IFERROR(VLOOKUP(SType[ID-Modul],Modul[],2,FALSE),"unbekannt")</f>
        <v>ifcpresentationappearanceresource</v>
      </c>
      <c r="F45" s="30" t="s">
        <v>2607</v>
      </c>
    </row>
    <row r="46" spans="2:6" ht="20.100000000000001" customHeight="1" x14ac:dyDescent="0.25">
      <c r="B46" s="7" t="e">
        <f>IF(SType[[#This Row],[Link]]="","",HYPERLINK(HTML_Doku&amp;SType[[#This Row],[Link]],"Doku"))</f>
        <v>#NAME?</v>
      </c>
      <c r="C46" s="7" t="s">
        <v>1499</v>
      </c>
      <c r="D46" s="6">
        <v>15</v>
      </c>
      <c r="E46" s="20" t="str">
        <f>IFERROR(VLOOKUP(SType[ID-Modul],Modul[],2,FALSE),"unbekannt")</f>
        <v>ifcgeometryresource</v>
      </c>
      <c r="F46" s="30" t="s">
        <v>2608</v>
      </c>
    </row>
    <row r="47" spans="2:6" ht="20.100000000000001" customHeight="1" x14ac:dyDescent="0.25">
      <c r="B47" s="7" t="e">
        <f>IF(SType[[#This Row],[Link]]="","",HYPERLINK(HTML_Doku&amp;SType[[#This Row],[Link]],"Doku"))</f>
        <v>#NAME?</v>
      </c>
      <c r="C47" s="7" t="s">
        <v>1500</v>
      </c>
      <c r="D47" s="6">
        <v>20</v>
      </c>
      <c r="E47" s="20" t="str">
        <f>IFERROR(VLOOKUP(SType[ID-Modul],Modul[],2,FALSE),"unbekannt")</f>
        <v>ifcmeasureresource</v>
      </c>
      <c r="F47" s="30" t="s">
        <v>2609</v>
      </c>
    </row>
    <row r="48" spans="2:6" ht="20.100000000000001" customHeight="1" x14ac:dyDescent="0.25">
      <c r="B48" s="7" t="e">
        <f>IF(SType[[#This Row],[Link]]="","",HYPERLINK(HTML_Doku&amp;SType[[#This Row],[Link]],"Doku"))</f>
        <v>#NAME?</v>
      </c>
      <c r="C48" s="7" t="s">
        <v>1501</v>
      </c>
      <c r="D48" s="6">
        <v>20</v>
      </c>
      <c r="E48" s="20" t="str">
        <f>IFERROR(VLOOKUP(SType[ID-Modul],Modul[],2,FALSE),"unbekannt")</f>
        <v>ifcmeasureresource</v>
      </c>
      <c r="F48" s="30" t="s">
        <v>2610</v>
      </c>
    </row>
    <row r="49" spans="2:6" ht="20.100000000000001" customHeight="1" x14ac:dyDescent="0.25">
      <c r="B49" s="7" t="e">
        <f>IF(SType[[#This Row],[Link]]="","",HYPERLINK(HTML_Doku&amp;SType[[#This Row],[Link]],"Doku"))</f>
        <v>#NAME?</v>
      </c>
      <c r="C49" s="7" t="s">
        <v>1502</v>
      </c>
      <c r="D49" s="6">
        <v>15</v>
      </c>
      <c r="E49" s="20" t="str">
        <f>IFERROR(VLOOKUP(SType[ID-Modul],Modul[],2,FALSE),"unbekannt")</f>
        <v>ifcgeometryresource</v>
      </c>
      <c r="F49" s="30" t="s">
        <v>2611</v>
      </c>
    </row>
  </sheetData>
  <pageMargins left="0.7" right="0.7" top="0.78740157499999996" bottom="0.78740157499999996" header="0.3" footer="0.3"/>
  <pageSetup paperSize="9"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nums"/>
  <dimension ref="B2:I167"/>
  <sheetViews>
    <sheetView topLeftCell="A2" zoomScale="90" zoomScaleNormal="90" workbookViewId="0">
      <selection activeCell="E26" sqref="E26"/>
    </sheetView>
  </sheetViews>
  <sheetFormatPr baseColWidth="10" defaultRowHeight="20.100000000000001" customHeight="1" x14ac:dyDescent="0.25"/>
  <cols>
    <col min="1" max="1" width="9.5703125" style="1" customWidth="1"/>
    <col min="2" max="2" width="10.5703125" style="2" bestFit="1" customWidth="1"/>
    <col min="3" max="3" width="43" style="1" bestFit="1" customWidth="1"/>
    <col min="4" max="4" width="13.85546875" style="1" bestFit="1" customWidth="1"/>
    <col min="5" max="5" width="32.5703125" style="4" bestFit="1" customWidth="1"/>
    <col min="6" max="6" width="11.42578125" style="1"/>
    <col min="7" max="7" width="16.5703125" style="1" customWidth="1"/>
    <col min="8" max="8" width="58.28515625" style="1" customWidth="1"/>
    <col min="9" max="9" width="30" style="1" customWidth="1"/>
    <col min="10" max="16384" width="11.42578125" style="1"/>
  </cols>
  <sheetData>
    <row r="2" spans="2:9" ht="20.100000000000001" customHeight="1" x14ac:dyDescent="0.25">
      <c r="B2" s="3">
        <v>1</v>
      </c>
      <c r="C2" s="3">
        <v>2</v>
      </c>
      <c r="D2" s="3">
        <v>3</v>
      </c>
      <c r="E2" s="3">
        <v>4</v>
      </c>
      <c r="F2" s="3">
        <v>5</v>
      </c>
      <c r="G2" s="3">
        <v>6</v>
      </c>
      <c r="H2" s="3">
        <v>7</v>
      </c>
    </row>
    <row r="3" spans="2:9" s="3" customFormat="1" ht="20.100000000000001" customHeight="1" x14ac:dyDescent="0.25">
      <c r="B3" s="3" t="s">
        <v>1750</v>
      </c>
      <c r="C3" s="3" t="s">
        <v>1</v>
      </c>
      <c r="D3" s="3" t="s">
        <v>2</v>
      </c>
      <c r="E3" s="5" t="s">
        <v>3</v>
      </c>
      <c r="F3" s="3" t="s">
        <v>1280</v>
      </c>
      <c r="G3" s="3" t="s">
        <v>3687</v>
      </c>
      <c r="H3" s="3" t="s">
        <v>4867</v>
      </c>
      <c r="I3" s="3" t="s">
        <v>4868</v>
      </c>
    </row>
    <row r="4" spans="2:9" ht="20.100000000000001" customHeight="1" x14ac:dyDescent="0.25">
      <c r="B4" s="36" t="e">
        <f>IF(Enum[[#This Row],[Link]]="","",HYPERLINK(HTML_Doku&amp;Enum[[#This Row],[Link]],"Doku"))</f>
        <v>#NAME?</v>
      </c>
      <c r="C4" s="36" t="s">
        <v>1506</v>
      </c>
      <c r="D4" s="48">
        <v>1</v>
      </c>
      <c r="E4" s="49" t="str">
        <f>IFERROR(VLOOKUP(Enum[ID-Modul],Modul[],2,FALSE),"unbekannt")</f>
        <v>ifcactorresource</v>
      </c>
      <c r="F4" s="53" t="s">
        <v>2615</v>
      </c>
      <c r="G4" s="36" t="s">
        <v>4702</v>
      </c>
      <c r="H4" s="54" t="s">
        <v>4872</v>
      </c>
      <c r="I4" s="36" t="str">
        <f>VLOOKUP(Enum[[#This Row],[ID-Modul]],Modul[],17,FALSE)</f>
        <v>H:\Progs\BIM\IFC2x3\Entwicklung\ExpressToVBA\IfcActorResource</v>
      </c>
    </row>
    <row r="5" spans="2:9" ht="20.100000000000001" customHeight="1" x14ac:dyDescent="0.25">
      <c r="B5" s="36" t="e">
        <f>IF(Enum[[#This Row],[Link]]="","",HYPERLINK(HTML_Doku&amp;Enum[[#This Row],[Link]],"Doku"))</f>
        <v>#NAME?</v>
      </c>
      <c r="C5" s="36" t="s">
        <v>1621</v>
      </c>
      <c r="D5" s="48">
        <v>1</v>
      </c>
      <c r="E5" s="49" t="str">
        <f>IFERROR(VLOOKUP(Enum[ID-Modul],Modul[],2,FALSE),"unbekannt")</f>
        <v>ifcactorresource</v>
      </c>
      <c r="F5" s="53" t="s">
        <v>2730</v>
      </c>
      <c r="G5" s="36" t="s">
        <v>4703</v>
      </c>
      <c r="H5" s="54" t="s">
        <v>4987</v>
      </c>
      <c r="I5" s="36" t="str">
        <f>VLOOKUP(Enum[[#This Row],[ID-Modul]],Modul[],17,FALSE)</f>
        <v>H:\Progs\BIM\IFC2x3\Entwicklung\ExpressToVBA\IfcActorResource</v>
      </c>
    </row>
    <row r="6" spans="2:9" ht="20.100000000000001" customHeight="1" x14ac:dyDescent="0.25">
      <c r="B6" s="7" t="e">
        <f>IF(Enum[[#This Row],[Link]]="","",HYPERLINK(HTML_Doku&amp;Enum[[#This Row],[Link]],"Doku"))</f>
        <v>#NAME?</v>
      </c>
      <c r="C6" s="7" t="s">
        <v>1598</v>
      </c>
      <c r="D6" s="6">
        <v>3</v>
      </c>
      <c r="E6" s="20" t="str">
        <f>IFERROR(VLOOKUP(Enum[ID-Modul],Modul[],2,FALSE),"unbekannt")</f>
        <v>ifcarchitecturedomain</v>
      </c>
      <c r="F6" s="30" t="s">
        <v>2707</v>
      </c>
      <c r="G6" s="1" t="s">
        <v>4704</v>
      </c>
      <c r="H6" s="46" t="s">
        <v>4964</v>
      </c>
      <c r="I6" s="1" t="str">
        <f>VLOOKUP(Enum[[#This Row],[ID-Modul]],Modul[],17,FALSE)</f>
        <v>H:\Progs\BIM\IFC2x3\Entwicklung\ExpressToVBA\IfcArchitectureDomain</v>
      </c>
    </row>
    <row r="7" spans="2:9" ht="29.25" customHeight="1" x14ac:dyDescent="0.25">
      <c r="B7" s="7" t="e">
        <f>IF(Enum[[#This Row],[Link]]="","",HYPERLINK(HTML_Doku&amp;Enum[[#This Row],[Link]],"Doku"))</f>
        <v>#NAME?</v>
      </c>
      <c r="C7" s="7" t="s">
        <v>1505</v>
      </c>
      <c r="D7" s="6">
        <v>4</v>
      </c>
      <c r="E7" s="20" t="str">
        <f>IFERROR(VLOOKUP(Enum[ID-Modul],Modul[],2,FALSE),"unbekannt")</f>
        <v>ifcbuildingcontrolsdomain</v>
      </c>
      <c r="F7" s="30" t="s">
        <v>2614</v>
      </c>
      <c r="G7" s="1" t="s">
        <v>4705</v>
      </c>
      <c r="H7" s="46" t="s">
        <v>4871</v>
      </c>
      <c r="I7" s="1" t="str">
        <f>VLOOKUP(Enum[[#This Row],[ID-Modul]],Modul[],17,FALSE)</f>
        <v>H:\Progs\BIM\IFC2x3\Entwicklung\ExpressToVBA\IfcBuildingControlsDomain</v>
      </c>
    </row>
    <row r="8" spans="2:9" ht="20.100000000000001" customHeight="1" x14ac:dyDescent="0.25">
      <c r="B8" s="7" t="e">
        <f>IF(Enum[[#This Row],[Link]]="","",HYPERLINK(HTML_Doku&amp;Enum[[#This Row],[Link]],"Doku"))</f>
        <v>#NAME?</v>
      </c>
      <c r="C8" s="7" t="s">
        <v>1511</v>
      </c>
      <c r="D8" s="6">
        <v>4</v>
      </c>
      <c r="E8" s="20" t="str">
        <f>IFERROR(VLOOKUP(Enum[ID-Modul],Modul[],2,FALSE),"unbekannt")</f>
        <v>ifcbuildingcontrolsdomain</v>
      </c>
      <c r="F8" s="30" t="s">
        <v>2620</v>
      </c>
      <c r="G8" s="1" t="s">
        <v>4706</v>
      </c>
      <c r="H8" s="46" t="s">
        <v>4877</v>
      </c>
      <c r="I8" s="1" t="str">
        <f>VLOOKUP(Enum[[#This Row],[ID-Modul]],Modul[],17,FALSE)</f>
        <v>H:\Progs\BIM\IFC2x3\Entwicklung\ExpressToVBA\IfcBuildingControlsDomain</v>
      </c>
    </row>
    <row r="9" spans="2:9" ht="20.100000000000001" customHeight="1" x14ac:dyDescent="0.25">
      <c r="B9" s="7" t="e">
        <f>IF(Enum[[#This Row],[Link]]="","",HYPERLINK(HTML_Doku&amp;Enum[[#This Row],[Link]],"Doku"))</f>
        <v>#NAME?</v>
      </c>
      <c r="C9" s="7" t="s">
        <v>1533</v>
      </c>
      <c r="D9" s="6">
        <v>4</v>
      </c>
      <c r="E9" s="20" t="str">
        <f>IFERROR(VLOOKUP(Enum[ID-Modul],Modul[],2,FALSE),"unbekannt")</f>
        <v>ifcbuildingcontrolsdomain</v>
      </c>
      <c r="F9" s="30" t="s">
        <v>2642</v>
      </c>
      <c r="G9" s="1" t="s">
        <v>4707</v>
      </c>
      <c r="H9" s="46" t="s">
        <v>4899</v>
      </c>
      <c r="I9" s="1" t="str">
        <f>VLOOKUP(Enum[[#This Row],[ID-Modul]],Modul[],17,FALSE)</f>
        <v>H:\Progs\BIM\IFC2x3\Entwicklung\ExpressToVBA\IfcBuildingControlsDomain</v>
      </c>
    </row>
    <row r="10" spans="2:9" ht="20.100000000000001" customHeight="1" x14ac:dyDescent="0.25">
      <c r="B10" s="7" t="e">
        <f>IF(Enum[[#This Row],[Link]]="","",HYPERLINK(HTML_Doku&amp;Enum[[#This Row],[Link]],"Doku"))</f>
        <v>#NAME?</v>
      </c>
      <c r="C10" s="7" t="s">
        <v>1573</v>
      </c>
      <c r="D10" s="6">
        <v>4</v>
      </c>
      <c r="E10" s="20" t="str">
        <f>IFERROR(VLOOKUP(Enum[ID-Modul],Modul[],2,FALSE),"unbekannt")</f>
        <v>ifcbuildingcontrolsdomain</v>
      </c>
      <c r="F10" s="30" t="s">
        <v>2682</v>
      </c>
      <c r="G10" s="1" t="s">
        <v>4708</v>
      </c>
      <c r="H10" s="46" t="s">
        <v>4939</v>
      </c>
      <c r="I10" s="1" t="str">
        <f>VLOOKUP(Enum[[#This Row],[ID-Modul]],Modul[],17,FALSE)</f>
        <v>H:\Progs\BIM\IFC2x3\Entwicklung\ExpressToVBA\IfcBuildingControlsDomain</v>
      </c>
    </row>
    <row r="11" spans="2:9" ht="20.100000000000001" customHeight="1" x14ac:dyDescent="0.25">
      <c r="B11" s="7" t="e">
        <f>IF(Enum[[#This Row],[Link]]="","",HYPERLINK(HTML_Doku&amp;Enum[[#This Row],[Link]],"Doku"))</f>
        <v>#NAME?</v>
      </c>
      <c r="C11" s="7" t="s">
        <v>1627</v>
      </c>
      <c r="D11" s="6">
        <v>4</v>
      </c>
      <c r="E11" s="20" t="str">
        <f>IFERROR(VLOOKUP(Enum[ID-Modul],Modul[],2,FALSE),"unbekannt")</f>
        <v>ifcbuildingcontrolsdomain</v>
      </c>
      <c r="F11" s="30" t="s">
        <v>2736</v>
      </c>
      <c r="G11" s="1" t="s">
        <v>4709</v>
      </c>
      <c r="H11" s="46" t="s">
        <v>4991</v>
      </c>
      <c r="I11" s="1" t="str">
        <f>VLOOKUP(Enum[[#This Row],[ID-Modul]],Modul[],17,FALSE)</f>
        <v>H:\Progs\BIM\IFC2x3\Entwicklung\ExpressToVBA\IfcBuildingControlsDomain</v>
      </c>
    </row>
    <row r="12" spans="2:9" ht="20.100000000000001" customHeight="1" x14ac:dyDescent="0.25">
      <c r="B12" s="7" t="e">
        <f>IF(Enum[[#This Row],[Link]]="","",HYPERLINK(HTML_Doku&amp;Enum[[#This Row],[Link]],"Doku"))</f>
        <v>#NAME?</v>
      </c>
      <c r="C12" s="7" t="s">
        <v>1518</v>
      </c>
      <c r="D12" s="6">
        <v>5</v>
      </c>
      <c r="E12" s="20" t="str">
        <f>IFERROR(VLOOKUP(Enum[ID-Modul],Modul[],2,FALSE),"unbekannt")</f>
        <v>ifcconstraintresource</v>
      </c>
      <c r="F12" s="30" t="s">
        <v>2627</v>
      </c>
      <c r="G12" s="1" t="s">
        <v>4710</v>
      </c>
      <c r="H12" s="46" t="s">
        <v>4883</v>
      </c>
      <c r="I12" s="1" t="str">
        <f>VLOOKUP(Enum[[#This Row],[ID-Modul]],Modul[],17,FALSE)</f>
        <v>H:\Progs\BIM\IFC2x3\Entwicklung\ExpressToVBA\IfcConstraintResource</v>
      </c>
    </row>
    <row r="13" spans="2:9" ht="20.100000000000001" customHeight="1" x14ac:dyDescent="0.25">
      <c r="B13" s="7" t="e">
        <f>IF(Enum[[#This Row],[Link]]="","",HYPERLINK(HTML_Doku&amp;Enum[[#This Row],[Link]],"Doku"))</f>
        <v>#NAME?</v>
      </c>
      <c r="C13" s="7" t="s">
        <v>1532</v>
      </c>
      <c r="D13" s="6">
        <v>5</v>
      </c>
      <c r="E13" s="20" t="str">
        <f>IFERROR(VLOOKUP(Enum[ID-Modul],Modul[],2,FALSE),"unbekannt")</f>
        <v>ifcconstraintresource</v>
      </c>
      <c r="F13" s="30" t="s">
        <v>2641</v>
      </c>
      <c r="G13" s="1" t="s">
        <v>4711</v>
      </c>
      <c r="H13" s="46" t="s">
        <v>4898</v>
      </c>
      <c r="I13" s="1" t="str">
        <f>VLOOKUP(Enum[[#This Row],[ID-Modul]],Modul[],17,FALSE)</f>
        <v>H:\Progs\BIM\IFC2x3\Entwicklung\ExpressToVBA\IfcConstraintResource</v>
      </c>
    </row>
    <row r="14" spans="2:9" ht="20.100000000000001" customHeight="1" x14ac:dyDescent="0.25">
      <c r="B14" s="7" t="e">
        <f>IF(Enum[[#This Row],[Link]]="","",HYPERLINK(HTML_Doku&amp;Enum[[#This Row],[Link]],"Doku"))</f>
        <v>#NAME?</v>
      </c>
      <c r="C14" s="7" t="s">
        <v>1590</v>
      </c>
      <c r="D14" s="6">
        <v>5</v>
      </c>
      <c r="E14" s="20" t="str">
        <f>IFERROR(VLOOKUP(Enum[ID-Modul],Modul[],2,FALSE),"unbekannt")</f>
        <v>ifcconstraintresource</v>
      </c>
      <c r="F14" s="30" t="s">
        <v>2699</v>
      </c>
      <c r="G14" s="1" t="s">
        <v>4712</v>
      </c>
      <c r="H14" s="46" t="s">
        <v>4956</v>
      </c>
      <c r="I14" s="1" t="str">
        <f>VLOOKUP(Enum[[#This Row],[ID-Modul]],Modul[],17,FALSE)</f>
        <v>H:\Progs\BIM\IFC2x3\Entwicklung\ExpressToVBA\IfcConstraintResource</v>
      </c>
    </row>
    <row r="15" spans="2:9" ht="20.100000000000001" customHeight="1" x14ac:dyDescent="0.25">
      <c r="B15" s="7" t="e">
        <f>IF(Enum[[#This Row],[Link]]="","",HYPERLINK(HTML_Doku&amp;Enum[[#This Row],[Link]],"Doku"))</f>
        <v>#NAME?</v>
      </c>
      <c r="C15" s="7" t="s">
        <v>1595</v>
      </c>
      <c r="D15" s="6">
        <v>5</v>
      </c>
      <c r="E15" s="20" t="str">
        <f>IFERROR(VLOOKUP(Enum[ID-Modul],Modul[],2,FALSE),"unbekannt")</f>
        <v>ifcconstraintresource</v>
      </c>
      <c r="F15" s="30" t="s">
        <v>2704</v>
      </c>
      <c r="G15" s="1" t="s">
        <v>4713</v>
      </c>
      <c r="H15" s="46" t="s">
        <v>4960</v>
      </c>
      <c r="I15" s="1" t="str">
        <f>VLOOKUP(Enum[[#This Row],[ID-Modul]],Modul[],17,FALSE)</f>
        <v>H:\Progs\BIM\IFC2x3\Entwicklung\ExpressToVBA\IfcConstraintResource</v>
      </c>
    </row>
    <row r="16" spans="2:9" ht="20.100000000000001" customHeight="1" x14ac:dyDescent="0.25">
      <c r="B16" s="7" t="e">
        <f>IF(Enum[[#This Row],[Link]]="","",HYPERLINK(HTML_Doku&amp;Enum[[#This Row],[Link]],"Doku"))</f>
        <v>#NAME?</v>
      </c>
      <c r="C16" s="7" t="s">
        <v>1619</v>
      </c>
      <c r="D16" s="6">
        <v>6</v>
      </c>
      <c r="E16" s="20" t="str">
        <f>IFERROR(VLOOKUP(Enum[ID-Modul],Modul[],2,FALSE),"unbekannt")</f>
        <v>ifcconstructionmgmtdomain</v>
      </c>
      <c r="F16" s="30" t="s">
        <v>2728</v>
      </c>
      <c r="G16" s="1" t="s">
        <v>4714</v>
      </c>
      <c r="H16" s="46" t="s">
        <v>4985</v>
      </c>
      <c r="I16" s="1" t="str">
        <f>VLOOKUP(Enum[[#This Row],[ID-Modul]],Modul[],17,FALSE)</f>
        <v>H:\Progs\BIM\IFC2x3\Entwicklung\ExpressToVBA\IfcConstructionMgmtDomain</v>
      </c>
    </row>
    <row r="17" spans="2:9" ht="20.100000000000001" customHeight="1" x14ac:dyDescent="0.25">
      <c r="B17" s="7" t="e">
        <f>IF(Enum[[#This Row],[Link]]="","",HYPERLINK(HTML_Doku&amp;Enum[[#This Row],[Link]],"Doku"))</f>
        <v>#NAME?</v>
      </c>
      <c r="C17" s="7" t="s">
        <v>1650</v>
      </c>
      <c r="D17" s="6">
        <v>7</v>
      </c>
      <c r="E17" s="20" t="str">
        <f>IFERROR(VLOOKUP(Enum[ID-Modul],Modul[],2,FALSE),"unbekannt")</f>
        <v>ifccontrolextension</v>
      </c>
      <c r="F17" s="30" t="s">
        <v>2759</v>
      </c>
      <c r="G17" s="1" t="s">
        <v>4715</v>
      </c>
      <c r="H17" s="46" t="s">
        <v>5016</v>
      </c>
      <c r="I17" s="1" t="str">
        <f>VLOOKUP(Enum[[#This Row],[ID-Modul]],Modul[],17,FALSE)</f>
        <v>H:\Progs\BIM\IFC2x3\Entwicklung\ExpressToVBA\IfcControlExtension</v>
      </c>
    </row>
    <row r="18" spans="2:9" ht="20.100000000000001" customHeight="1" x14ac:dyDescent="0.25">
      <c r="B18" s="7" t="e">
        <f>IF(Enum[[#This Row],[Link]]="","",HYPERLINK(HTML_Doku&amp;Enum[[#This Row],[Link]],"Doku"))</f>
        <v>#NAME?</v>
      </c>
      <c r="C18" s="7" t="s">
        <v>1514</v>
      </c>
      <c r="D18" s="6">
        <v>8</v>
      </c>
      <c r="E18" s="20" t="str">
        <f>IFERROR(VLOOKUP(Enum[ID-Modul],Modul[],2,FALSE),"unbekannt")</f>
        <v>ifccostresource</v>
      </c>
      <c r="F18" s="30" t="s">
        <v>2623</v>
      </c>
      <c r="G18" s="1" t="s">
        <v>4716</v>
      </c>
      <c r="H18" s="46" t="s">
        <v>4880</v>
      </c>
      <c r="I18" s="1" t="str">
        <f>VLOOKUP(Enum[[#This Row],[ID-Modul]],Modul[],17,FALSE)</f>
        <v>H:\Progs\BIM\IFC2x3\Entwicklung\ExpressToVBA\IfcCostResource</v>
      </c>
    </row>
    <row r="19" spans="2:9" ht="20.100000000000001" customHeight="1" x14ac:dyDescent="0.25">
      <c r="B19" s="7" t="e">
        <f>IF(Enum[[#This Row],[Link]]="","",HYPERLINK(HTML_Doku&amp;Enum[[#This Row],[Link]],"Doku"))</f>
        <v>#NAME?</v>
      </c>
      <c r="C19" s="7" t="s">
        <v>1566</v>
      </c>
      <c r="D19" s="6">
        <v>8</v>
      </c>
      <c r="E19" s="20" t="str">
        <f>IFERROR(VLOOKUP(Enum[ID-Modul],Modul[],2,FALSE),"unbekannt")</f>
        <v>ifccostresource</v>
      </c>
      <c r="F19" s="30" t="s">
        <v>2675</v>
      </c>
      <c r="G19" s="1" t="s">
        <v>4717</v>
      </c>
      <c r="H19" s="46" t="s">
        <v>4932</v>
      </c>
      <c r="I19" s="1" t="str">
        <f>VLOOKUP(Enum[[#This Row],[ID-Modul]],Modul[],17,FALSE)</f>
        <v>H:\Progs\BIM\IFC2x3\Entwicklung\ExpressToVBA\IfcCostResource</v>
      </c>
    </row>
    <row r="20" spans="2:9" ht="20.100000000000001" customHeight="1" x14ac:dyDescent="0.25">
      <c r="B20" s="7" t="e">
        <f>IF(Enum[[#This Row],[Link]]="","",HYPERLINK(HTML_Doku&amp;Enum[[#This Row],[Link]],"Doku"))</f>
        <v>#NAME?</v>
      </c>
      <c r="C20" s="7" t="s">
        <v>1507</v>
      </c>
      <c r="D20" s="6">
        <v>9</v>
      </c>
      <c r="E20" s="20" t="str">
        <f>IFERROR(VLOOKUP(Enum[ID-Modul],Modul[],2,FALSE),"unbekannt")</f>
        <v>ifcdatetimeresource</v>
      </c>
      <c r="F20" s="30" t="s">
        <v>2616</v>
      </c>
      <c r="G20" s="1" t="s">
        <v>4718</v>
      </c>
      <c r="H20" s="46" t="s">
        <v>4873</v>
      </c>
      <c r="I20" s="1" t="str">
        <f>VLOOKUP(Enum[[#This Row],[ID-Modul]],Modul[],17,FALSE)</f>
        <v>H:\Progs\BIM\IFC2x3\Entwicklung\ExpressToVBA\IfcDateTimeResource</v>
      </c>
    </row>
    <row r="21" spans="2:9" ht="20.100000000000001" customHeight="1" x14ac:dyDescent="0.25">
      <c r="B21" s="7" t="e">
        <f>IF(Enum[[#This Row],[Link]]="","",HYPERLINK(HTML_Doku&amp;Enum[[#This Row],[Link]],"Doku"))</f>
        <v>#NAME?</v>
      </c>
      <c r="C21" s="7" t="s">
        <v>1522</v>
      </c>
      <c r="D21" s="6">
        <v>10</v>
      </c>
      <c r="E21" s="20" t="str">
        <f>IFERROR(VLOOKUP(Enum[ID-Modul],Modul[],2,FALSE),"unbekannt")</f>
        <v>ifcelectricaldomain</v>
      </c>
      <c r="F21" s="30" t="s">
        <v>2631</v>
      </c>
      <c r="G21" s="1" t="s">
        <v>4721</v>
      </c>
      <c r="H21" s="46" t="s">
        <v>4888</v>
      </c>
      <c r="I21" s="1" t="str">
        <f>VLOOKUP(Enum[[#This Row],[ID-Modul]],Modul[],17,FALSE)</f>
        <v>H:\Progs\BIM\IFC2x3\Entwicklung\ExpressToVBA\IfcElectricalDomain</v>
      </c>
    </row>
    <row r="22" spans="2:9" ht="20.100000000000001" customHeight="1" x14ac:dyDescent="0.25">
      <c r="B22" s="7" t="e">
        <f>IF(Enum[[#This Row],[Link]]="","",HYPERLINK(HTML_Doku&amp;Enum[[#This Row],[Link]],"Doku"))</f>
        <v>#NAME?</v>
      </c>
      <c r="C22" s="7" t="s">
        <v>1523</v>
      </c>
      <c r="D22" s="6">
        <v>10</v>
      </c>
      <c r="E22" s="20" t="str">
        <f>IFERROR(VLOOKUP(Enum[ID-Modul],Modul[],2,FALSE),"unbekannt")</f>
        <v>ifcelectricaldomain</v>
      </c>
      <c r="F22" s="30" t="s">
        <v>2632</v>
      </c>
      <c r="G22" s="1" t="s">
        <v>4720</v>
      </c>
      <c r="H22" s="46" t="s">
        <v>4889</v>
      </c>
      <c r="I22" s="1" t="str">
        <f>VLOOKUP(Enum[[#This Row],[ID-Modul]],Modul[],17,FALSE)</f>
        <v>H:\Progs\BIM\IFC2x3\Entwicklung\ExpressToVBA\IfcElectricalDomain</v>
      </c>
    </row>
    <row r="23" spans="2:9" ht="20.100000000000001" customHeight="1" x14ac:dyDescent="0.25">
      <c r="B23" s="7" t="e">
        <f>IF(Enum[[#This Row],[Link]]="","",HYPERLINK(HTML_Doku&amp;Enum[[#This Row],[Link]],"Doku"))</f>
        <v>#NAME?</v>
      </c>
      <c r="C23" s="7" t="s">
        <v>1524</v>
      </c>
      <c r="D23" s="6">
        <v>10</v>
      </c>
      <c r="E23" s="20" t="str">
        <f>IFERROR(VLOOKUP(Enum[ID-Modul],Modul[],2,FALSE),"unbekannt")</f>
        <v>ifcelectricaldomain</v>
      </c>
      <c r="F23" s="30" t="s">
        <v>2633</v>
      </c>
      <c r="G23" s="1" t="s">
        <v>4722</v>
      </c>
      <c r="H23" s="46" t="s">
        <v>4890</v>
      </c>
      <c r="I23" s="1" t="str">
        <f>VLOOKUP(Enum[[#This Row],[ID-Modul]],Modul[],17,FALSE)</f>
        <v>H:\Progs\BIM\IFC2x3\Entwicklung\ExpressToVBA\IfcElectricalDomain</v>
      </c>
    </row>
    <row r="24" spans="2:9" ht="20.100000000000001" customHeight="1" x14ac:dyDescent="0.25">
      <c r="B24" s="7" t="e">
        <f>IF(Enum[[#This Row],[Link]]="","",HYPERLINK(HTML_Doku&amp;Enum[[#This Row],[Link]],"Doku"))</f>
        <v>#NAME?</v>
      </c>
      <c r="C24" s="7" t="s">
        <v>1555</v>
      </c>
      <c r="D24" s="6">
        <v>10</v>
      </c>
      <c r="E24" s="20" t="str">
        <f>IFERROR(VLOOKUP(Enum[ID-Modul],Modul[],2,FALSE),"unbekannt")</f>
        <v>ifcelectricaldomain</v>
      </c>
      <c r="F24" s="30" t="s">
        <v>2664</v>
      </c>
      <c r="G24" s="1" t="s">
        <v>4723</v>
      </c>
      <c r="H24" s="46" t="s">
        <v>4921</v>
      </c>
      <c r="I24" s="1" t="str">
        <f>VLOOKUP(Enum[[#This Row],[ID-Modul]],Modul[],17,FALSE)</f>
        <v>H:\Progs\BIM\IFC2x3\Entwicklung\ExpressToVBA\IfcElectricalDomain</v>
      </c>
    </row>
    <row r="25" spans="2:9" ht="20.100000000000001" customHeight="1" x14ac:dyDescent="0.25">
      <c r="B25" s="7" t="e">
        <f>IF(Enum[[#This Row],[Link]]="","",HYPERLINK(HTML_Doku&amp;Enum[[#This Row],[Link]],"Doku"))</f>
        <v>#NAME?</v>
      </c>
      <c r="C25" s="7" t="s">
        <v>1557</v>
      </c>
      <c r="D25" s="6">
        <v>10</v>
      </c>
      <c r="E25" s="20" t="str">
        <f>IFERROR(VLOOKUP(Enum[ID-Modul],Modul[],2,FALSE),"unbekannt")</f>
        <v>ifcelectricaldomain</v>
      </c>
      <c r="F25" s="30" t="s">
        <v>2666</v>
      </c>
      <c r="G25" s="1" t="s">
        <v>4724</v>
      </c>
      <c r="H25" s="46" t="s">
        <v>4923</v>
      </c>
      <c r="I25" s="1" t="str">
        <f>VLOOKUP(Enum[[#This Row],[ID-Modul]],Modul[],17,FALSE)</f>
        <v>H:\Progs\BIM\IFC2x3\Entwicklung\ExpressToVBA\IfcElectricalDomain</v>
      </c>
    </row>
    <row r="26" spans="2:9" ht="20.100000000000001" customHeight="1" x14ac:dyDescent="0.25">
      <c r="B26" s="7" t="e">
        <f>IF(Enum[[#This Row],[Link]]="","",HYPERLINK(HTML_Doku&amp;Enum[[#This Row],[Link]],"Doku"))</f>
        <v>#NAME?</v>
      </c>
      <c r="C26" s="7" t="s">
        <v>1558</v>
      </c>
      <c r="D26" s="6">
        <v>10</v>
      </c>
      <c r="E26" s="20" t="str">
        <f>IFERROR(VLOOKUP(Enum[ID-Modul],Modul[],2,FALSE),"unbekannt")</f>
        <v>ifcelectricaldomain</v>
      </c>
      <c r="F26" s="30" t="s">
        <v>2667</v>
      </c>
      <c r="G26" s="1" t="s">
        <v>4719</v>
      </c>
      <c r="H26" s="46" t="s">
        <v>4924</v>
      </c>
      <c r="I26" s="1" t="str">
        <f>VLOOKUP(Enum[[#This Row],[ID-Modul]],Modul[],17,FALSE)</f>
        <v>H:\Progs\BIM\IFC2x3\Entwicklung\ExpressToVBA\IfcElectricalDomain</v>
      </c>
    </row>
    <row r="27" spans="2:9" ht="20.100000000000001" customHeight="1" x14ac:dyDescent="0.25">
      <c r="B27" s="7" t="e">
        <f>IF(Enum[[#This Row],[Link]]="","",HYPERLINK(HTML_Doku&amp;Enum[[#This Row],[Link]],"Doku"))</f>
        <v>#NAME?</v>
      </c>
      <c r="C27" s="7" t="s">
        <v>1559</v>
      </c>
      <c r="D27" s="6">
        <v>10</v>
      </c>
      <c r="E27" s="20" t="str">
        <f>IFERROR(VLOOKUP(Enum[ID-Modul],Modul[],2,FALSE),"unbekannt")</f>
        <v>ifcelectricaldomain</v>
      </c>
      <c r="F27" s="30" t="s">
        <v>2668</v>
      </c>
      <c r="G27" s="1" t="s">
        <v>4725</v>
      </c>
      <c r="H27" s="46" t="s">
        <v>4925</v>
      </c>
      <c r="I27" s="1" t="str">
        <f>VLOOKUP(Enum[[#This Row],[ID-Modul]],Modul[],17,FALSE)</f>
        <v>H:\Progs\BIM\IFC2x3\Entwicklung\ExpressToVBA\IfcElectricalDomain</v>
      </c>
    </row>
    <row r="28" spans="2:9" ht="20.100000000000001" customHeight="1" x14ac:dyDescent="0.25">
      <c r="B28" s="7" t="e">
        <f>IF(Enum[[#This Row],[Link]]="","",HYPERLINK(HTML_Doku&amp;Enum[[#This Row],[Link]],"Doku"))</f>
        <v>#NAME?</v>
      </c>
      <c r="C28" s="7" t="s">
        <v>1560</v>
      </c>
      <c r="D28" s="6">
        <v>10</v>
      </c>
      <c r="E28" s="20" t="str">
        <f>IFERROR(VLOOKUP(Enum[ID-Modul],Modul[],2,FALSE),"unbekannt")</f>
        <v>ifcelectricaldomain</v>
      </c>
      <c r="F28" s="30" t="s">
        <v>2669</v>
      </c>
      <c r="G28" s="1" t="s">
        <v>4726</v>
      </c>
      <c r="H28" s="46" t="s">
        <v>4926</v>
      </c>
      <c r="I28" s="1" t="str">
        <f>VLOOKUP(Enum[[#This Row],[ID-Modul]],Modul[],17,FALSE)</f>
        <v>H:\Progs\BIM\IFC2x3\Entwicklung\ExpressToVBA\IfcElectricalDomain</v>
      </c>
    </row>
    <row r="29" spans="2:9" ht="20.100000000000001" customHeight="1" x14ac:dyDescent="0.25">
      <c r="B29" s="7" t="e">
        <f>IF(Enum[[#This Row],[Link]]="","",HYPERLINK(HTML_Doku&amp;Enum[[#This Row],[Link]],"Doku"))</f>
        <v>#NAME?</v>
      </c>
      <c r="C29" s="7" t="s">
        <v>1561</v>
      </c>
      <c r="D29" s="6">
        <v>10</v>
      </c>
      <c r="E29" s="20" t="str">
        <f>IFERROR(VLOOKUP(Enum[ID-Modul],Modul[],2,FALSE),"unbekannt")</f>
        <v>ifcelectricaldomain</v>
      </c>
      <c r="F29" s="30" t="s">
        <v>2670</v>
      </c>
      <c r="G29" s="1" t="s">
        <v>4727</v>
      </c>
      <c r="H29" s="46" t="s">
        <v>4927</v>
      </c>
      <c r="I29" s="1" t="str">
        <f>VLOOKUP(Enum[[#This Row],[ID-Modul]],Modul[],17,FALSE)</f>
        <v>H:\Progs\BIM\IFC2x3\Entwicklung\ExpressToVBA\IfcElectricalDomain</v>
      </c>
    </row>
    <row r="30" spans="2:9" ht="20.100000000000001" customHeight="1" x14ac:dyDescent="0.25">
      <c r="B30" s="7" t="e">
        <f>IF(Enum[[#This Row],[Link]]="","",HYPERLINK(HTML_Doku&amp;Enum[[#This Row],[Link]],"Doku"))</f>
        <v>#NAME?</v>
      </c>
      <c r="C30" s="7" t="s">
        <v>1562</v>
      </c>
      <c r="D30" s="6">
        <v>10</v>
      </c>
      <c r="E30" s="20" t="str">
        <f>IFERROR(VLOOKUP(Enum[ID-Modul],Modul[],2,FALSE),"unbekannt")</f>
        <v>ifcelectricaldomain</v>
      </c>
      <c r="F30" s="30" t="s">
        <v>2671</v>
      </c>
      <c r="G30" s="1" t="s">
        <v>4728</v>
      </c>
      <c r="H30" s="46" t="s">
        <v>4928</v>
      </c>
      <c r="I30" s="1" t="str">
        <f>VLOOKUP(Enum[[#This Row],[ID-Modul]],Modul[],17,FALSE)</f>
        <v>H:\Progs\BIM\IFC2x3\Entwicklung\ExpressToVBA\IfcElectricalDomain</v>
      </c>
    </row>
    <row r="31" spans="2:9" ht="20.100000000000001" customHeight="1" x14ac:dyDescent="0.25">
      <c r="B31" s="7" t="e">
        <f>IF(Enum[[#This Row],[Link]]="","",HYPERLINK(HTML_Doku&amp;Enum[[#This Row],[Link]],"Doku"))</f>
        <v>#NAME?</v>
      </c>
      <c r="C31" s="7" t="s">
        <v>1583</v>
      </c>
      <c r="D31" s="6">
        <v>10</v>
      </c>
      <c r="E31" s="20" t="str">
        <f>IFERROR(VLOOKUP(Enum[ID-Modul],Modul[],2,FALSE),"unbekannt")</f>
        <v>ifcelectricaldomain</v>
      </c>
      <c r="F31" s="30" t="s">
        <v>2692</v>
      </c>
      <c r="G31" s="1" t="s">
        <v>4729</v>
      </c>
      <c r="H31" s="46" t="s">
        <v>4949</v>
      </c>
      <c r="I31" s="1" t="str">
        <f>VLOOKUP(Enum[[#This Row],[ID-Modul]],Modul[],17,FALSE)</f>
        <v>H:\Progs\BIM\IFC2x3\Entwicklung\ExpressToVBA\IfcElectricalDomain</v>
      </c>
    </row>
    <row r="32" spans="2:9" ht="20.100000000000001" customHeight="1" x14ac:dyDescent="0.25">
      <c r="B32" s="7" t="e">
        <f>IF(Enum[[#This Row],[Link]]="","",HYPERLINK(HTML_Doku&amp;Enum[[#This Row],[Link]],"Doku"))</f>
        <v>#NAME?</v>
      </c>
      <c r="C32" s="7" t="s">
        <v>1584</v>
      </c>
      <c r="D32" s="6">
        <v>10</v>
      </c>
      <c r="E32" s="20" t="str">
        <f>IFERROR(VLOOKUP(Enum[ID-Modul],Modul[],2,FALSE),"unbekannt")</f>
        <v>ifcelectricaldomain</v>
      </c>
      <c r="F32" s="30" t="s">
        <v>2693</v>
      </c>
      <c r="G32" s="1" t="s">
        <v>4730</v>
      </c>
      <c r="H32" s="46" t="s">
        <v>4950</v>
      </c>
      <c r="I32" s="1" t="str">
        <f>VLOOKUP(Enum[[#This Row],[ID-Modul]],Modul[],17,FALSE)</f>
        <v>H:\Progs\BIM\IFC2x3\Entwicklung\ExpressToVBA\IfcElectricalDomain</v>
      </c>
    </row>
    <row r="33" spans="2:9" ht="20.100000000000001" customHeight="1" x14ac:dyDescent="0.25">
      <c r="B33" s="7" t="e">
        <f>IF(Enum[[#This Row],[Link]]="","",HYPERLINK(HTML_Doku&amp;Enum[[#This Row],[Link]],"Doku"))</f>
        <v>#NAME?</v>
      </c>
      <c r="C33" s="7" t="s">
        <v>1588</v>
      </c>
      <c r="D33" s="6">
        <v>10</v>
      </c>
      <c r="E33" s="20" t="str">
        <f>IFERROR(VLOOKUP(Enum[ID-Modul],Modul[],2,FALSE),"unbekannt")</f>
        <v>ifcelectricaldomain</v>
      </c>
      <c r="F33" s="30" t="s">
        <v>2697</v>
      </c>
      <c r="G33" s="1" t="s">
        <v>4731</v>
      </c>
      <c r="H33" s="46" t="s">
        <v>4954</v>
      </c>
      <c r="I33" s="1" t="str">
        <f>VLOOKUP(Enum[[#This Row],[ID-Modul]],Modul[],17,FALSE)</f>
        <v>H:\Progs\BIM\IFC2x3\Entwicklung\ExpressToVBA\IfcElectricalDomain</v>
      </c>
    </row>
    <row r="34" spans="2:9" ht="20.100000000000001" customHeight="1" x14ac:dyDescent="0.25">
      <c r="B34" s="7" t="e">
        <f>IF(Enum[[#This Row],[Link]]="","",HYPERLINK(HTML_Doku&amp;Enum[[#This Row],[Link]],"Doku"))</f>
        <v>#NAME?</v>
      </c>
      <c r="C34" s="7" t="s">
        <v>1592</v>
      </c>
      <c r="D34" s="6">
        <v>10</v>
      </c>
      <c r="E34" s="20" t="str">
        <f>IFERROR(VLOOKUP(Enum[ID-Modul],Modul[],2,FALSE),"unbekannt")</f>
        <v>ifcelectricaldomain</v>
      </c>
      <c r="F34" s="30" t="s">
        <v>2701</v>
      </c>
      <c r="G34" s="1" t="s">
        <v>4732</v>
      </c>
      <c r="H34" s="46" t="s">
        <v>4958</v>
      </c>
      <c r="I34" s="1" t="str">
        <f>VLOOKUP(Enum[[#This Row],[ID-Modul]],Modul[],17,FALSE)</f>
        <v>H:\Progs\BIM\IFC2x3\Entwicklung\ExpressToVBA\IfcElectricalDomain</v>
      </c>
    </row>
    <row r="35" spans="2:9" ht="20.100000000000001" customHeight="1" x14ac:dyDescent="0.25">
      <c r="B35" s="7" t="e">
        <f>IF(Enum[[#This Row],[Link]]="","",HYPERLINK(HTML_Doku&amp;Enum[[#This Row],[Link]],"Doku"))</f>
        <v>#NAME?</v>
      </c>
      <c r="C35" s="7" t="s">
        <v>1597</v>
      </c>
      <c r="D35" s="6">
        <v>10</v>
      </c>
      <c r="E35" s="20" t="str">
        <f>IFERROR(VLOOKUP(Enum[ID-Modul],Modul[],2,FALSE),"unbekannt")</f>
        <v>ifcelectricaldomain</v>
      </c>
      <c r="F35" s="30" t="s">
        <v>2706</v>
      </c>
      <c r="G35" s="1" t="s">
        <v>4733</v>
      </c>
      <c r="H35" s="46" t="s">
        <v>4963</v>
      </c>
      <c r="I35" s="1" t="str">
        <f>VLOOKUP(Enum[[#This Row],[ID-Modul]],Modul[],17,FALSE)</f>
        <v>H:\Progs\BIM\IFC2x3\Entwicklung\ExpressToVBA\IfcElectricalDomain</v>
      </c>
    </row>
    <row r="36" spans="2:9" ht="20.100000000000001" customHeight="1" x14ac:dyDescent="0.25">
      <c r="B36" s="7" t="e">
        <f>IF(Enum[[#This Row],[Link]]="","",HYPERLINK(HTML_Doku&amp;Enum[[#This Row],[Link]],"Doku"))</f>
        <v>#NAME?</v>
      </c>
      <c r="C36" s="7" t="s">
        <v>1611</v>
      </c>
      <c r="D36" s="6">
        <v>10</v>
      </c>
      <c r="E36" s="20" t="str">
        <f>IFERROR(VLOOKUP(Enum[ID-Modul],Modul[],2,FALSE),"unbekannt")</f>
        <v>ifcelectricaldomain</v>
      </c>
      <c r="F36" s="30" t="s">
        <v>2720</v>
      </c>
      <c r="G36" s="1" t="s">
        <v>4734</v>
      </c>
      <c r="H36" s="46" t="s">
        <v>4977</v>
      </c>
      <c r="I36" s="1" t="str">
        <f>VLOOKUP(Enum[[#This Row],[ID-Modul]],Modul[],17,FALSE)</f>
        <v>H:\Progs\BIM\IFC2x3\Entwicklung\ExpressToVBA\IfcElectricalDomain</v>
      </c>
    </row>
    <row r="37" spans="2:9" ht="20.100000000000001" customHeight="1" x14ac:dyDescent="0.25">
      <c r="B37" s="7" t="e">
        <f>IF(Enum[[#This Row],[Link]]="","",HYPERLINK(HTML_Doku&amp;Enum[[#This Row],[Link]],"Doku"))</f>
        <v>#NAME?</v>
      </c>
      <c r="C37" s="7" t="s">
        <v>1643</v>
      </c>
      <c r="D37" s="6">
        <v>10</v>
      </c>
      <c r="E37" s="20" t="str">
        <f>IFERROR(VLOOKUP(Enum[ID-Modul],Modul[],2,FALSE),"unbekannt")</f>
        <v>ifcelectricaldomain</v>
      </c>
      <c r="F37" s="30" t="s">
        <v>2752</v>
      </c>
      <c r="G37" s="1" t="s">
        <v>4735</v>
      </c>
      <c r="H37" s="46" t="s">
        <v>5009</v>
      </c>
      <c r="I37" s="1" t="str">
        <f>VLOOKUP(Enum[[#This Row],[ID-Modul]],Modul[],17,FALSE)</f>
        <v>H:\Progs\BIM\IFC2x3\Entwicklung\ExpressToVBA\IfcElectricalDomain</v>
      </c>
    </row>
    <row r="38" spans="2:9" ht="20.100000000000001" customHeight="1" x14ac:dyDescent="0.25">
      <c r="B38" s="7" t="e">
        <f>IF(Enum[[#This Row],[Link]]="","",HYPERLINK(HTML_Doku&amp;Enum[[#This Row],[Link]],"Doku"))</f>
        <v>#NAME?</v>
      </c>
      <c r="C38" s="7" t="s">
        <v>1651</v>
      </c>
      <c r="D38" s="6">
        <v>10</v>
      </c>
      <c r="E38" s="20" t="str">
        <f>IFERROR(VLOOKUP(Enum[ID-Modul],Modul[],2,FALSE),"unbekannt")</f>
        <v>ifcelectricaldomain</v>
      </c>
      <c r="F38" s="30" t="s">
        <v>2760</v>
      </c>
      <c r="G38" s="1" t="s">
        <v>4736</v>
      </c>
      <c r="H38" s="46" t="s">
        <v>5017</v>
      </c>
      <c r="I38" s="1" t="str">
        <f>VLOOKUP(Enum[[#This Row],[ID-Modul]],Modul[],17,FALSE)</f>
        <v>H:\Progs\BIM\IFC2x3\Entwicklung\ExpressToVBA\IfcElectricalDomain</v>
      </c>
    </row>
    <row r="39" spans="2:9" ht="20.100000000000001" customHeight="1" x14ac:dyDescent="0.25">
      <c r="B39" s="7" t="e">
        <f>IF(Enum[[#This Row],[Link]]="","",HYPERLINK(HTML_Doku&amp;Enum[[#This Row],[Link]],"Doku"))</f>
        <v>#NAME?</v>
      </c>
      <c r="C39" s="7" t="s">
        <v>1546</v>
      </c>
      <c r="D39" s="6">
        <v>11</v>
      </c>
      <c r="E39" s="20" t="str">
        <f>IFERROR(VLOOKUP(Enum[ID-Modul],Modul[],2,FALSE),"unbekannt")</f>
        <v>ifcexternalreferenceresource</v>
      </c>
      <c r="F39" s="30" t="s">
        <v>2655</v>
      </c>
      <c r="G39" s="1" t="s">
        <v>4737</v>
      </c>
      <c r="H39" s="46" t="s">
        <v>4912</v>
      </c>
      <c r="I39" s="1" t="str">
        <f>VLOOKUP(Enum[[#This Row],[ID-Modul]],Modul[],17,FALSE)</f>
        <v>H:\Progs\BIM\IFC2x3\Entwicklung\ExpressToVBA\IfcExternalReferenceResource</v>
      </c>
    </row>
    <row r="40" spans="2:9" ht="20.100000000000001" customHeight="1" x14ac:dyDescent="0.25">
      <c r="B40" s="7" t="e">
        <f>IF(Enum[[#This Row],[Link]]="","",HYPERLINK(HTML_Doku&amp;Enum[[#This Row],[Link]],"Doku"))</f>
        <v>#NAME?</v>
      </c>
      <c r="C40" s="7" t="s">
        <v>1547</v>
      </c>
      <c r="D40" s="6">
        <v>11</v>
      </c>
      <c r="E40" s="20" t="str">
        <f>IFERROR(VLOOKUP(Enum[ID-Modul],Modul[],2,FALSE),"unbekannt")</f>
        <v>ifcexternalreferenceresource</v>
      </c>
      <c r="F40" s="30" t="s">
        <v>2656</v>
      </c>
      <c r="G40" s="1" t="s">
        <v>4738</v>
      </c>
      <c r="H40" s="46" t="s">
        <v>4913</v>
      </c>
      <c r="I40" s="1" t="str">
        <f>VLOOKUP(Enum[[#This Row],[ID-Modul]],Modul[],17,FALSE)</f>
        <v>H:\Progs\BIM\IFC2x3\Entwicklung\ExpressToVBA\IfcExternalReferenceResource</v>
      </c>
    </row>
    <row r="41" spans="2:9" ht="20.100000000000001" customHeight="1" x14ac:dyDescent="0.25">
      <c r="B41" s="7" t="e">
        <f>IF(Enum[[#This Row],[Link]]="","",HYPERLINK(HTML_Doku&amp;Enum[[#This Row],[Link]],"Doku"))</f>
        <v>#NAME?</v>
      </c>
      <c r="C41" s="7" t="s">
        <v>1520</v>
      </c>
      <c r="D41" s="6">
        <v>14</v>
      </c>
      <c r="E41" s="20" t="str">
        <f>IFERROR(VLOOKUP(Enum[ID-Modul],Modul[],2,FALSE),"unbekannt")</f>
        <v>ifcgeometricmodelresource</v>
      </c>
      <c r="F41" s="30" t="s">
        <v>2629</v>
      </c>
      <c r="G41" s="1" t="s">
        <v>4739</v>
      </c>
      <c r="H41" s="46" t="s">
        <v>4885</v>
      </c>
      <c r="I41" s="1" t="str">
        <f>VLOOKUP(Enum[[#This Row],[ID-Modul]],Modul[],17,FALSE)</f>
        <v>H:\Progs\BIM\IFC2x3\Entwicklung\ExpressToVBA\IfcGeometricModelResource</v>
      </c>
    </row>
    <row r="42" spans="2:9" ht="20.100000000000001" customHeight="1" x14ac:dyDescent="0.25">
      <c r="B42" s="7" t="e">
        <f>IF(Enum[[#This Row],[Link]]="","",HYPERLINK(HTML_Doku&amp;Enum[[#This Row],[Link]],"Doku"))</f>
        <v>#NAME?</v>
      </c>
      <c r="C42" s="7" t="s">
        <v>1516</v>
      </c>
      <c r="D42" s="6">
        <v>15</v>
      </c>
      <c r="E42" s="20" t="str">
        <f>IFERROR(VLOOKUP(Enum[ID-Modul],Modul[],2,FALSE),"unbekannt")</f>
        <v>ifcgeometryresource</v>
      </c>
      <c r="F42" s="30" t="s">
        <v>2625</v>
      </c>
      <c r="G42" s="1" t="s">
        <v>4740</v>
      </c>
      <c r="H42" s="46" t="s">
        <v>4886</v>
      </c>
      <c r="I42" s="1" t="str">
        <f>VLOOKUP(Enum[[#This Row],[ID-Modul]],Modul[],17,FALSE)</f>
        <v>H:\Progs\BIM\IFC2x3\Entwicklung\ExpressToVBA\IfcGeometryResource</v>
      </c>
    </row>
    <row r="43" spans="2:9" ht="20.100000000000001" customHeight="1" x14ac:dyDescent="0.25">
      <c r="B43" s="7" t="e">
        <f>IF(Enum[[#This Row],[Link]]="","",HYPERLINK(HTML_Doku&amp;Enum[[#This Row],[Link]],"Doku"))</f>
        <v>#NAME?</v>
      </c>
      <c r="C43" s="7" t="s">
        <v>1652</v>
      </c>
      <c r="D43" s="6">
        <v>15</v>
      </c>
      <c r="E43" s="20" t="str">
        <f>IFERROR(VLOOKUP(Enum[ID-Modul],Modul[],2,FALSE),"unbekannt")</f>
        <v>ifcgeometryresource</v>
      </c>
      <c r="F43" s="30" t="s">
        <v>2761</v>
      </c>
      <c r="G43" s="1" t="s">
        <v>4741</v>
      </c>
      <c r="H43" s="46" t="s">
        <v>5018</v>
      </c>
      <c r="I43" s="1" t="str">
        <f>VLOOKUP(Enum[[#This Row],[ID-Modul]],Modul[],17,FALSE)</f>
        <v>H:\Progs\BIM\IFC2x3\Entwicklung\ExpressToVBA\IfcGeometryResource</v>
      </c>
    </row>
    <row r="44" spans="2:9" ht="20.100000000000001" customHeight="1" x14ac:dyDescent="0.25">
      <c r="B44" s="7" t="e">
        <f>IF(Enum[[#This Row],[Link]]="","",HYPERLINK(HTML_Doku&amp;Enum[[#This Row],[Link]],"Doku"))</f>
        <v>#NAME?</v>
      </c>
      <c r="C44" s="7" t="s">
        <v>1654</v>
      </c>
      <c r="D44" s="6">
        <v>15</v>
      </c>
      <c r="E44" s="20" t="str">
        <f>IFERROR(VLOOKUP(Enum[ID-Modul],Modul[],2,FALSE),"unbekannt")</f>
        <v>ifcgeometryresource</v>
      </c>
      <c r="F44" s="30" t="s">
        <v>2763</v>
      </c>
      <c r="G44" s="1" t="s">
        <v>4742</v>
      </c>
      <c r="H44" s="46" t="s">
        <v>5020</v>
      </c>
      <c r="I44" s="1" t="str">
        <f>VLOOKUP(Enum[[#This Row],[ID-Modul]],Modul[],17,FALSE)</f>
        <v>H:\Progs\BIM\IFC2x3\Entwicklung\ExpressToVBA\IfcGeometryResource</v>
      </c>
    </row>
    <row r="45" spans="2:9" ht="20.100000000000001" customHeight="1" x14ac:dyDescent="0.25">
      <c r="B45" s="7" t="e">
        <f>IF(Enum[[#This Row],[Link]]="","",HYPERLINK(HTML_Doku&amp;Enum[[#This Row],[Link]],"Doku"))</f>
        <v>#NAME?</v>
      </c>
      <c r="C45" s="7" t="s">
        <v>1508</v>
      </c>
      <c r="D45" s="6">
        <v>16</v>
      </c>
      <c r="E45" s="20" t="str">
        <f>IFERROR(VLOOKUP(Enum[ID-Modul],Modul[],2,FALSE),"unbekannt")</f>
        <v>ifchvacdomain</v>
      </c>
      <c r="F45" s="30" t="s">
        <v>2617</v>
      </c>
      <c r="G45" s="1" t="s">
        <v>4743</v>
      </c>
      <c r="H45" s="46" t="s">
        <v>4874</v>
      </c>
      <c r="I45" s="1" t="str">
        <f>VLOOKUP(Enum[[#This Row],[ID-Modul]],Modul[],17,FALSE)</f>
        <v>H:\Progs\BIM\IFC2x3\Entwicklung\ExpressToVBA\IfcHvacDomain</v>
      </c>
    </row>
    <row r="46" spans="2:9" ht="20.100000000000001" customHeight="1" x14ac:dyDescent="0.25">
      <c r="B46" s="7" t="e">
        <f>IF(Enum[[#This Row],[Link]]="","",HYPERLINK(HTML_Doku&amp;Enum[[#This Row],[Link]],"Doku"))</f>
        <v>#NAME?</v>
      </c>
      <c r="C46" s="7" t="s">
        <v>1509</v>
      </c>
      <c r="D46" s="6">
        <v>16</v>
      </c>
      <c r="E46" s="20" t="str">
        <f>IFERROR(VLOOKUP(Enum[ID-Modul],Modul[],2,FALSE),"unbekannt")</f>
        <v>ifchvacdomain</v>
      </c>
      <c r="F46" s="30" t="s">
        <v>2618</v>
      </c>
      <c r="G46" s="1" t="s">
        <v>4744</v>
      </c>
      <c r="H46" s="46" t="s">
        <v>4875</v>
      </c>
      <c r="I46" s="1" t="str">
        <f>VLOOKUP(Enum[[#This Row],[ID-Modul]],Modul[],17,FALSE)</f>
        <v>H:\Progs\BIM\IFC2x3\Entwicklung\ExpressToVBA\IfcHvacDomain</v>
      </c>
    </row>
    <row r="47" spans="2:9" ht="20.100000000000001" customHeight="1" x14ac:dyDescent="0.25">
      <c r="B47" s="7" t="e">
        <f>IF(Enum[[#This Row],[Link]]="","",HYPERLINK(HTML_Doku&amp;Enum[[#This Row],[Link]],"Doku"))</f>
        <v>#NAME?</v>
      </c>
      <c r="C47" s="7" t="s">
        <v>1510</v>
      </c>
      <c r="D47" s="6">
        <v>16</v>
      </c>
      <c r="E47" s="20" t="str">
        <f>IFERROR(VLOOKUP(Enum[ID-Modul],Modul[],2,FALSE),"unbekannt")</f>
        <v>ifchvacdomain</v>
      </c>
      <c r="F47" s="30" t="s">
        <v>2619</v>
      </c>
      <c r="G47" s="1" t="s">
        <v>4745</v>
      </c>
      <c r="H47" s="46" t="s">
        <v>4876</v>
      </c>
      <c r="I47" s="1" t="str">
        <f>VLOOKUP(Enum[[#This Row],[ID-Modul]],Modul[],17,FALSE)</f>
        <v>H:\Progs\BIM\IFC2x3\Entwicklung\ExpressToVBA\IfcHvacDomain</v>
      </c>
    </row>
    <row r="48" spans="2:9" ht="20.100000000000001" customHeight="1" x14ac:dyDescent="0.25">
      <c r="B48" s="7" t="e">
        <f>IF(Enum[[#This Row],[Link]]="","",HYPERLINK(HTML_Doku&amp;Enum[[#This Row],[Link]],"Doku"))</f>
        <v>#NAME?</v>
      </c>
      <c r="C48" s="7" t="s">
        <v>1519</v>
      </c>
      <c r="D48" s="6">
        <v>16</v>
      </c>
      <c r="E48" s="20" t="str">
        <f>IFERROR(VLOOKUP(Enum[ID-Modul],Modul[],2,FALSE),"unbekannt")</f>
        <v>ifchvacdomain</v>
      </c>
      <c r="F48" s="30" t="s">
        <v>2628</v>
      </c>
      <c r="G48" s="1" t="s">
        <v>4762</v>
      </c>
      <c r="H48" s="46" t="s">
        <v>4884</v>
      </c>
      <c r="I48" s="1" t="str">
        <f>VLOOKUP(Enum[[#This Row],[ID-Modul]],Modul[],17,FALSE)</f>
        <v>H:\Progs\BIM\IFC2x3\Entwicklung\ExpressToVBA\IfcHvacDomain</v>
      </c>
    </row>
    <row r="49" spans="2:9" ht="20.100000000000001" customHeight="1" x14ac:dyDescent="0.25">
      <c r="B49" s="7" t="e">
        <f>IF(Enum[[#This Row],[Link]]="","",HYPERLINK(HTML_Doku&amp;Enum[[#This Row],[Link]],"Doku"))</f>
        <v>#NAME?</v>
      </c>
      <c r="C49" s="7" t="s">
        <v>1526</v>
      </c>
      <c r="D49" s="6">
        <v>16</v>
      </c>
      <c r="E49" s="20" t="str">
        <f>IFERROR(VLOOKUP(Enum[ID-Modul],Modul[],2,FALSE),"unbekannt")</f>
        <v>ifchvacdomain</v>
      </c>
      <c r="F49" s="30" t="s">
        <v>2635</v>
      </c>
      <c r="G49" s="1" t="s">
        <v>4763</v>
      </c>
      <c r="H49" s="46" t="s">
        <v>4892</v>
      </c>
      <c r="I49" s="1" t="str">
        <f>VLOOKUP(Enum[[#This Row],[ID-Modul]],Modul[],17,FALSE)</f>
        <v>H:\Progs\BIM\IFC2x3\Entwicklung\ExpressToVBA\IfcHvacDomain</v>
      </c>
    </row>
    <row r="50" spans="2:9" ht="20.100000000000001" customHeight="1" x14ac:dyDescent="0.25">
      <c r="B50" s="7" t="e">
        <f>IF(Enum[[#This Row],[Link]]="","",HYPERLINK(HTML_Doku&amp;Enum[[#This Row],[Link]],"Doku"))</f>
        <v>#NAME?</v>
      </c>
      <c r="C50" s="7" t="s">
        <v>1527</v>
      </c>
      <c r="D50" s="6">
        <v>16</v>
      </c>
      <c r="E50" s="20" t="str">
        <f>IFERROR(VLOOKUP(Enum[ID-Modul],Modul[],2,FALSE),"unbekannt")</f>
        <v>ifchvacdomain</v>
      </c>
      <c r="F50" s="30" t="s">
        <v>2636</v>
      </c>
      <c r="G50" s="1" t="s">
        <v>4764</v>
      </c>
      <c r="H50" s="46" t="s">
        <v>4893</v>
      </c>
      <c r="I50" s="1" t="str">
        <f>VLOOKUP(Enum[[#This Row],[ID-Modul]],Modul[],17,FALSE)</f>
        <v>H:\Progs\BIM\IFC2x3\Entwicklung\ExpressToVBA\IfcHvacDomain</v>
      </c>
    </row>
    <row r="51" spans="2:9" ht="20.100000000000001" customHeight="1" x14ac:dyDescent="0.25">
      <c r="B51" s="7" t="e">
        <f>IF(Enum[[#This Row],[Link]]="","",HYPERLINK(HTML_Doku&amp;Enum[[#This Row],[Link]],"Doku"))</f>
        <v>#NAME?</v>
      </c>
      <c r="C51" s="7" t="s">
        <v>1529</v>
      </c>
      <c r="D51" s="6">
        <v>16</v>
      </c>
      <c r="E51" s="20" t="str">
        <f>IFERROR(VLOOKUP(Enum[ID-Modul],Modul[],2,FALSE),"unbekannt")</f>
        <v>ifchvacdomain</v>
      </c>
      <c r="F51" s="30" t="s">
        <v>2638</v>
      </c>
      <c r="G51" s="1" t="s">
        <v>4765</v>
      </c>
      <c r="H51" s="46" t="s">
        <v>4895</v>
      </c>
      <c r="I51" s="1" t="str">
        <f>VLOOKUP(Enum[[#This Row],[ID-Modul]],Modul[],17,FALSE)</f>
        <v>H:\Progs\BIM\IFC2x3\Entwicklung\ExpressToVBA\IfcHvacDomain</v>
      </c>
    </row>
    <row r="52" spans="2:9" ht="20.100000000000001" customHeight="1" x14ac:dyDescent="0.25">
      <c r="B52" s="7" t="e">
        <f>IF(Enum[[#This Row],[Link]]="","",HYPERLINK(HTML_Doku&amp;Enum[[#This Row],[Link]],"Doku"))</f>
        <v>#NAME?</v>
      </c>
      <c r="C52" s="7" t="s">
        <v>1530</v>
      </c>
      <c r="D52" s="6">
        <v>16</v>
      </c>
      <c r="E52" s="20" t="str">
        <f>IFERROR(VLOOKUP(Enum[ID-Modul],Modul[],2,FALSE),"unbekannt")</f>
        <v>ifchvacdomain</v>
      </c>
      <c r="F52" s="30" t="s">
        <v>2639</v>
      </c>
      <c r="G52" s="1" t="s">
        <v>4766</v>
      </c>
      <c r="H52" s="46" t="s">
        <v>4896</v>
      </c>
      <c r="I52" s="1" t="str">
        <f>VLOOKUP(Enum[[#This Row],[ID-Modul]],Modul[],17,FALSE)</f>
        <v>H:\Progs\BIM\IFC2x3\Entwicklung\ExpressToVBA\IfcHvacDomain</v>
      </c>
    </row>
    <row r="53" spans="2:9" ht="20.100000000000001" customHeight="1" x14ac:dyDescent="0.25">
      <c r="B53" s="7" t="e">
        <f>IF(Enum[[#This Row],[Link]]="","",HYPERLINK(HTML_Doku&amp;Enum[[#This Row],[Link]],"Doku"))</f>
        <v>#NAME?</v>
      </c>
      <c r="C53" s="7" t="s">
        <v>1534</v>
      </c>
      <c r="D53" s="6">
        <v>16</v>
      </c>
      <c r="E53" s="20" t="str">
        <f>IFERROR(VLOOKUP(Enum[ID-Modul],Modul[],2,FALSE),"unbekannt")</f>
        <v>ifchvacdomain</v>
      </c>
      <c r="F53" s="30" t="s">
        <v>2643</v>
      </c>
      <c r="G53" s="1" t="s">
        <v>4767</v>
      </c>
      <c r="H53" s="46" t="s">
        <v>4900</v>
      </c>
      <c r="I53" s="1" t="str">
        <f>VLOOKUP(Enum[[#This Row],[ID-Modul]],Modul[],17,FALSE)</f>
        <v>H:\Progs\BIM\IFC2x3\Entwicklung\ExpressToVBA\IfcHvacDomain</v>
      </c>
    </row>
    <row r="54" spans="2:9" ht="20.100000000000001" customHeight="1" x14ac:dyDescent="0.25">
      <c r="B54" s="7" t="e">
        <f>IF(Enum[[#This Row],[Link]]="","",HYPERLINK(HTML_Doku&amp;Enum[[#This Row],[Link]],"Doku"))</f>
        <v>#NAME?</v>
      </c>
      <c r="C54" s="7" t="s">
        <v>1535</v>
      </c>
      <c r="D54" s="6">
        <v>16</v>
      </c>
      <c r="E54" s="20" t="str">
        <f>IFERROR(VLOOKUP(Enum[ID-Modul],Modul[],2,FALSE),"unbekannt")</f>
        <v>ifchvacdomain</v>
      </c>
      <c r="F54" s="30" t="s">
        <v>2644</v>
      </c>
      <c r="G54" s="1" t="s">
        <v>4768</v>
      </c>
      <c r="H54" s="46" t="s">
        <v>4901</v>
      </c>
      <c r="I54" s="1" t="str">
        <f>VLOOKUP(Enum[[#This Row],[ID-Modul]],Modul[],17,FALSE)</f>
        <v>H:\Progs\BIM\IFC2x3\Entwicklung\ExpressToVBA\IfcHvacDomain</v>
      </c>
    </row>
    <row r="55" spans="2:9" ht="20.100000000000001" customHeight="1" x14ac:dyDescent="0.25">
      <c r="B55" s="7" t="e">
        <f>IF(Enum[[#This Row],[Link]]="","",HYPERLINK(HTML_Doku&amp;Enum[[#This Row],[Link]],"Doku"))</f>
        <v>#NAME?</v>
      </c>
      <c r="C55" s="7" t="s">
        <v>1540</v>
      </c>
      <c r="D55" s="6">
        <v>16</v>
      </c>
      <c r="E55" s="20" t="str">
        <f>IFERROR(VLOOKUP(Enum[ID-Modul],Modul[],2,FALSE),"unbekannt")</f>
        <v>ifchvacdomain</v>
      </c>
      <c r="F55" s="30" t="s">
        <v>2649</v>
      </c>
      <c r="G55" s="1" t="s">
        <v>4769</v>
      </c>
      <c r="H55" s="46" t="s">
        <v>4906</v>
      </c>
      <c r="I55" s="1" t="str">
        <f>VLOOKUP(Enum[[#This Row],[ID-Modul]],Modul[],17,FALSE)</f>
        <v>H:\Progs\BIM\IFC2x3\Entwicklung\ExpressToVBA\IfcHvacDomain</v>
      </c>
    </row>
    <row r="56" spans="2:9" ht="20.100000000000001" customHeight="1" x14ac:dyDescent="0.25">
      <c r="B56" s="7" t="e">
        <f>IF(Enum[[#This Row],[Link]]="","",HYPERLINK(HTML_Doku&amp;Enum[[#This Row],[Link]],"Doku"))</f>
        <v>#NAME?</v>
      </c>
      <c r="C56" s="7" t="s">
        <v>1552</v>
      </c>
      <c r="D56" s="6">
        <v>16</v>
      </c>
      <c r="E56" s="20" t="str">
        <f>IFERROR(VLOOKUP(Enum[ID-Modul],Modul[],2,FALSE),"unbekannt")</f>
        <v>ifchvacdomain</v>
      </c>
      <c r="F56" s="30" t="s">
        <v>2661</v>
      </c>
      <c r="G56" s="1" t="s">
        <v>4770</v>
      </c>
      <c r="H56" s="46" t="s">
        <v>4918</v>
      </c>
      <c r="I56" s="1" t="str">
        <f>VLOOKUP(Enum[[#This Row],[ID-Modul]],Modul[],17,FALSE)</f>
        <v>H:\Progs\BIM\IFC2x3\Entwicklung\ExpressToVBA\IfcHvacDomain</v>
      </c>
    </row>
    <row r="57" spans="2:9" ht="20.100000000000001" customHeight="1" x14ac:dyDescent="0.25">
      <c r="B57" s="7" t="e">
        <f>IF(Enum[[#This Row],[Link]]="","",HYPERLINK(HTML_Doku&amp;Enum[[#This Row],[Link]],"Doku"))</f>
        <v>#NAME?</v>
      </c>
      <c r="C57" s="7" t="s">
        <v>1553</v>
      </c>
      <c r="D57" s="6">
        <v>16</v>
      </c>
      <c r="E57" s="20" t="str">
        <f>IFERROR(VLOOKUP(Enum[ID-Modul],Modul[],2,FALSE),"unbekannt")</f>
        <v>ifchvacdomain</v>
      </c>
      <c r="F57" s="30" t="s">
        <v>2662</v>
      </c>
      <c r="G57" s="1" t="s">
        <v>4771</v>
      </c>
      <c r="H57" s="46" t="s">
        <v>4919</v>
      </c>
      <c r="I57" s="1" t="str">
        <f>VLOOKUP(Enum[[#This Row],[ID-Modul]],Modul[],17,FALSE)</f>
        <v>H:\Progs\BIM\IFC2x3\Entwicklung\ExpressToVBA\IfcHvacDomain</v>
      </c>
    </row>
    <row r="58" spans="2:9" ht="20.100000000000001" customHeight="1" x14ac:dyDescent="0.25">
      <c r="B58" s="7" t="e">
        <f>IF(Enum[[#This Row],[Link]]="","",HYPERLINK(HTML_Doku&amp;Enum[[#This Row],[Link]],"Doku"))</f>
        <v>#NAME?</v>
      </c>
      <c r="C58" s="7" t="s">
        <v>1554</v>
      </c>
      <c r="D58" s="6">
        <v>16</v>
      </c>
      <c r="E58" s="20" t="str">
        <f>IFERROR(VLOOKUP(Enum[ID-Modul],Modul[],2,FALSE),"unbekannt")</f>
        <v>ifchvacdomain</v>
      </c>
      <c r="F58" s="30" t="s">
        <v>2663</v>
      </c>
      <c r="G58" s="1" t="s">
        <v>4772</v>
      </c>
      <c r="H58" s="46" t="s">
        <v>4920</v>
      </c>
      <c r="I58" s="1" t="str">
        <f>VLOOKUP(Enum[[#This Row],[ID-Modul]],Modul[],17,FALSE)</f>
        <v>H:\Progs\BIM\IFC2x3\Entwicklung\ExpressToVBA\IfcHvacDomain</v>
      </c>
    </row>
    <row r="59" spans="2:9" ht="20.100000000000001" customHeight="1" x14ac:dyDescent="0.25">
      <c r="B59" s="7" t="e">
        <f>IF(Enum[[#This Row],[Link]]="","",HYPERLINK(HTML_Doku&amp;Enum[[#This Row],[Link]],"Doku"))</f>
        <v>#NAME?</v>
      </c>
      <c r="C59" s="7" t="s">
        <v>1567</v>
      </c>
      <c r="D59" s="6">
        <v>16</v>
      </c>
      <c r="E59" s="20" t="str">
        <f>IFERROR(VLOOKUP(Enum[ID-Modul],Modul[],2,FALSE),"unbekannt")</f>
        <v>ifchvacdomain</v>
      </c>
      <c r="F59" s="30" t="s">
        <v>2676</v>
      </c>
      <c r="G59" s="1" t="s">
        <v>4773</v>
      </c>
      <c r="H59" s="46" t="s">
        <v>4933</v>
      </c>
      <c r="I59" s="1" t="str">
        <f>VLOOKUP(Enum[[#This Row],[ID-Modul]],Modul[],17,FALSE)</f>
        <v>H:\Progs\BIM\IFC2x3\Entwicklung\ExpressToVBA\IfcHvacDomain</v>
      </c>
    </row>
    <row r="60" spans="2:9" ht="20.100000000000001" customHeight="1" x14ac:dyDescent="0.25">
      <c r="B60" s="7" t="e">
        <f>IF(Enum[[#This Row],[Link]]="","",HYPERLINK(HTML_Doku&amp;Enum[[#This Row],[Link]],"Doku"))</f>
        <v>#NAME?</v>
      </c>
      <c r="C60" s="7" t="s">
        <v>1568</v>
      </c>
      <c r="D60" s="6">
        <v>16</v>
      </c>
      <c r="E60" s="20" t="str">
        <f>IFERROR(VLOOKUP(Enum[ID-Modul],Modul[],2,FALSE),"unbekannt")</f>
        <v>ifchvacdomain</v>
      </c>
      <c r="F60" s="30" t="s">
        <v>2677</v>
      </c>
      <c r="G60" s="1" t="s">
        <v>4774</v>
      </c>
      <c r="H60" s="46" t="s">
        <v>4934</v>
      </c>
      <c r="I60" s="1" t="str">
        <f>VLOOKUP(Enum[[#This Row],[ID-Modul]],Modul[],17,FALSE)</f>
        <v>H:\Progs\BIM\IFC2x3\Entwicklung\ExpressToVBA\IfcHvacDomain</v>
      </c>
    </row>
    <row r="61" spans="2:9" ht="20.100000000000001" customHeight="1" x14ac:dyDescent="0.25">
      <c r="B61" s="7" t="e">
        <f>IF(Enum[[#This Row],[Link]]="","",HYPERLINK(HTML_Doku&amp;Enum[[#This Row],[Link]],"Doku"))</f>
        <v>#NAME?</v>
      </c>
      <c r="C61" s="7" t="s">
        <v>1569</v>
      </c>
      <c r="D61" s="6">
        <v>16</v>
      </c>
      <c r="E61" s="20" t="str">
        <f>IFERROR(VLOOKUP(Enum[ID-Modul],Modul[],2,FALSE),"unbekannt")</f>
        <v>ifchvacdomain</v>
      </c>
      <c r="F61" s="30" t="s">
        <v>2678</v>
      </c>
      <c r="G61" s="1" t="s">
        <v>4776</v>
      </c>
      <c r="H61" s="46" t="s">
        <v>4935</v>
      </c>
      <c r="I61" s="1" t="str">
        <f>VLOOKUP(Enum[[#This Row],[ID-Modul]],Modul[],17,FALSE)</f>
        <v>H:\Progs\BIM\IFC2x3\Entwicklung\ExpressToVBA\IfcHvacDomain</v>
      </c>
    </row>
    <row r="62" spans="2:9" ht="20.100000000000001" customHeight="1" x14ac:dyDescent="0.25">
      <c r="B62" s="7" t="e">
        <f>IF(Enum[[#This Row],[Link]]="","",HYPERLINK(HTML_Doku&amp;Enum[[#This Row],[Link]],"Doku"))</f>
        <v>#NAME?</v>
      </c>
      <c r="C62" s="7" t="s">
        <v>1570</v>
      </c>
      <c r="D62" s="6">
        <v>16</v>
      </c>
      <c r="E62" s="20" t="str">
        <f>IFERROR(VLOOKUP(Enum[ID-Modul],Modul[],2,FALSE),"unbekannt")</f>
        <v>ifchvacdomain</v>
      </c>
      <c r="F62" s="30" t="s">
        <v>2679</v>
      </c>
      <c r="G62" s="1" t="s">
        <v>4775</v>
      </c>
      <c r="H62" s="46" t="s">
        <v>4936</v>
      </c>
      <c r="I62" s="1" t="str">
        <f>VLOOKUP(Enum[[#This Row],[ID-Modul]],Modul[],17,FALSE)</f>
        <v>H:\Progs\BIM\IFC2x3\Entwicklung\ExpressToVBA\IfcHvacDomain</v>
      </c>
    </row>
    <row r="63" spans="2:9" ht="20.100000000000001" customHeight="1" x14ac:dyDescent="0.25">
      <c r="B63" s="7" t="e">
        <f>IF(Enum[[#This Row],[Link]]="","",HYPERLINK(HTML_Doku&amp;Enum[[#This Row],[Link]],"Doku"))</f>
        <v>#NAME?</v>
      </c>
      <c r="C63" s="7" t="s">
        <v>1574</v>
      </c>
      <c r="D63" s="6">
        <v>16</v>
      </c>
      <c r="E63" s="20" t="str">
        <f>IFERROR(VLOOKUP(Enum[ID-Modul],Modul[],2,FALSE),"unbekannt")</f>
        <v>ifchvacdomain</v>
      </c>
      <c r="F63" s="30" t="s">
        <v>2683</v>
      </c>
      <c r="G63" s="1" t="s">
        <v>4777</v>
      </c>
      <c r="H63" s="46" t="s">
        <v>4940</v>
      </c>
      <c r="I63" s="1" t="str">
        <f>VLOOKUP(Enum[[#This Row],[ID-Modul]],Modul[],17,FALSE)</f>
        <v>H:\Progs\BIM\IFC2x3\Entwicklung\ExpressToVBA\IfcHvacDomain</v>
      </c>
    </row>
    <row r="64" spans="2:9" ht="20.100000000000001" customHeight="1" x14ac:dyDescent="0.25">
      <c r="B64" s="7" t="e">
        <f>IF(Enum[[#This Row],[Link]]="","",HYPERLINK(HTML_Doku&amp;Enum[[#This Row],[Link]],"Doku"))</f>
        <v>#NAME?</v>
      </c>
      <c r="C64" s="7" t="s">
        <v>1576</v>
      </c>
      <c r="D64" s="6">
        <v>16</v>
      </c>
      <c r="E64" s="20" t="str">
        <f>IFERROR(VLOOKUP(Enum[ID-Modul],Modul[],2,FALSE),"unbekannt")</f>
        <v>ifchvacdomain</v>
      </c>
      <c r="F64" s="30" t="s">
        <v>2685</v>
      </c>
      <c r="G64" s="1" t="s">
        <v>4778</v>
      </c>
      <c r="H64" s="46" t="s">
        <v>4942</v>
      </c>
      <c r="I64" s="1" t="str">
        <f>VLOOKUP(Enum[[#This Row],[ID-Modul]],Modul[],17,FALSE)</f>
        <v>H:\Progs\BIM\IFC2x3\Entwicklung\ExpressToVBA\IfcHvacDomain</v>
      </c>
    </row>
    <row r="65" spans="2:9" ht="20.100000000000001" customHeight="1" x14ac:dyDescent="0.25">
      <c r="B65" s="7" t="e">
        <f>IF(Enum[[#This Row],[Link]]="","",HYPERLINK(HTML_Doku&amp;Enum[[#This Row],[Link]],"Doku"))</f>
        <v>#NAME?</v>
      </c>
      <c r="C65" s="7" t="s">
        <v>1579</v>
      </c>
      <c r="D65" s="6">
        <v>16</v>
      </c>
      <c r="E65" s="20" t="str">
        <f>IFERROR(VLOOKUP(Enum[ID-Modul],Modul[],2,FALSE),"unbekannt")</f>
        <v>ifchvacdomain</v>
      </c>
      <c r="F65" s="30" t="s">
        <v>2688</v>
      </c>
      <c r="G65" s="1" t="s">
        <v>4779</v>
      </c>
      <c r="H65" s="46" t="s">
        <v>4945</v>
      </c>
      <c r="I65" s="1" t="str">
        <f>VLOOKUP(Enum[[#This Row],[ID-Modul]],Modul[],17,FALSE)</f>
        <v>H:\Progs\BIM\IFC2x3\Entwicklung\ExpressToVBA\IfcHvacDomain</v>
      </c>
    </row>
    <row r="66" spans="2:9" ht="20.100000000000001" customHeight="1" x14ac:dyDescent="0.25">
      <c r="B66" s="7" t="e">
        <f>IF(Enum[[#This Row],[Link]]="","",HYPERLINK(HTML_Doku&amp;Enum[[#This Row],[Link]],"Doku"))</f>
        <v>#NAME?</v>
      </c>
      <c r="C66" s="7" t="s">
        <v>1580</v>
      </c>
      <c r="D66" s="6">
        <v>16</v>
      </c>
      <c r="E66" s="20" t="str">
        <f>IFERROR(VLOOKUP(Enum[ID-Modul],Modul[],2,FALSE),"unbekannt")</f>
        <v>ifchvacdomain</v>
      </c>
      <c r="F66" s="30" t="s">
        <v>2689</v>
      </c>
      <c r="G66" s="1" t="s">
        <v>4780</v>
      </c>
      <c r="H66" s="46" t="s">
        <v>4946</v>
      </c>
      <c r="I66" s="1" t="str">
        <f>VLOOKUP(Enum[[#This Row],[ID-Modul]],Modul[],17,FALSE)</f>
        <v>H:\Progs\BIM\IFC2x3\Entwicklung\ExpressToVBA\IfcHvacDomain</v>
      </c>
    </row>
    <row r="67" spans="2:9" ht="20.100000000000001" customHeight="1" x14ac:dyDescent="0.25">
      <c r="B67" s="7" t="e">
        <f>IF(Enum[[#This Row],[Link]]="","",HYPERLINK(HTML_Doku&amp;Enum[[#This Row],[Link]],"Doku"))</f>
        <v>#NAME?</v>
      </c>
      <c r="C67" s="7" t="s">
        <v>1602</v>
      </c>
      <c r="D67" s="6">
        <v>16</v>
      </c>
      <c r="E67" s="20" t="str">
        <f>IFERROR(VLOOKUP(Enum[ID-Modul],Modul[],2,FALSE),"unbekannt")</f>
        <v>ifchvacdomain</v>
      </c>
      <c r="F67" s="30" t="s">
        <v>2711</v>
      </c>
      <c r="G67" s="1" t="s">
        <v>4781</v>
      </c>
      <c r="H67" s="46" t="s">
        <v>4968</v>
      </c>
      <c r="I67" s="1" t="str">
        <f>VLOOKUP(Enum[[#This Row],[ID-Modul]],Modul[],17,FALSE)</f>
        <v>H:\Progs\BIM\IFC2x3\Entwicklung\ExpressToVBA\IfcHvacDomain</v>
      </c>
    </row>
    <row r="68" spans="2:9" ht="20.100000000000001" customHeight="1" x14ac:dyDescent="0.25">
      <c r="B68" s="7" t="e">
        <f>IF(Enum[[#This Row],[Link]]="","",HYPERLINK(HTML_Doku&amp;Enum[[#This Row],[Link]],"Doku"))</f>
        <v>#NAME?</v>
      </c>
      <c r="C68" s="7" t="s">
        <v>1603</v>
      </c>
      <c r="D68" s="6">
        <v>16</v>
      </c>
      <c r="E68" s="20" t="str">
        <f>IFERROR(VLOOKUP(Enum[ID-Modul],Modul[],2,FALSE),"unbekannt")</f>
        <v>ifchvacdomain</v>
      </c>
      <c r="F68" s="30" t="s">
        <v>2712</v>
      </c>
      <c r="G68" s="1" t="s">
        <v>4782</v>
      </c>
      <c r="H68" s="46" t="s">
        <v>4969</v>
      </c>
      <c r="I68" s="1" t="str">
        <f>VLOOKUP(Enum[[#This Row],[ID-Modul]],Modul[],17,FALSE)</f>
        <v>H:\Progs\BIM\IFC2x3\Entwicklung\ExpressToVBA\IfcHvacDomain</v>
      </c>
    </row>
    <row r="69" spans="2:9" ht="20.100000000000001" customHeight="1" x14ac:dyDescent="0.25">
      <c r="B69" s="7" t="e">
        <f>IF(Enum[[#This Row],[Link]]="","",HYPERLINK(HTML_Doku&amp;Enum[[#This Row],[Link]],"Doku"))</f>
        <v>#NAME?</v>
      </c>
      <c r="C69" s="7" t="s">
        <v>1612</v>
      </c>
      <c r="D69" s="6">
        <v>16</v>
      </c>
      <c r="E69" s="20" t="str">
        <f>IFERROR(VLOOKUP(Enum[ID-Modul],Modul[],2,FALSE),"unbekannt")</f>
        <v>ifchvacdomain</v>
      </c>
      <c r="F69" s="30" t="s">
        <v>2721</v>
      </c>
      <c r="G69" s="1" t="s">
        <v>4783</v>
      </c>
      <c r="H69" s="46" t="s">
        <v>4978</v>
      </c>
      <c r="I69" s="1" t="str">
        <f>VLOOKUP(Enum[[#This Row],[ID-Modul]],Modul[],17,FALSE)</f>
        <v>H:\Progs\BIM\IFC2x3\Entwicklung\ExpressToVBA\IfcHvacDomain</v>
      </c>
    </row>
    <row r="70" spans="2:9" ht="20.100000000000001" customHeight="1" x14ac:dyDescent="0.25">
      <c r="B70" s="7" t="e">
        <f>IF(Enum[[#This Row],[Link]]="","",HYPERLINK(HTML_Doku&amp;Enum[[#This Row],[Link]],"Doku"))</f>
        <v>#NAME?</v>
      </c>
      <c r="C70" s="7" t="s">
        <v>1633</v>
      </c>
      <c r="D70" s="6">
        <v>16</v>
      </c>
      <c r="E70" s="20" t="str">
        <f>IFERROR(VLOOKUP(Enum[ID-Modul],Modul[],2,FALSE),"unbekannt")</f>
        <v>ifchvacdomain</v>
      </c>
      <c r="F70" s="30" t="s">
        <v>2742</v>
      </c>
      <c r="G70" s="1" t="s">
        <v>4784</v>
      </c>
      <c r="H70" s="46" t="s">
        <v>4999</v>
      </c>
      <c r="I70" s="1" t="str">
        <f>VLOOKUP(Enum[[#This Row],[ID-Modul]],Modul[],17,FALSE)</f>
        <v>H:\Progs\BIM\IFC2x3\Entwicklung\ExpressToVBA\IfcHvacDomain</v>
      </c>
    </row>
    <row r="71" spans="2:9" ht="20.100000000000001" customHeight="1" x14ac:dyDescent="0.25">
      <c r="B71" s="7" t="e">
        <f>IF(Enum[[#This Row],[Link]]="","",HYPERLINK(HTML_Doku&amp;Enum[[#This Row],[Link]],"Doku"))</f>
        <v>#NAME?</v>
      </c>
      <c r="C71" s="7" t="s">
        <v>1644</v>
      </c>
      <c r="D71" s="6">
        <v>16</v>
      </c>
      <c r="E71" s="20" t="str">
        <f>IFERROR(VLOOKUP(Enum[ID-Modul],Modul[],2,FALSE),"unbekannt")</f>
        <v>ifchvacdomain</v>
      </c>
      <c r="F71" s="30" t="s">
        <v>2753</v>
      </c>
      <c r="G71" s="1" t="s">
        <v>4785</v>
      </c>
      <c r="H71" s="46" t="s">
        <v>5010</v>
      </c>
      <c r="I71" s="1" t="str">
        <f>VLOOKUP(Enum[[#This Row],[ID-Modul]],Modul[],17,FALSE)</f>
        <v>H:\Progs\BIM\IFC2x3\Entwicklung\ExpressToVBA\IfcHvacDomain</v>
      </c>
    </row>
    <row r="72" spans="2:9" ht="20.100000000000001" customHeight="1" x14ac:dyDescent="0.25">
      <c r="B72" s="7" t="e">
        <f>IF(Enum[[#This Row],[Link]]="","",HYPERLINK(HTML_Doku&amp;Enum[[#This Row],[Link]],"Doku"))</f>
        <v>#NAME?</v>
      </c>
      <c r="C72" s="7" t="s">
        <v>1655</v>
      </c>
      <c r="D72" s="6">
        <v>16</v>
      </c>
      <c r="E72" s="20" t="str">
        <f>IFERROR(VLOOKUP(Enum[ID-Modul],Modul[],2,FALSE),"unbekannt")</f>
        <v>ifchvacdomain</v>
      </c>
      <c r="F72" s="30" t="s">
        <v>2764</v>
      </c>
      <c r="G72" s="1" t="s">
        <v>4786</v>
      </c>
      <c r="H72" s="46" t="s">
        <v>5021</v>
      </c>
      <c r="I72" s="1" t="str">
        <f>VLOOKUP(Enum[[#This Row],[ID-Modul]],Modul[],17,FALSE)</f>
        <v>H:\Progs\BIM\IFC2x3\Entwicklung\ExpressToVBA\IfcHvacDomain</v>
      </c>
    </row>
    <row r="73" spans="2:9" ht="20.100000000000001" customHeight="1" x14ac:dyDescent="0.25">
      <c r="B73" s="7" t="e">
        <f>IF(Enum[[#This Row],[Link]]="","",HYPERLINK(HTML_Doku&amp;Enum[[#This Row],[Link]],"Doku"))</f>
        <v>#NAME?</v>
      </c>
      <c r="C73" s="7" t="s">
        <v>1657</v>
      </c>
      <c r="D73" s="6">
        <v>16</v>
      </c>
      <c r="E73" s="20" t="str">
        <f>IFERROR(VLOOKUP(Enum[ID-Modul],Modul[],2,FALSE),"unbekannt")</f>
        <v>ifchvacdomain</v>
      </c>
      <c r="F73" s="30" t="s">
        <v>2766</v>
      </c>
      <c r="G73" s="1" t="s">
        <v>4787</v>
      </c>
      <c r="H73" s="46" t="s">
        <v>5022</v>
      </c>
      <c r="I73" s="1" t="str">
        <f>VLOOKUP(Enum[[#This Row],[ID-Modul]],Modul[],17,FALSE)</f>
        <v>H:\Progs\BIM\IFC2x3\Entwicklung\ExpressToVBA\IfcHvacDomain</v>
      </c>
    </row>
    <row r="74" spans="2:9" ht="20.100000000000001" customHeight="1" x14ac:dyDescent="0.25">
      <c r="B74" s="7" t="e">
        <f>IF(Enum[[#This Row],[Link]]="","",HYPERLINK(HTML_Doku&amp;Enum[[#This Row],[Link]],"Doku"))</f>
        <v>#NAME?</v>
      </c>
      <c r="C74" s="7" t="s">
        <v>1658</v>
      </c>
      <c r="D74" s="6">
        <v>16</v>
      </c>
      <c r="E74" s="20" t="str">
        <f>IFERROR(VLOOKUP(Enum[ID-Modul],Modul[],2,FALSE),"unbekannt")</f>
        <v>ifchvacdomain</v>
      </c>
      <c r="F74" s="30" t="s">
        <v>2767</v>
      </c>
      <c r="G74" s="1" t="s">
        <v>4788</v>
      </c>
      <c r="H74" s="46" t="s">
        <v>5024</v>
      </c>
      <c r="I74" s="1" t="str">
        <f>VLOOKUP(Enum[[#This Row],[ID-Modul]],Modul[],17,FALSE)</f>
        <v>H:\Progs\BIM\IFC2x3\Entwicklung\ExpressToVBA\IfcHvacDomain</v>
      </c>
    </row>
    <row r="75" spans="2:9" ht="20.100000000000001" customHeight="1" x14ac:dyDescent="0.25">
      <c r="B75" s="7" t="e">
        <f>IF(Enum[[#This Row],[Link]]="","",HYPERLINK(HTML_Doku&amp;Enum[[#This Row],[Link]],"Doku"))</f>
        <v>#NAME?</v>
      </c>
      <c r="C75" s="7" t="s">
        <v>1659</v>
      </c>
      <c r="D75" s="6">
        <v>16</v>
      </c>
      <c r="E75" s="20" t="str">
        <f>IFERROR(VLOOKUP(Enum[ID-Modul],Modul[],2,FALSE),"unbekannt")</f>
        <v>ifchvacdomain</v>
      </c>
      <c r="F75" s="30" t="s">
        <v>2768</v>
      </c>
      <c r="G75" s="1" t="s">
        <v>4789</v>
      </c>
      <c r="H75" s="46" t="s">
        <v>5025</v>
      </c>
      <c r="I75" s="1" t="str">
        <f>VLOOKUP(Enum[[#This Row],[ID-Modul]],Modul[],17,FALSE)</f>
        <v>H:\Progs\BIM\IFC2x3\Entwicklung\ExpressToVBA\IfcHvacDomain</v>
      </c>
    </row>
    <row r="76" spans="2:9" ht="20.100000000000001" customHeight="1" x14ac:dyDescent="0.25">
      <c r="B76" s="36" t="e">
        <f>IF(Enum[[#This Row],[Link]]="","",HYPERLINK(HTML_Doku&amp;Enum[[#This Row],[Link]],"Doku"))</f>
        <v>#NAME?</v>
      </c>
      <c r="C76" s="36" t="s">
        <v>1594</v>
      </c>
      <c r="D76" s="48">
        <v>17</v>
      </c>
      <c r="E76" s="49" t="str">
        <f>IFERROR(VLOOKUP(Enum[ID-Modul],Modul[],2,FALSE),"unbekannt")</f>
        <v>ifckernel</v>
      </c>
      <c r="F76" s="53" t="s">
        <v>2703</v>
      </c>
      <c r="G76" s="36" t="s">
        <v>4790</v>
      </c>
      <c r="H76" s="54" t="s">
        <v>4961</v>
      </c>
      <c r="I76" s="36" t="str">
        <f>VLOOKUP(Enum[[#This Row],[ID-Modul]],Modul[],17,FALSE)</f>
        <v>H:\Progs\BIM\IFC2x3\Entwicklung\ExpressToVBA\IfcKernel</v>
      </c>
    </row>
    <row r="77" spans="2:9" ht="20.100000000000001" customHeight="1" x14ac:dyDescent="0.25">
      <c r="B77" s="36" t="e">
        <f>IF(Enum[[#This Row],[Link]]="","",HYPERLINK(HTML_Doku&amp;Enum[[#This Row],[Link]],"Doku"))</f>
        <v>#NAME?</v>
      </c>
      <c r="C77" s="36" t="s">
        <v>1628</v>
      </c>
      <c r="D77" s="48">
        <v>17</v>
      </c>
      <c r="E77" s="49" t="str">
        <f>IFERROR(VLOOKUP(Enum[ID-Modul],Modul[],2,FALSE),"unbekannt")</f>
        <v>ifckernel</v>
      </c>
      <c r="F77" s="53" t="s">
        <v>2737</v>
      </c>
      <c r="G77" s="36" t="s">
        <v>4791</v>
      </c>
      <c r="H77" s="54" t="s">
        <v>4992</v>
      </c>
      <c r="I77" s="36" t="str">
        <f>VLOOKUP(Enum[[#This Row],[ID-Modul]],Modul[],17,FALSE)</f>
        <v>H:\Progs\BIM\IFC2x3\Entwicklung\ExpressToVBA\IfcKernel</v>
      </c>
    </row>
    <row r="78" spans="2:9" ht="20.100000000000001" customHeight="1" x14ac:dyDescent="0.25">
      <c r="B78" s="7" t="e">
        <f>IF(Enum[[#This Row],[Link]]="","",HYPERLINK(HTML_Doku&amp;Enum[[#This Row],[Link]],"Doku"))</f>
        <v>#NAME?</v>
      </c>
      <c r="C78" s="7" t="s">
        <v>1544</v>
      </c>
      <c r="D78" s="6">
        <v>19</v>
      </c>
      <c r="E78" s="20" t="str">
        <f>IFERROR(VLOOKUP(Enum[ID-Modul],Modul[],2,FALSE),"unbekannt")</f>
        <v>ifcmaterialresource</v>
      </c>
      <c r="F78" s="30" t="s">
        <v>2653</v>
      </c>
      <c r="G78" s="1" t="s">
        <v>4792</v>
      </c>
      <c r="H78" s="46" t="s">
        <v>4910</v>
      </c>
      <c r="I78" s="1" t="str">
        <f>VLOOKUP(Enum[[#This Row],[ID-Modul]],Modul[],17,FALSE)</f>
        <v>H:\Progs\BIM\IFC2x3\Entwicklung\ExpressToVBA\IfcMaterialResource</v>
      </c>
    </row>
    <row r="79" spans="2:9" ht="20.100000000000001" customHeight="1" x14ac:dyDescent="0.25">
      <c r="B79" s="7" t="e">
        <f>IF(Enum[[#This Row],[Link]]="","",HYPERLINK(HTML_Doku&amp;Enum[[#This Row],[Link]],"Doku"))</f>
        <v>#NAME?</v>
      </c>
      <c r="C79" s="7" t="s">
        <v>1585</v>
      </c>
      <c r="D79" s="6">
        <v>19</v>
      </c>
      <c r="E79" s="20" t="str">
        <f>IFERROR(VLOOKUP(Enum[ID-Modul],Modul[],2,FALSE),"unbekannt")</f>
        <v>ifcmaterialresource</v>
      </c>
      <c r="F79" s="30" t="s">
        <v>2694</v>
      </c>
      <c r="G79" s="1" t="s">
        <v>4793</v>
      </c>
      <c r="H79" s="46" t="s">
        <v>4951</v>
      </c>
      <c r="I79" s="1" t="str">
        <f>VLOOKUP(Enum[[#This Row],[ID-Modul]],Modul[],17,FALSE)</f>
        <v>H:\Progs\BIM\IFC2x3\Entwicklung\ExpressToVBA\IfcMaterialResource</v>
      </c>
    </row>
    <row r="80" spans="2:9" ht="20.100000000000001" customHeight="1" x14ac:dyDescent="0.25">
      <c r="B80" s="7" t="e">
        <f>IF(Enum[[#This Row],[Link]]="","",HYPERLINK(HTML_Doku&amp;Enum[[#This Row],[Link]],"Doku"))</f>
        <v>#NAME?</v>
      </c>
      <c r="C80" s="7" t="s">
        <v>1538</v>
      </c>
      <c r="D80" s="6">
        <v>20</v>
      </c>
      <c r="E80" s="20" t="str">
        <f>IFERROR(VLOOKUP(Enum[ID-Modul],Modul[],2,FALSE),"unbekannt")</f>
        <v>ifcmeasureresource</v>
      </c>
      <c r="F80" s="30" t="s">
        <v>2647</v>
      </c>
      <c r="G80" s="1" t="s">
        <v>4794</v>
      </c>
      <c r="H80" s="46" t="s">
        <v>4904</v>
      </c>
      <c r="I80" s="1" t="str">
        <f>VLOOKUP(Enum[[#This Row],[ID-Modul]],Modul[],17,FALSE)</f>
        <v>H:\Progs\BIM\IFC2x3\Entwicklung\ExpressToVBA\IfcMeasureResource</v>
      </c>
    </row>
    <row r="81" spans="2:9" ht="20.100000000000001" customHeight="1" x14ac:dyDescent="0.25">
      <c r="B81" s="7" t="e">
        <f>IF(Enum[[#This Row],[Link]]="","",HYPERLINK(HTML_Doku&amp;Enum[[#This Row],[Link]],"Doku"))</f>
        <v>#NAME?</v>
      </c>
      <c r="C81" s="7" t="s">
        <v>1542</v>
      </c>
      <c r="D81" s="6">
        <v>20</v>
      </c>
      <c r="E81" s="20" t="str">
        <f>IFERROR(VLOOKUP(Enum[ID-Modul],Modul[],2,FALSE),"unbekannt")</f>
        <v>ifcmeasureresource</v>
      </c>
      <c r="F81" s="30" t="s">
        <v>2651</v>
      </c>
      <c r="G81" s="1" t="s">
        <v>4795</v>
      </c>
      <c r="H81" s="46" t="s">
        <v>4908</v>
      </c>
      <c r="I81" s="1" t="str">
        <f>VLOOKUP(Enum[[#This Row],[ID-Modul]],Modul[],17,FALSE)</f>
        <v>H:\Progs\BIM\IFC2x3\Entwicklung\ExpressToVBA\IfcMeasureResource</v>
      </c>
    </row>
    <row r="82" spans="2:9" ht="20.100000000000001" customHeight="1" x14ac:dyDescent="0.25">
      <c r="B82" s="7" t="e">
        <f>IF(Enum[[#This Row],[Link]]="","",HYPERLINK(HTML_Doku&amp;Enum[[#This Row],[Link]],"Doku"))</f>
        <v>#NAME?</v>
      </c>
      <c r="C82" s="7" t="s">
        <v>1623</v>
      </c>
      <c r="D82" s="6">
        <v>20</v>
      </c>
      <c r="E82" s="20" t="str">
        <f>IFERROR(VLOOKUP(Enum[ID-Modul],Modul[],2,FALSE),"unbekannt")</f>
        <v>ifcmeasureresource</v>
      </c>
      <c r="F82" s="30" t="s">
        <v>2732</v>
      </c>
      <c r="G82" s="1" t="s">
        <v>4796</v>
      </c>
      <c r="H82" s="46" t="s">
        <v>4995</v>
      </c>
      <c r="I82" s="1" t="str">
        <f>VLOOKUP(Enum[[#This Row],[ID-Modul]],Modul[],17,FALSE)</f>
        <v>H:\Progs\BIM\IFC2x3\Entwicklung\ExpressToVBA\IfcMeasureResource</v>
      </c>
    </row>
    <row r="83" spans="2:9" ht="20.100000000000001" customHeight="1" x14ac:dyDescent="0.25">
      <c r="B83" s="7" t="e">
        <f>IF(Enum[[#This Row],[Link]]="","",HYPERLINK(HTML_Doku&amp;Enum[[#This Row],[Link]],"Doku"))</f>
        <v>#NAME?</v>
      </c>
      <c r="C83" s="7" t="s">
        <v>1624</v>
      </c>
      <c r="D83" s="6">
        <v>20</v>
      </c>
      <c r="E83" s="20" t="str">
        <f>IFERROR(VLOOKUP(Enum[ID-Modul],Modul[],2,FALSE),"unbekannt")</f>
        <v>ifcmeasureresource</v>
      </c>
      <c r="F83" s="30" t="s">
        <v>2733</v>
      </c>
      <c r="G83" s="1" t="s">
        <v>4797</v>
      </c>
      <c r="H83" s="46" t="s">
        <v>4996</v>
      </c>
      <c r="I83" s="1" t="str">
        <f>VLOOKUP(Enum[[#This Row],[ID-Modul]],Modul[],17,FALSE)</f>
        <v>H:\Progs\BIM\IFC2x3\Entwicklung\ExpressToVBA\IfcMeasureResource</v>
      </c>
    </row>
    <row r="84" spans="2:9" ht="20.100000000000001" customHeight="1" x14ac:dyDescent="0.25">
      <c r="B84" s="7" t="e">
        <f>IF(Enum[[#This Row],[Link]]="","",HYPERLINK(HTML_Doku&amp;Enum[[#This Row],[Link]],"Doku"))</f>
        <v>#NAME?</v>
      </c>
      <c r="C84" s="7" t="s">
        <v>1656</v>
      </c>
      <c r="D84" s="6">
        <v>20</v>
      </c>
      <c r="E84" s="20" t="str">
        <f>IFERROR(VLOOKUP(Enum[ID-Modul],Modul[],2,FALSE),"unbekannt")</f>
        <v>ifcmeasureresource</v>
      </c>
      <c r="F84" s="30" t="s">
        <v>2765</v>
      </c>
      <c r="G84" s="1" t="s">
        <v>4798</v>
      </c>
      <c r="H84" s="46" t="s">
        <v>5023</v>
      </c>
      <c r="I84" s="1" t="str">
        <f>VLOOKUP(Enum[[#This Row],[ID-Modul]],Modul[],17,FALSE)</f>
        <v>H:\Progs\BIM\IFC2x3\Entwicklung\ExpressToVBA\IfcMeasureResource</v>
      </c>
    </row>
    <row r="85" spans="2:9" ht="20.100000000000001" customHeight="1" x14ac:dyDescent="0.25">
      <c r="B85" s="7" t="e">
        <f>IF(Enum[[#This Row],[Link]]="","",HYPERLINK(HTML_Doku&amp;Enum[[#This Row],[Link]],"Doku"))</f>
        <v>#NAME?</v>
      </c>
      <c r="C85" s="7" t="s">
        <v>1571</v>
      </c>
      <c r="D85" s="6">
        <v>21</v>
      </c>
      <c r="E85" s="20" t="str">
        <f>IFERROR(VLOOKUP(Enum[ID-Modul],Modul[],2,FALSE),"unbekannt")</f>
        <v>ifcplumbingfireprotectiondomain</v>
      </c>
      <c r="F85" s="30" t="s">
        <v>2680</v>
      </c>
      <c r="G85" s="1" t="s">
        <v>4799</v>
      </c>
      <c r="H85" s="46" t="s">
        <v>4937</v>
      </c>
      <c r="I85" s="1" t="str">
        <f>VLOOKUP(Enum[[#This Row],[ID-Modul]],Modul[],17,FALSE)</f>
        <v>H:\Progs\BIM\IFC2x3\Entwicklung\ExpressToVBA\IfcPlumbingFireProtectionDomain</v>
      </c>
    </row>
    <row r="86" spans="2:9" ht="20.100000000000001" customHeight="1" x14ac:dyDescent="0.25">
      <c r="B86" s="7" t="e">
        <f>IF(Enum[[#This Row],[Link]]="","",HYPERLINK(HTML_Doku&amp;Enum[[#This Row],[Link]],"Doku"))</f>
        <v>#NAME?</v>
      </c>
      <c r="C86" s="7" t="s">
        <v>1625</v>
      </c>
      <c r="D86" s="6">
        <v>21</v>
      </c>
      <c r="E86" s="20" t="str">
        <f>IFERROR(VLOOKUP(Enum[ID-Modul],Modul[],2,FALSE),"unbekannt")</f>
        <v>ifcplumbingfireprotectiondomain</v>
      </c>
      <c r="F86" s="30" t="s">
        <v>2734</v>
      </c>
      <c r="G86" s="1" t="s">
        <v>4800</v>
      </c>
      <c r="H86" s="46" t="s">
        <v>4989</v>
      </c>
      <c r="I86" s="1" t="str">
        <f>VLOOKUP(Enum[[#This Row],[ID-Modul]],Modul[],17,FALSE)</f>
        <v>H:\Progs\BIM\IFC2x3\Entwicklung\ExpressToVBA\IfcPlumbingFireProtectionDomain</v>
      </c>
    </row>
    <row r="87" spans="2:9" ht="20.100000000000001" customHeight="1" x14ac:dyDescent="0.25">
      <c r="B87" s="7" t="e">
        <f>IF(Enum[[#This Row],[Link]]="","",HYPERLINK(HTML_Doku&amp;Enum[[#This Row],[Link]],"Doku"))</f>
        <v>#NAME?</v>
      </c>
      <c r="C87" s="7" t="s">
        <v>1635</v>
      </c>
      <c r="D87" s="6">
        <v>21</v>
      </c>
      <c r="E87" s="20" t="str">
        <f>IFERROR(VLOOKUP(Enum[ID-Modul],Modul[],2,FALSE),"unbekannt")</f>
        <v>ifcplumbingfireprotectiondomain</v>
      </c>
      <c r="F87" s="30" t="s">
        <v>2744</v>
      </c>
      <c r="G87" s="1" t="s">
        <v>4801</v>
      </c>
      <c r="H87" s="46" t="s">
        <v>5001</v>
      </c>
      <c r="I87" s="1" t="str">
        <f>VLOOKUP(Enum[[#This Row],[ID-Modul]],Modul[],17,FALSE)</f>
        <v>H:\Progs\BIM\IFC2x3\Entwicklung\ExpressToVBA\IfcPlumbingFireProtectionDomain</v>
      </c>
    </row>
    <row r="88" spans="2:9" ht="20.100000000000001" customHeight="1" x14ac:dyDescent="0.25">
      <c r="B88" s="7" t="e">
        <f>IF(Enum[[#This Row],[Link]]="","",HYPERLINK(HTML_Doku&amp;Enum[[#This Row],[Link]],"Doku"))</f>
        <v>#NAME?</v>
      </c>
      <c r="C88" s="7" t="s">
        <v>1661</v>
      </c>
      <c r="D88" s="6">
        <v>21</v>
      </c>
      <c r="E88" s="20" t="str">
        <f>IFERROR(VLOOKUP(Enum[ID-Modul],Modul[],2,FALSE),"unbekannt")</f>
        <v>ifcplumbingfireprotectiondomain</v>
      </c>
      <c r="F88" s="30" t="s">
        <v>2770</v>
      </c>
      <c r="G88" s="1" t="s">
        <v>4802</v>
      </c>
      <c r="H88" s="46" t="s">
        <v>5027</v>
      </c>
      <c r="I88" s="1" t="str">
        <f>VLOOKUP(Enum[[#This Row],[ID-Modul]],Modul[],17,FALSE)</f>
        <v>H:\Progs\BIM\IFC2x3\Entwicklung\ExpressToVBA\IfcPlumbingFireProtectionDomain</v>
      </c>
    </row>
    <row r="89" spans="2:9" ht="20.100000000000001" customHeight="1" x14ac:dyDescent="0.25">
      <c r="B89" s="7" t="e">
        <f>IF(Enum[[#This Row],[Link]]="","",HYPERLINK(HTML_Doku&amp;Enum[[#This Row],[Link]],"Doku"))</f>
        <v>#NAME?</v>
      </c>
      <c r="C89" s="7" t="s">
        <v>1593</v>
      </c>
      <c r="D89" s="6">
        <v>22</v>
      </c>
      <c r="E89" s="20" t="str">
        <f>IFERROR(VLOOKUP(Enum[ID-Modul],Modul[],2,FALSE),"unbekannt")</f>
        <v>ifcpresentationappearanceresource</v>
      </c>
      <c r="F89" s="30" t="s">
        <v>2702</v>
      </c>
      <c r="G89" s="1" t="s">
        <v>4803</v>
      </c>
      <c r="H89" s="46" t="s">
        <v>4959</v>
      </c>
      <c r="I89" s="1" t="str">
        <f>VLOOKUP(Enum[[#This Row],[ID-Modul]],Modul[],17,FALSE)</f>
        <v>H:\Progs\BIM\IFC2x3\Entwicklung\ExpressToVBA\IfcPresentationAppearanceResource</v>
      </c>
    </row>
    <row r="90" spans="2:9" ht="20.100000000000001" customHeight="1" x14ac:dyDescent="0.25">
      <c r="B90" s="7" t="e">
        <f>IF(Enum[[#This Row],[Link]]="","",HYPERLINK(HTML_Doku&amp;Enum[[#This Row],[Link]],"Doku"))</f>
        <v>#NAME?</v>
      </c>
      <c r="C90" s="7" t="s">
        <v>1616</v>
      </c>
      <c r="D90" s="6">
        <v>22</v>
      </c>
      <c r="E90" s="20" t="str">
        <f>IFERROR(VLOOKUP(Enum[ID-Modul],Modul[],2,FALSE),"unbekannt")</f>
        <v>ifcpresentationappearanceresource</v>
      </c>
      <c r="F90" s="30" t="s">
        <v>2725</v>
      </c>
      <c r="G90" s="1" t="s">
        <v>4804</v>
      </c>
      <c r="H90" s="46" t="s">
        <v>4982</v>
      </c>
      <c r="I90" s="1" t="str">
        <f>VLOOKUP(Enum[[#This Row],[ID-Modul]],Modul[],17,FALSE)</f>
        <v>H:\Progs\BIM\IFC2x3\Entwicklung\ExpressToVBA\IfcPresentationAppearanceResource</v>
      </c>
    </row>
    <row r="91" spans="2:9" ht="20.100000000000001" customHeight="1" x14ac:dyDescent="0.25">
      <c r="B91" s="7" t="e">
        <f>IF(Enum[[#This Row],[Link]]="","",HYPERLINK(HTML_Doku&amp;Enum[[#This Row],[Link]],"Doku"))</f>
        <v>#NAME?</v>
      </c>
      <c r="C91" s="7" t="s">
        <v>1641</v>
      </c>
      <c r="D91" s="6">
        <v>22</v>
      </c>
      <c r="E91" s="20" t="str">
        <f>IFERROR(VLOOKUP(Enum[ID-Modul],Modul[],2,FALSE),"unbekannt")</f>
        <v>ifcpresentationappearanceresource</v>
      </c>
      <c r="F91" s="30" t="s">
        <v>2750</v>
      </c>
      <c r="G91" s="1" t="s">
        <v>4805</v>
      </c>
      <c r="H91" s="46" t="s">
        <v>5007</v>
      </c>
      <c r="I91" s="1" t="str">
        <f>VLOOKUP(Enum[[#This Row],[ID-Modul]],Modul[],17,FALSE)</f>
        <v>H:\Progs\BIM\IFC2x3\Entwicklung\ExpressToVBA\IfcPresentationAppearanceResource</v>
      </c>
    </row>
    <row r="92" spans="2:9" ht="20.100000000000001" customHeight="1" x14ac:dyDescent="0.25">
      <c r="B92" s="7" t="e">
        <f>IF(Enum[[#This Row],[Link]]="","",HYPERLINK(HTML_Doku&amp;Enum[[#This Row],[Link]],"Doku"))</f>
        <v>#NAME?</v>
      </c>
      <c r="C92" s="7" t="s">
        <v>1642</v>
      </c>
      <c r="D92" s="6">
        <v>22</v>
      </c>
      <c r="E92" s="20" t="str">
        <f>IFERROR(VLOOKUP(Enum[ID-Modul],Modul[],2,FALSE),"unbekannt")</f>
        <v>ifcpresentationappearanceresource</v>
      </c>
      <c r="F92" s="30" t="s">
        <v>2751</v>
      </c>
      <c r="G92" s="1" t="s">
        <v>4806</v>
      </c>
      <c r="H92" s="46" t="s">
        <v>5008</v>
      </c>
      <c r="I92" s="1" t="str">
        <f>VLOOKUP(Enum[[#This Row],[ID-Modul]],Modul[],17,FALSE)</f>
        <v>H:\Progs\BIM\IFC2x3\Entwicklung\ExpressToVBA\IfcPresentationAppearanceResource</v>
      </c>
    </row>
    <row r="93" spans="2:9" ht="20.100000000000001" customHeight="1" x14ac:dyDescent="0.25">
      <c r="B93" s="7" t="e">
        <f>IF(Enum[[#This Row],[Link]]="","",HYPERLINK(HTML_Doku&amp;Enum[[#This Row],[Link]],"Doku"))</f>
        <v>#NAME?</v>
      </c>
      <c r="C93" s="7" t="s">
        <v>1646</v>
      </c>
      <c r="D93" s="6">
        <v>23</v>
      </c>
      <c r="E93" s="20" t="str">
        <f>IFERROR(VLOOKUP(Enum[ID-Modul],Modul[],2,FALSE),"unbekannt")</f>
        <v>ifcpresentationdefinitionresource</v>
      </c>
      <c r="F93" s="30" t="s">
        <v>2755</v>
      </c>
      <c r="G93" s="1" t="s">
        <v>4807</v>
      </c>
      <c r="H93" s="46" t="s">
        <v>5012</v>
      </c>
      <c r="I93" s="1" t="str">
        <f>VLOOKUP(Enum[[#This Row],[ID-Modul]],Modul[],17,FALSE)</f>
        <v>H:\Progs\BIM\IFC2x3\Entwicklung\ExpressToVBA\IfcPresentationDefinitionResource</v>
      </c>
    </row>
    <row r="94" spans="2:9" ht="20.100000000000001" customHeight="1" x14ac:dyDescent="0.25">
      <c r="B94" s="7" t="e">
        <f>IF(Enum[[#This Row],[Link]]="","",HYPERLINK(HTML_Doku&amp;Enum[[#This Row],[Link]],"Doku"))</f>
        <v>#NAME?</v>
      </c>
      <c r="C94" s="7" t="s">
        <v>1543</v>
      </c>
      <c r="D94" s="6">
        <v>24</v>
      </c>
      <c r="E94" s="20" t="str">
        <f>IFERROR(VLOOKUP(Enum[ID-Modul],Modul[],2,FALSE),"unbekannt")</f>
        <v>ifcpresentationdimensioningresource</v>
      </c>
      <c r="F94" s="30" t="s">
        <v>2652</v>
      </c>
      <c r="G94" s="1" t="s">
        <v>4808</v>
      </c>
      <c r="H94" s="46" t="s">
        <v>4909</v>
      </c>
      <c r="I94" s="1" t="str">
        <f>VLOOKUP(Enum[[#This Row],[ID-Modul]],Modul[],17,FALSE)</f>
        <v>H:\Progs\BIM\IFC2x3\Entwicklung\ExpressToVBA\IfcPresentationDimensioningResource</v>
      </c>
    </row>
    <row r="95" spans="2:9" ht="20.100000000000001" customHeight="1" x14ac:dyDescent="0.25">
      <c r="B95" s="7" t="e">
        <f>IF(Enum[[#This Row],[Link]]="","",HYPERLINK(HTML_Doku&amp;Enum[[#This Row],[Link]],"Doku"))</f>
        <v>#NAME?</v>
      </c>
      <c r="C95" s="7" t="s">
        <v>1586</v>
      </c>
      <c r="D95" s="6">
        <v>25</v>
      </c>
      <c r="E95" s="20" t="str">
        <f>IFERROR(VLOOKUP(Enum[ID-Modul],Modul[],2,FALSE),"unbekannt")</f>
        <v>ifcpresentationorganizationresource</v>
      </c>
      <c r="F95" s="30" t="s">
        <v>2695</v>
      </c>
      <c r="G95" s="1" t="s">
        <v>4809</v>
      </c>
      <c r="H95" s="46" t="s">
        <v>4952</v>
      </c>
      <c r="I95" s="1" t="str">
        <f>VLOOKUP(Enum[[#This Row],[ID-Modul]],Modul[],17,FALSE)</f>
        <v>H:\Progs\BIM\IFC2x3\Entwicklung\ExpressToVBA\IfcPresentationOrganizationResource</v>
      </c>
    </row>
    <row r="96" spans="2:9" ht="20.100000000000001" customHeight="1" x14ac:dyDescent="0.25">
      <c r="B96" s="7" t="e">
        <f>IF(Enum[[#This Row],[Link]]="","",HYPERLINK(HTML_Doku&amp;Enum[[#This Row],[Link]],"Doku"))</f>
        <v>#NAME?</v>
      </c>
      <c r="C96" s="7" t="s">
        <v>1587</v>
      </c>
      <c r="D96" s="6">
        <v>25</v>
      </c>
      <c r="E96" s="20" t="str">
        <f>IFERROR(VLOOKUP(Enum[ID-Modul],Modul[],2,FALSE),"unbekannt")</f>
        <v>ifcpresentationorganizationresource</v>
      </c>
      <c r="F96" s="30" t="s">
        <v>2696</v>
      </c>
      <c r="G96" s="1" t="s">
        <v>4810</v>
      </c>
      <c r="H96" s="46" t="s">
        <v>4953</v>
      </c>
      <c r="I96" s="1" t="str">
        <f>VLOOKUP(Enum[[#This Row],[ID-Modul]],Modul[],17,FALSE)</f>
        <v>H:\Progs\BIM\IFC2x3\Entwicklung\ExpressToVBA\IfcPresentationOrganizationResource</v>
      </c>
    </row>
    <row r="97" spans="2:9" ht="20.100000000000001" customHeight="1" x14ac:dyDescent="0.25">
      <c r="B97" s="7" t="e">
        <f>IF(Enum[[#This Row],[Link]]="","",HYPERLINK(HTML_Doku&amp;Enum[[#This Row],[Link]],"Doku"))</f>
        <v>#NAME?</v>
      </c>
      <c r="C97" s="7" t="s">
        <v>1605</v>
      </c>
      <c r="D97" s="6">
        <v>27</v>
      </c>
      <c r="E97" s="20" t="str">
        <f>IFERROR(VLOOKUP(Enum[ID-Modul],Modul[],2,FALSE),"unbekannt")</f>
        <v>ifcprocessextension</v>
      </c>
      <c r="F97" s="30" t="s">
        <v>2714</v>
      </c>
      <c r="G97" s="1" t="s">
        <v>4811</v>
      </c>
      <c r="H97" s="46" t="s">
        <v>4971</v>
      </c>
      <c r="I97" s="1" t="str">
        <f>VLOOKUP(Enum[[#This Row],[ID-Modul]],Modul[],17,FALSE)</f>
        <v>H:\Progs\BIM\IFC2x3\Entwicklung\ExpressToVBA\IfcProcessExtension</v>
      </c>
    </row>
    <row r="98" spans="2:9" ht="20.100000000000001" customHeight="1" x14ac:dyDescent="0.25">
      <c r="B98" s="7" t="e">
        <f>IF(Enum[[#This Row],[Link]]="","",HYPERLINK(HTML_Doku&amp;Enum[[#This Row],[Link]],"Doku"))</f>
        <v>#NAME?</v>
      </c>
      <c r="C98" s="7" t="s">
        <v>1666</v>
      </c>
      <c r="D98" s="6">
        <v>27</v>
      </c>
      <c r="E98" s="20" t="str">
        <f>IFERROR(VLOOKUP(Enum[ID-Modul],Modul[],2,FALSE),"unbekannt")</f>
        <v>ifcprocessextension</v>
      </c>
      <c r="F98" s="30" t="s">
        <v>2775</v>
      </c>
      <c r="G98" s="1" t="s">
        <v>4812</v>
      </c>
      <c r="H98" s="46" t="s">
        <v>5032</v>
      </c>
      <c r="I98" s="1" t="str">
        <f>VLOOKUP(Enum[[#This Row],[ID-Modul]],Modul[],17,FALSE)</f>
        <v>H:\Progs\BIM\IFC2x3\Entwicklung\ExpressToVBA\IfcProcessExtension</v>
      </c>
    </row>
    <row r="99" spans="2:9" ht="20.100000000000001" customHeight="1" x14ac:dyDescent="0.25">
      <c r="B99" s="7" t="e">
        <f>IF(Enum[[#This Row],[Link]]="","",HYPERLINK(HTML_Doku&amp;Enum[[#This Row],[Link]],"Doku"))</f>
        <v>#NAME?</v>
      </c>
      <c r="C99" s="7" t="s">
        <v>1515</v>
      </c>
      <c r="D99" s="6">
        <v>28</v>
      </c>
      <c r="E99" s="20" t="str">
        <f>IFERROR(VLOOKUP(Enum[ID-Modul],Modul[],2,FALSE),"unbekannt")</f>
        <v>ifcproductextension</v>
      </c>
      <c r="F99" s="30" t="s">
        <v>2624</v>
      </c>
      <c r="G99" s="1" t="s">
        <v>4813</v>
      </c>
      <c r="H99" s="46" t="s">
        <v>4881</v>
      </c>
      <c r="I99" s="1" t="str">
        <f>VLOOKUP(Enum[[#This Row],[ID-Modul]],Modul[],17,FALSE)</f>
        <v>H:\Progs\BIM\IFC2x3\Entwicklung\ExpressToVBA\IfcProductExtension</v>
      </c>
    </row>
    <row r="100" spans="2:9" ht="20.100000000000001" customHeight="1" x14ac:dyDescent="0.25">
      <c r="B100" s="7" t="e">
        <f>IF(Enum[[#This Row],[Link]]="","",HYPERLINK(HTML_Doku&amp;Enum[[#This Row],[Link]],"Doku"))</f>
        <v>#NAME?</v>
      </c>
      <c r="C100" s="7" t="s">
        <v>1521</v>
      </c>
      <c r="D100" s="6">
        <v>28</v>
      </c>
      <c r="E100" s="20" t="str">
        <f>IFERROR(VLOOKUP(Enum[ID-Modul],Modul[],2,FALSE),"unbekannt")</f>
        <v>ifcproductextension</v>
      </c>
      <c r="F100" s="30" t="s">
        <v>2630</v>
      </c>
      <c r="G100" s="1" t="s">
        <v>4814</v>
      </c>
      <c r="H100" s="46" t="s">
        <v>4887</v>
      </c>
      <c r="I100" s="1" t="str">
        <f>VLOOKUP(Enum[[#This Row],[ID-Modul]],Modul[],17,FALSE)</f>
        <v>H:\Progs\BIM\IFC2x3\Entwicklung\ExpressToVBA\IfcProductExtension</v>
      </c>
    </row>
    <row r="101" spans="2:9" ht="20.100000000000001" customHeight="1" x14ac:dyDescent="0.25">
      <c r="B101" s="7" t="e">
        <f>IF(Enum[[#This Row],[Link]]="","",HYPERLINK(HTML_Doku&amp;Enum[[#This Row],[Link]],"Doku"))</f>
        <v>#NAME?</v>
      </c>
      <c r="C101" s="7" t="s">
        <v>1537</v>
      </c>
      <c r="D101" s="6">
        <v>28</v>
      </c>
      <c r="E101" s="20" t="str">
        <f>IFERROR(VLOOKUP(Enum[ID-Modul],Modul[],2,FALSE),"unbekannt")</f>
        <v>ifcproductextension</v>
      </c>
      <c r="F101" s="30" t="s">
        <v>2646</v>
      </c>
      <c r="G101" s="1" t="s">
        <v>4815</v>
      </c>
      <c r="H101" s="46" t="s">
        <v>4903</v>
      </c>
      <c r="I101" s="1" t="str">
        <f>VLOOKUP(Enum[[#This Row],[ID-Modul]],Modul[],17,FALSE)</f>
        <v>H:\Progs\BIM\IFC2x3\Entwicklung\ExpressToVBA\IfcProductExtension</v>
      </c>
    </row>
    <row r="102" spans="2:9" ht="20.100000000000001" customHeight="1" x14ac:dyDescent="0.25">
      <c r="B102" s="7" t="e">
        <f>IF(Enum[[#This Row],[Link]]="","",HYPERLINK(HTML_Doku&amp;Enum[[#This Row],[Link]],"Doku"))</f>
        <v>#NAME?</v>
      </c>
      <c r="C102" s="7" t="s">
        <v>1563</v>
      </c>
      <c r="D102" s="6">
        <v>28</v>
      </c>
      <c r="E102" s="20" t="str">
        <f>IFERROR(VLOOKUP(Enum[ID-Modul],Modul[],2,FALSE),"unbekannt")</f>
        <v>ifcproductextension</v>
      </c>
      <c r="F102" s="30" t="s">
        <v>2672</v>
      </c>
      <c r="G102" s="1" t="s">
        <v>4816</v>
      </c>
      <c r="H102" s="46" t="s">
        <v>4929</v>
      </c>
      <c r="I102" s="1" t="str">
        <f>VLOOKUP(Enum[[#This Row],[ID-Modul]],Modul[],17,FALSE)</f>
        <v>H:\Progs\BIM\IFC2x3\Entwicklung\ExpressToVBA\IfcProductExtension</v>
      </c>
    </row>
    <row r="103" spans="2:9" ht="20.100000000000001" customHeight="1" x14ac:dyDescent="0.25">
      <c r="B103" s="7" t="e">
        <f>IF(Enum[[#This Row],[Link]]="","",HYPERLINK(HTML_Doku&amp;Enum[[#This Row],[Link]],"Doku"))</f>
        <v>#NAME?</v>
      </c>
      <c r="C103" s="7" t="s">
        <v>1564</v>
      </c>
      <c r="D103" s="6">
        <v>28</v>
      </c>
      <c r="E103" s="20" t="str">
        <f>IFERROR(VLOOKUP(Enum[ID-Modul],Modul[],2,FALSE),"unbekannt")</f>
        <v>ifcproductextension</v>
      </c>
      <c r="F103" s="30" t="s">
        <v>2673</v>
      </c>
      <c r="G103" s="1" t="s">
        <v>4817</v>
      </c>
      <c r="H103" s="46" t="s">
        <v>4930</v>
      </c>
      <c r="I103" s="1" t="str">
        <f>VLOOKUP(Enum[[#This Row],[ID-Modul]],Modul[],17,FALSE)</f>
        <v>H:\Progs\BIM\IFC2x3\Entwicklung\ExpressToVBA\IfcProductExtension</v>
      </c>
    </row>
    <row r="104" spans="2:9" ht="20.100000000000001" customHeight="1" x14ac:dyDescent="0.25">
      <c r="B104" s="7" t="e">
        <f>IF(Enum[[#This Row],[Link]]="","",HYPERLINK(HTML_Doku&amp;Enum[[#This Row],[Link]],"Doku"))</f>
        <v>#NAME?</v>
      </c>
      <c r="C104" s="7" t="s">
        <v>1581</v>
      </c>
      <c r="D104" s="6">
        <v>28</v>
      </c>
      <c r="E104" s="20" t="str">
        <f>IFERROR(VLOOKUP(Enum[ID-Modul],Modul[],2,FALSE),"unbekannt")</f>
        <v>ifcproductextension</v>
      </c>
      <c r="F104" s="30" t="s">
        <v>2690</v>
      </c>
      <c r="G104" s="1" t="s">
        <v>4818</v>
      </c>
      <c r="H104" s="46" t="s">
        <v>4947</v>
      </c>
      <c r="I104" s="1" t="str">
        <f>VLOOKUP(Enum[[#This Row],[ID-Modul]],Modul[],17,FALSE)</f>
        <v>H:\Progs\BIM\IFC2x3\Entwicklung\ExpressToVBA\IfcProductExtension</v>
      </c>
    </row>
    <row r="105" spans="2:9" ht="20.100000000000001" customHeight="1" x14ac:dyDescent="0.25">
      <c r="B105" s="7" t="e">
        <f>IF(Enum[[#This Row],[Link]]="","",HYPERLINK(HTML_Doku&amp;Enum[[#This Row],[Link]],"Doku"))</f>
        <v>#NAME?</v>
      </c>
      <c r="C105" s="7" t="s">
        <v>1599</v>
      </c>
      <c r="D105" s="6">
        <v>28</v>
      </c>
      <c r="E105" s="20" t="str">
        <f>IFERROR(VLOOKUP(Enum[ID-Modul],Modul[],2,FALSE),"unbekannt")</f>
        <v>ifcproductextension</v>
      </c>
      <c r="F105" s="30" t="s">
        <v>2708</v>
      </c>
      <c r="G105" s="1" t="s">
        <v>4819</v>
      </c>
      <c r="H105" s="46" t="s">
        <v>4965</v>
      </c>
      <c r="I105" s="1" t="str">
        <f>VLOOKUP(Enum[[#This Row],[ID-Modul]],Modul[],17,FALSE)</f>
        <v>H:\Progs\BIM\IFC2x3\Entwicklung\ExpressToVBA\IfcProductExtension</v>
      </c>
    </row>
    <row r="106" spans="2:9" ht="20.100000000000001" customHeight="1" x14ac:dyDescent="0.25">
      <c r="B106" s="7" t="e">
        <f>IF(Enum[[#This Row],[Link]]="","",HYPERLINK(HTML_Doku&amp;Enum[[#This Row],[Link]],"Doku"))</f>
        <v>#NAME?</v>
      </c>
      <c r="C106" s="7" t="s">
        <v>1634</v>
      </c>
      <c r="D106" s="6">
        <v>28</v>
      </c>
      <c r="E106" s="20" t="str">
        <f>IFERROR(VLOOKUP(Enum[ID-Modul],Modul[],2,FALSE),"unbekannt")</f>
        <v>ifcproductextension</v>
      </c>
      <c r="F106" s="30" t="s">
        <v>2743</v>
      </c>
      <c r="G106" s="1" t="s">
        <v>4820</v>
      </c>
      <c r="H106" s="46" t="s">
        <v>5000</v>
      </c>
      <c r="I106" s="1" t="str">
        <f>VLOOKUP(Enum[[#This Row],[ID-Modul]],Modul[],17,FALSE)</f>
        <v>H:\Progs\BIM\IFC2x3\Entwicklung\ExpressToVBA\IfcProductExtension</v>
      </c>
    </row>
    <row r="107" spans="2:9" ht="20.100000000000001" customHeight="1" x14ac:dyDescent="0.25">
      <c r="B107" s="7" t="e">
        <f>IF(Enum[[#This Row],[Link]]="","",HYPERLINK(HTML_Doku&amp;Enum[[#This Row],[Link]],"Doku"))</f>
        <v>#NAME?</v>
      </c>
      <c r="C107" s="7" t="s">
        <v>1653</v>
      </c>
      <c r="D107" s="6">
        <v>28</v>
      </c>
      <c r="E107" s="20" t="str">
        <f>IFERROR(VLOOKUP(Enum[ID-Modul],Modul[],2,FALSE),"unbekannt")</f>
        <v>ifcproductextension</v>
      </c>
      <c r="F107" s="30" t="s">
        <v>2762</v>
      </c>
      <c r="G107" s="1" t="s">
        <v>4821</v>
      </c>
      <c r="H107" s="46" t="s">
        <v>5019</v>
      </c>
      <c r="I107" s="1" t="str">
        <f>VLOOKUP(Enum[[#This Row],[ID-Modul]],Modul[],17,FALSE)</f>
        <v>H:\Progs\BIM\IFC2x3\Entwicklung\ExpressToVBA\IfcProductExtension</v>
      </c>
    </row>
    <row r="108" spans="2:9" ht="20.100000000000001" customHeight="1" x14ac:dyDescent="0.25">
      <c r="B108" s="7" t="e">
        <f>IF(Enum[[#This Row],[Link]]="","",HYPERLINK(HTML_Doku&amp;Enum[[#This Row],[Link]],"Doku"))</f>
        <v>#NAME?</v>
      </c>
      <c r="C108" s="7" t="s">
        <v>1617</v>
      </c>
      <c r="D108" s="6">
        <v>29</v>
      </c>
      <c r="E108" s="20" t="str">
        <f>IFERROR(VLOOKUP(Enum[ID-Modul],Modul[],2,FALSE),"unbekannt")</f>
        <v>ifcprofilepropertyresource</v>
      </c>
      <c r="F108" s="30" t="s">
        <v>2726</v>
      </c>
      <c r="G108" s="1" t="s">
        <v>4822</v>
      </c>
      <c r="H108" s="46" t="s">
        <v>4983</v>
      </c>
      <c r="I108" s="1" t="str">
        <f>VLOOKUP(Enum[[#This Row],[ID-Modul]],Modul[],17,FALSE)</f>
        <v>H:\Progs\BIM\IFC2x3\Entwicklung\ExpressToVBA\IfcProfilePropertyResource</v>
      </c>
    </row>
    <row r="109" spans="2:9" ht="20.100000000000001" customHeight="1" x14ac:dyDescent="0.25">
      <c r="B109" s="7" t="e">
        <f>IF(Enum[[#This Row],[Link]]="","",HYPERLINK(HTML_Doku&amp;Enum[[#This Row],[Link]],"Doku"))</f>
        <v>#NAME?</v>
      </c>
      <c r="C109" s="7" t="s">
        <v>1618</v>
      </c>
      <c r="D109" s="6">
        <v>29</v>
      </c>
      <c r="E109" s="20" t="str">
        <f>IFERROR(VLOOKUP(Enum[ID-Modul],Modul[],2,FALSE),"unbekannt")</f>
        <v>ifcprofilepropertyresource</v>
      </c>
      <c r="F109" s="30" t="s">
        <v>2727</v>
      </c>
      <c r="G109" s="1" t="s">
        <v>4823</v>
      </c>
      <c r="H109" s="46" t="s">
        <v>4984</v>
      </c>
      <c r="I109" s="1" t="str">
        <f>VLOOKUP(Enum[[#This Row],[ID-Modul]],Modul[],17,FALSE)</f>
        <v>H:\Progs\BIM\IFC2x3\Entwicklung\ExpressToVBA\IfcProfilePropertyResource</v>
      </c>
    </row>
    <row r="110" spans="2:9" ht="20.100000000000001" customHeight="1" x14ac:dyDescent="0.25">
      <c r="B110" s="7" t="e">
        <f>IF(Enum[[#This Row],[Link]]="","",HYPERLINK(HTML_Doku&amp;Enum[[#This Row],[Link]],"Doku"))</f>
        <v>#NAME?</v>
      </c>
      <c r="C110" s="7" t="s">
        <v>1620</v>
      </c>
      <c r="D110" s="6">
        <v>29</v>
      </c>
      <c r="E110" s="20" t="str">
        <f>IFERROR(VLOOKUP(Enum[ID-Modul],Modul[],2,FALSE),"unbekannt")</f>
        <v>ifcprofilepropertyresource</v>
      </c>
      <c r="F110" s="30" t="s">
        <v>2729</v>
      </c>
      <c r="G110" s="1" t="s">
        <v>4824</v>
      </c>
      <c r="H110" s="46" t="s">
        <v>4986</v>
      </c>
      <c r="I110" s="1" t="str">
        <f>VLOOKUP(Enum[[#This Row],[ID-Modul]],Modul[],17,FALSE)</f>
        <v>H:\Progs\BIM\IFC2x3\Entwicklung\ExpressToVBA\IfcProfilePropertyResource</v>
      </c>
    </row>
    <row r="111" spans="2:9" ht="20.100000000000001" customHeight="1" x14ac:dyDescent="0.25">
      <c r="B111" s="7" t="e">
        <f>IF(Enum[[#This Row],[Link]]="","",HYPERLINK(HTML_Doku&amp;Enum[[#This Row],[Link]],"Doku"))</f>
        <v>#NAME?</v>
      </c>
      <c r="C111" s="7" t="s">
        <v>1626</v>
      </c>
      <c r="D111" s="6">
        <v>29</v>
      </c>
      <c r="E111" s="20" t="str">
        <f>IFERROR(VLOOKUP(Enum[ID-Modul],Modul[],2,FALSE),"unbekannt")</f>
        <v>ifcprofilepropertyresource</v>
      </c>
      <c r="F111" s="30" t="s">
        <v>2735</v>
      </c>
      <c r="G111" s="1" t="s">
        <v>4825</v>
      </c>
      <c r="H111" s="46" t="s">
        <v>4990</v>
      </c>
      <c r="I111" s="1" t="str">
        <f>VLOOKUP(Enum[[#This Row],[ID-Modul]],Modul[],17,FALSE)</f>
        <v>H:\Progs\BIM\IFC2x3\Entwicklung\ExpressToVBA\IfcProfilePropertyResource</v>
      </c>
    </row>
    <row r="112" spans="2:9" ht="20.100000000000001" customHeight="1" x14ac:dyDescent="0.25">
      <c r="B112" s="7" t="e">
        <f>IF(Enum[[#This Row],[Link]]="","",HYPERLINK(HTML_Doku&amp;Enum[[#This Row],[Link]],"Doku"))</f>
        <v>#NAME?</v>
      </c>
      <c r="C112" s="7" t="s">
        <v>1606</v>
      </c>
      <c r="D112" s="6">
        <v>30</v>
      </c>
      <c r="E112" s="20" t="str">
        <f>IFERROR(VLOOKUP(Enum[ID-Modul],Modul[],2,FALSE),"unbekannt")</f>
        <v>ifcprofileresource</v>
      </c>
      <c r="F112" s="30" t="s">
        <v>2715</v>
      </c>
      <c r="G112" s="1" t="s">
        <v>4826</v>
      </c>
      <c r="H112" s="46" t="s">
        <v>4972</v>
      </c>
      <c r="I112" s="1" t="str">
        <f>VLOOKUP(Enum[[#This Row],[ID-Modul]],Modul[],17,FALSE)</f>
        <v>H:\Progs\BIM\IFC2x3\Entwicklung\ExpressToVBA\IfcProfileResource</v>
      </c>
    </row>
    <row r="113" spans="2:9" ht="20.100000000000001" customHeight="1" x14ac:dyDescent="0.25">
      <c r="B113" s="7" t="e">
        <f>IF(Enum[[#This Row],[Link]]="","",HYPERLINK(HTML_Doku&amp;Enum[[#This Row],[Link]],"Doku"))</f>
        <v>#NAME?</v>
      </c>
      <c r="C113" s="7" t="s">
        <v>1577</v>
      </c>
      <c r="D113" s="6">
        <v>33</v>
      </c>
      <c r="E113" s="20" t="str">
        <f>IFERROR(VLOOKUP(Enum[ID-Modul],Modul[],2,FALSE),"unbekannt")</f>
        <v>ifcrepresentationresource</v>
      </c>
      <c r="F113" s="30" t="s">
        <v>2686</v>
      </c>
      <c r="G113" s="1" t="s">
        <v>4827</v>
      </c>
      <c r="H113" s="46" t="s">
        <v>4943</v>
      </c>
      <c r="I113" s="1" t="str">
        <f>VLOOKUP(Enum[[#This Row],[ID-Modul]],Modul[],17,FALSE)</f>
        <v>H:\Progs\BIM\IFC2x3\Entwicklung\ExpressToVBA\IfcRepresentationResource</v>
      </c>
    </row>
    <row r="114" spans="2:9" ht="20.100000000000001" customHeight="1" x14ac:dyDescent="0.25">
      <c r="B114" s="7" t="e">
        <f>IF(Enum[[#This Row],[Link]]="","",HYPERLINK(HTML_Doku&amp;Enum[[#This Row],[Link]],"Doku"))</f>
        <v>#NAME?</v>
      </c>
      <c r="C114" s="7" t="s">
        <v>1578</v>
      </c>
      <c r="D114" s="6">
        <v>33</v>
      </c>
      <c r="E114" s="20" t="str">
        <f>IFERROR(VLOOKUP(Enum[ID-Modul],Modul[],2,FALSE),"unbekannt")</f>
        <v>ifcrepresentationresource</v>
      </c>
      <c r="F114" s="30" t="s">
        <v>2687</v>
      </c>
      <c r="G114" s="1" t="s">
        <v>4828</v>
      </c>
      <c r="H114" s="46" t="s">
        <v>4944</v>
      </c>
      <c r="I114" s="1" t="str">
        <f>VLOOKUP(Enum[[#This Row],[ID-Modul]],Modul[],17,FALSE)</f>
        <v>H:\Progs\BIM\IFC2x3\Entwicklung\ExpressToVBA\IfcRepresentationResource</v>
      </c>
    </row>
    <row r="115" spans="2:9" ht="20.100000000000001" customHeight="1" x14ac:dyDescent="0.25">
      <c r="B115" s="7" t="e">
        <f>IF(Enum[[#This Row],[Link]]="","",HYPERLINK(HTML_Doku&amp;Enum[[#This Row],[Link]],"Doku"))</f>
        <v>#NAME?</v>
      </c>
      <c r="C115" s="7" t="s">
        <v>1517</v>
      </c>
      <c r="D115" s="6">
        <v>34</v>
      </c>
      <c r="E115" s="20" t="str">
        <f>IFERROR(VLOOKUP(Enum[ID-Modul],Modul[],2,FALSE),"unbekannt")</f>
        <v>ifcsharedbldgelements</v>
      </c>
      <c r="F115" s="30" t="s">
        <v>2626</v>
      </c>
      <c r="G115" s="1" t="s">
        <v>4829</v>
      </c>
      <c r="H115" s="46" t="s">
        <v>4882</v>
      </c>
      <c r="I115" s="1" t="str">
        <f>VLOOKUP(Enum[[#This Row],[ID-Modul]],Modul[],17,FALSE)</f>
        <v>H:\Progs\BIM\IFC2x3\Entwicklung\ExpressToVBA\IfcSharedBldgElements</v>
      </c>
    </row>
    <row r="116" spans="2:9" ht="20.100000000000001" customHeight="1" x14ac:dyDescent="0.25">
      <c r="B116" s="7" t="e">
        <f>IF(Enum[[#This Row],[Link]]="","",HYPERLINK(HTML_Doku&amp;Enum[[#This Row],[Link]],"Doku"))</f>
        <v>#NAME?</v>
      </c>
      <c r="C116" s="7" t="s">
        <v>1528</v>
      </c>
      <c r="D116" s="6">
        <v>34</v>
      </c>
      <c r="E116" s="20" t="str">
        <f>IFERROR(VLOOKUP(Enum[ID-Modul],Modul[],2,FALSE),"unbekannt")</f>
        <v>ifcsharedbldgelements</v>
      </c>
      <c r="F116" s="30" t="s">
        <v>2637</v>
      </c>
      <c r="G116" s="1" t="s">
        <v>4830</v>
      </c>
      <c r="H116" s="46" t="s">
        <v>4894</v>
      </c>
      <c r="I116" s="1" t="str">
        <f>VLOOKUP(Enum[[#This Row],[ID-Modul]],Modul[],17,FALSE)</f>
        <v>H:\Progs\BIM\IFC2x3\Entwicklung\ExpressToVBA\IfcSharedBldgElements</v>
      </c>
    </row>
    <row r="117" spans="2:9" ht="20.100000000000001" customHeight="1" x14ac:dyDescent="0.25">
      <c r="B117" s="7" t="e">
        <f>IF(Enum[[#This Row],[Link]]="","",HYPERLINK(HTML_Doku&amp;Enum[[#This Row],[Link]],"Doku"))</f>
        <v>#NAME?</v>
      </c>
      <c r="C117" s="7" t="s">
        <v>1531</v>
      </c>
      <c r="D117" s="6">
        <v>34</v>
      </c>
      <c r="E117" s="20" t="str">
        <f>IFERROR(VLOOKUP(Enum[ID-Modul],Modul[],2,FALSE),"unbekannt")</f>
        <v>ifcsharedbldgelements</v>
      </c>
      <c r="F117" s="30" t="s">
        <v>2640</v>
      </c>
      <c r="G117" s="1" t="s">
        <v>4831</v>
      </c>
      <c r="H117" s="46" t="s">
        <v>4897</v>
      </c>
      <c r="I117" s="1" t="str">
        <f>VLOOKUP(Enum[[#This Row],[ID-Modul]],Modul[],17,FALSE)</f>
        <v>H:\Progs\BIM\IFC2x3\Entwicklung\ExpressToVBA\IfcSharedBldgElements</v>
      </c>
    </row>
    <row r="118" spans="2:9" ht="20.100000000000001" customHeight="1" x14ac:dyDescent="0.25">
      <c r="B118" s="7" t="e">
        <f>IF(Enum[[#This Row],[Link]]="","",HYPERLINK(HTML_Doku&amp;Enum[[#This Row],[Link]],"Doku"))</f>
        <v>#NAME?</v>
      </c>
      <c r="C118" s="7" t="s">
        <v>1539</v>
      </c>
      <c r="D118" s="6">
        <v>34</v>
      </c>
      <c r="E118" s="20" t="str">
        <f>IFERROR(VLOOKUP(Enum[ID-Modul],Modul[],2,FALSE),"unbekannt")</f>
        <v>ifcsharedbldgelements</v>
      </c>
      <c r="F118" s="30" t="s">
        <v>2648</v>
      </c>
      <c r="G118" s="1" t="s">
        <v>4832</v>
      </c>
      <c r="H118" s="46" t="s">
        <v>4905</v>
      </c>
      <c r="I118" s="1" t="str">
        <f>VLOOKUP(Enum[[#This Row],[ID-Modul]],Modul[],17,FALSE)</f>
        <v>H:\Progs\BIM\IFC2x3\Entwicklung\ExpressToVBA\IfcSharedBldgElements</v>
      </c>
    </row>
    <row r="119" spans="2:9" ht="20.100000000000001" customHeight="1" x14ac:dyDescent="0.25">
      <c r="B119" s="7" t="e">
        <f>IF(Enum[[#This Row],[Link]]="","",HYPERLINK(HTML_Doku&amp;Enum[[#This Row],[Link]],"Doku"))</f>
        <v>#NAME?</v>
      </c>
      <c r="C119" s="7" t="s">
        <v>1548</v>
      </c>
      <c r="D119" s="6">
        <v>34</v>
      </c>
      <c r="E119" s="20" t="str">
        <f>IFERROR(VLOOKUP(Enum[ID-Modul],Modul[],2,FALSE),"unbekannt")</f>
        <v>ifcsharedbldgelements</v>
      </c>
      <c r="F119" s="30" t="s">
        <v>2657</v>
      </c>
      <c r="G119" s="1" t="s">
        <v>4833</v>
      </c>
      <c r="H119" s="46" t="s">
        <v>4914</v>
      </c>
      <c r="I119" s="1" t="str">
        <f>VLOOKUP(Enum[[#This Row],[ID-Modul]],Modul[],17,FALSE)</f>
        <v>H:\Progs\BIM\IFC2x3\Entwicklung\ExpressToVBA\IfcSharedBldgElements</v>
      </c>
    </row>
    <row r="120" spans="2:9" ht="20.100000000000001" customHeight="1" x14ac:dyDescent="0.25">
      <c r="B120" s="7" t="e">
        <f>IF(Enum[[#This Row],[Link]]="","",HYPERLINK(HTML_Doku&amp;Enum[[#This Row],[Link]],"Doku"))</f>
        <v>#NAME?</v>
      </c>
      <c r="C120" s="7" t="s">
        <v>1549</v>
      </c>
      <c r="D120" s="6">
        <v>34</v>
      </c>
      <c r="E120" s="20" t="str">
        <f>IFERROR(VLOOKUP(Enum[ID-Modul],Modul[],2,FALSE),"unbekannt")</f>
        <v>ifcsharedbldgelements</v>
      </c>
      <c r="F120" s="30" t="s">
        <v>2658</v>
      </c>
      <c r="G120" s="1" t="s">
        <v>4834</v>
      </c>
      <c r="H120" s="46" t="s">
        <v>4915</v>
      </c>
      <c r="I120" s="1" t="str">
        <f>VLOOKUP(Enum[[#This Row],[ID-Modul]],Modul[],17,FALSE)</f>
        <v>H:\Progs\BIM\IFC2x3\Entwicklung\ExpressToVBA\IfcSharedBldgElements</v>
      </c>
    </row>
    <row r="121" spans="2:9" ht="20.100000000000001" customHeight="1" x14ac:dyDescent="0.25">
      <c r="B121" s="7" t="e">
        <f>IF(Enum[[#This Row],[Link]]="","",HYPERLINK(HTML_Doku&amp;Enum[[#This Row],[Link]],"Doku"))</f>
        <v>#NAME?</v>
      </c>
      <c r="C121" s="7" t="s">
        <v>1550</v>
      </c>
      <c r="D121" s="6">
        <v>34</v>
      </c>
      <c r="E121" s="20" t="str">
        <f>IFERROR(VLOOKUP(Enum[ID-Modul],Modul[],2,FALSE),"unbekannt")</f>
        <v>ifcsharedbldgelements</v>
      </c>
      <c r="F121" s="30" t="s">
        <v>2659</v>
      </c>
      <c r="G121" s="1" t="s">
        <v>4835</v>
      </c>
      <c r="H121" s="46" t="s">
        <v>4916</v>
      </c>
      <c r="I121" s="1" t="str">
        <f>VLOOKUP(Enum[[#This Row],[ID-Modul]],Modul[],17,FALSE)</f>
        <v>H:\Progs\BIM\IFC2x3\Entwicklung\ExpressToVBA\IfcSharedBldgElements</v>
      </c>
    </row>
    <row r="122" spans="2:9" ht="20.100000000000001" customHeight="1" x14ac:dyDescent="0.25">
      <c r="B122" s="7" t="e">
        <f>IF(Enum[[#This Row],[Link]]="","",HYPERLINK(HTML_Doku&amp;Enum[[#This Row],[Link]],"Doku"))</f>
        <v>#NAME?</v>
      </c>
      <c r="C122" s="7" t="s">
        <v>1551</v>
      </c>
      <c r="D122" s="6">
        <v>34</v>
      </c>
      <c r="E122" s="20" t="str">
        <f>IFERROR(VLOOKUP(Enum[ID-Modul],Modul[],2,FALSE),"unbekannt")</f>
        <v>ifcsharedbldgelements</v>
      </c>
      <c r="F122" s="30" t="s">
        <v>2660</v>
      </c>
      <c r="G122" s="1" t="s">
        <v>4836</v>
      </c>
      <c r="H122" s="46" t="s">
        <v>4917</v>
      </c>
      <c r="I122" s="1" t="str">
        <f>VLOOKUP(Enum[[#This Row],[ID-Modul]],Modul[],17,FALSE)</f>
        <v>H:\Progs\BIM\IFC2x3\Entwicklung\ExpressToVBA\IfcSharedBldgElements</v>
      </c>
    </row>
    <row r="123" spans="2:9" ht="20.100000000000001" customHeight="1" x14ac:dyDescent="0.25">
      <c r="B123" s="7" t="e">
        <f>IF(Enum[[#This Row],[Link]]="","",HYPERLINK(HTML_Doku&amp;Enum[[#This Row],[Link]],"Doku"))</f>
        <v>#NAME?</v>
      </c>
      <c r="C123" s="7" t="s">
        <v>1591</v>
      </c>
      <c r="D123" s="6">
        <v>34</v>
      </c>
      <c r="E123" s="20" t="str">
        <f>IFERROR(VLOOKUP(Enum[ID-Modul],Modul[],2,FALSE),"unbekannt")</f>
        <v>ifcsharedbldgelements</v>
      </c>
      <c r="F123" s="30" t="s">
        <v>2700</v>
      </c>
      <c r="G123" s="1" t="s">
        <v>4837</v>
      </c>
      <c r="H123" s="46" t="s">
        <v>4957</v>
      </c>
      <c r="I123" s="1" t="str">
        <f>VLOOKUP(Enum[[#This Row],[ID-Modul]],Modul[],17,FALSE)</f>
        <v>H:\Progs\BIM\IFC2x3\Entwicklung\ExpressToVBA\IfcSharedBldgElements</v>
      </c>
    </row>
    <row r="124" spans="2:9" ht="20.100000000000001" customHeight="1" x14ac:dyDescent="0.25">
      <c r="B124" s="7" t="e">
        <f>IF(Enum[[#This Row],[Link]]="","",HYPERLINK(HTML_Doku&amp;Enum[[#This Row],[Link]],"Doku"))</f>
        <v>#NAME?</v>
      </c>
      <c r="C124" s="7" t="s">
        <v>1604</v>
      </c>
      <c r="D124" s="6">
        <v>34</v>
      </c>
      <c r="E124" s="20" t="str">
        <f>IFERROR(VLOOKUP(Enum[ID-Modul],Modul[],2,FALSE),"unbekannt")</f>
        <v>ifcsharedbldgelements</v>
      </c>
      <c r="F124" s="30" t="s">
        <v>2713</v>
      </c>
      <c r="G124" s="1" t="s">
        <v>4838</v>
      </c>
      <c r="H124" s="46" t="s">
        <v>4970</v>
      </c>
      <c r="I124" s="1" t="str">
        <f>VLOOKUP(Enum[[#This Row],[ID-Modul]],Modul[],17,FALSE)</f>
        <v>H:\Progs\BIM\IFC2x3\Entwicklung\ExpressToVBA\IfcSharedBldgElements</v>
      </c>
    </row>
    <row r="125" spans="2:9" ht="20.100000000000001" customHeight="1" x14ac:dyDescent="0.25">
      <c r="B125" s="7" t="e">
        <f>IF(Enum[[#This Row],[Link]]="","",HYPERLINK(HTML_Doku&amp;Enum[[#This Row],[Link]],"Doku"))</f>
        <v>#NAME?</v>
      </c>
      <c r="C125" s="7" t="s">
        <v>1613</v>
      </c>
      <c r="D125" s="6">
        <v>34</v>
      </c>
      <c r="E125" s="20" t="str">
        <f>IFERROR(VLOOKUP(Enum[ID-Modul],Modul[],2,FALSE),"unbekannt")</f>
        <v>ifcsharedbldgelements</v>
      </c>
      <c r="F125" s="30" t="s">
        <v>2722</v>
      </c>
      <c r="G125" s="1" t="s">
        <v>4839</v>
      </c>
      <c r="H125" s="46" t="s">
        <v>4979</v>
      </c>
      <c r="I125" s="1" t="str">
        <f>VLOOKUP(Enum[[#This Row],[ID-Modul]],Modul[],17,FALSE)</f>
        <v>H:\Progs\BIM\IFC2x3\Entwicklung\ExpressToVBA\IfcSharedBldgElements</v>
      </c>
    </row>
    <row r="126" spans="2:9" ht="20.100000000000001" customHeight="1" x14ac:dyDescent="0.25">
      <c r="B126" s="7" t="e">
        <f>IF(Enum[[#This Row],[Link]]="","",HYPERLINK(HTML_Doku&amp;Enum[[#This Row],[Link]],"Doku"))</f>
        <v>#NAME?</v>
      </c>
      <c r="C126" s="7" t="s">
        <v>1614</v>
      </c>
      <c r="D126" s="6">
        <v>34</v>
      </c>
      <c r="E126" s="20" t="str">
        <f>IFERROR(VLOOKUP(Enum[ID-Modul],Modul[],2,FALSE),"unbekannt")</f>
        <v>ifcsharedbldgelements</v>
      </c>
      <c r="F126" s="30" t="s">
        <v>2723</v>
      </c>
      <c r="G126" s="1" t="s">
        <v>4840</v>
      </c>
      <c r="H126" s="46" t="s">
        <v>4980</v>
      </c>
      <c r="I126" s="1" t="str">
        <f>VLOOKUP(Enum[[#This Row],[ID-Modul]],Modul[],17,FALSE)</f>
        <v>H:\Progs\BIM\IFC2x3\Entwicklung\ExpressToVBA\IfcSharedBldgElements</v>
      </c>
    </row>
    <row r="127" spans="2:9" ht="20.100000000000001" customHeight="1" x14ac:dyDescent="0.25">
      <c r="B127" s="7" t="e">
        <f>IF(Enum[[#This Row],[Link]]="","",HYPERLINK(HTML_Doku&amp;Enum[[#This Row],[Link]],"Doku"))</f>
        <v>#NAME?</v>
      </c>
      <c r="C127" s="7" t="s">
        <v>1615</v>
      </c>
      <c r="D127" s="6">
        <v>34</v>
      </c>
      <c r="E127" s="20" t="str">
        <f>IFERROR(VLOOKUP(Enum[ID-Modul],Modul[],2,FALSE),"unbekannt")</f>
        <v>ifcsharedbldgelements</v>
      </c>
      <c r="F127" s="30" t="s">
        <v>2724</v>
      </c>
      <c r="G127" s="1" t="s">
        <v>4839</v>
      </c>
      <c r="H127" s="46" t="s">
        <v>4981</v>
      </c>
      <c r="I127" s="1" t="str">
        <f>VLOOKUP(Enum[[#This Row],[ID-Modul]],Modul[],17,FALSE)</f>
        <v>H:\Progs\BIM\IFC2x3\Entwicklung\ExpressToVBA\IfcSharedBldgElements</v>
      </c>
    </row>
    <row r="128" spans="2:9" ht="20.100000000000001" customHeight="1" x14ac:dyDescent="0.25">
      <c r="B128" s="7" t="e">
        <f>IF(Enum[[#This Row],[Link]]="","",HYPERLINK(HTML_Doku&amp;Enum[[#This Row],[Link]],"Doku"))</f>
        <v>#NAME?</v>
      </c>
      <c r="C128" s="7" t="s">
        <v>1622</v>
      </c>
      <c r="D128" s="6">
        <v>34</v>
      </c>
      <c r="E128" s="20" t="str">
        <f>IFERROR(VLOOKUP(Enum[ID-Modul],Modul[],2,FALSE),"unbekannt")</f>
        <v>ifcsharedbldgelements</v>
      </c>
      <c r="F128" s="30" t="s">
        <v>2731</v>
      </c>
      <c r="G128" s="1" t="s">
        <v>4839</v>
      </c>
      <c r="H128" s="46" t="s">
        <v>4988</v>
      </c>
      <c r="I128" s="1" t="str">
        <f>VLOOKUP(Enum[[#This Row],[ID-Modul]],Modul[],17,FALSE)</f>
        <v>H:\Progs\BIM\IFC2x3\Entwicklung\ExpressToVBA\IfcSharedBldgElements</v>
      </c>
    </row>
    <row r="129" spans="2:9" ht="20.100000000000001" customHeight="1" x14ac:dyDescent="0.25">
      <c r="B129" s="7" t="e">
        <f>IF(Enum[[#This Row],[Link]]="","",HYPERLINK(HTML_Doku&amp;Enum[[#This Row],[Link]],"Doku"))</f>
        <v>#NAME?</v>
      </c>
      <c r="C129" s="7" t="s">
        <v>1631</v>
      </c>
      <c r="D129" s="6">
        <v>34</v>
      </c>
      <c r="E129" s="20" t="str">
        <f>IFERROR(VLOOKUP(Enum[ID-Modul],Modul[],2,FALSE),"unbekannt")</f>
        <v>ifcsharedbldgelements</v>
      </c>
      <c r="F129" s="30" t="s">
        <v>2740</v>
      </c>
      <c r="G129" s="1" t="s">
        <v>4841</v>
      </c>
      <c r="H129" s="46" t="s">
        <v>4997</v>
      </c>
      <c r="I129" s="1" t="str">
        <f>VLOOKUP(Enum[[#This Row],[ID-Modul]],Modul[],17,FALSE)</f>
        <v>H:\Progs\BIM\IFC2x3\Entwicklung\ExpressToVBA\IfcSharedBldgElements</v>
      </c>
    </row>
    <row r="130" spans="2:9" ht="20.100000000000001" customHeight="1" x14ac:dyDescent="0.25">
      <c r="B130" s="7" t="e">
        <f>IF(Enum[[#This Row],[Link]]="","",HYPERLINK(HTML_Doku&amp;Enum[[#This Row],[Link]],"Doku"))</f>
        <v>#NAME?</v>
      </c>
      <c r="C130" s="7" t="s">
        <v>1636</v>
      </c>
      <c r="D130" s="6">
        <v>34</v>
      </c>
      <c r="E130" s="20" t="str">
        <f>IFERROR(VLOOKUP(Enum[ID-Modul],Modul[],2,FALSE),"unbekannt")</f>
        <v>ifcsharedbldgelements</v>
      </c>
      <c r="F130" s="30" t="s">
        <v>2745</v>
      </c>
      <c r="G130" s="1" t="s">
        <v>4842</v>
      </c>
      <c r="H130" s="46" t="s">
        <v>5002</v>
      </c>
      <c r="I130" s="1" t="str">
        <f>VLOOKUP(Enum[[#This Row],[ID-Modul]],Modul[],17,FALSE)</f>
        <v>H:\Progs\BIM\IFC2x3\Entwicklung\ExpressToVBA\IfcSharedBldgElements</v>
      </c>
    </row>
    <row r="131" spans="2:9" ht="20.100000000000001" customHeight="1" x14ac:dyDescent="0.25">
      <c r="B131" s="7" t="e">
        <f>IF(Enum[[#This Row],[Link]]="","",HYPERLINK(HTML_Doku&amp;Enum[[#This Row],[Link]],"Doku"))</f>
        <v>#NAME?</v>
      </c>
      <c r="C131" s="7" t="s">
        <v>1637</v>
      </c>
      <c r="D131" s="6">
        <v>34</v>
      </c>
      <c r="E131" s="20" t="str">
        <f>IFERROR(VLOOKUP(Enum[ID-Modul],Modul[],2,FALSE),"unbekannt")</f>
        <v>ifcsharedbldgelements</v>
      </c>
      <c r="F131" s="30" t="s">
        <v>2746</v>
      </c>
      <c r="G131" s="1" t="s">
        <v>4841</v>
      </c>
      <c r="H131" s="46" t="s">
        <v>5003</v>
      </c>
      <c r="I131" s="1" t="str">
        <f>VLOOKUP(Enum[[#This Row],[ID-Modul]],Modul[],17,FALSE)</f>
        <v>H:\Progs\BIM\IFC2x3\Entwicklung\ExpressToVBA\IfcSharedBldgElements</v>
      </c>
    </row>
    <row r="132" spans="2:9" ht="20.100000000000001" customHeight="1" x14ac:dyDescent="0.25">
      <c r="B132" s="7" t="e">
        <f>IF(Enum[[#This Row],[Link]]="","",HYPERLINK(HTML_Doku&amp;Enum[[#This Row],[Link]],"Doku"))</f>
        <v>#NAME?</v>
      </c>
      <c r="C132" s="7" t="s">
        <v>1660</v>
      </c>
      <c r="D132" s="6">
        <v>34</v>
      </c>
      <c r="E132" s="20" t="str">
        <f>IFERROR(VLOOKUP(Enum[ID-Modul],Modul[],2,FALSE),"unbekannt")</f>
        <v>ifcsharedbldgelements</v>
      </c>
      <c r="F132" s="30" t="s">
        <v>2769</v>
      </c>
      <c r="G132" s="1" t="s">
        <v>4843</v>
      </c>
      <c r="H132" s="46" t="s">
        <v>5026</v>
      </c>
      <c r="I132" s="1" t="str">
        <f>VLOOKUP(Enum[[#This Row],[ID-Modul]],Modul[],17,FALSE)</f>
        <v>H:\Progs\BIM\IFC2x3\Entwicklung\ExpressToVBA\IfcSharedBldgElements</v>
      </c>
    </row>
    <row r="133" spans="2:9" ht="20.100000000000001" customHeight="1" x14ac:dyDescent="0.25">
      <c r="B133" s="7" t="e">
        <f>IF(Enum[[#This Row],[Link]]="","",HYPERLINK(HTML_Doku&amp;Enum[[#This Row],[Link]],"Doku"))</f>
        <v>#NAME?</v>
      </c>
      <c r="C133" s="7" t="s">
        <v>1662</v>
      </c>
      <c r="D133" s="6">
        <v>34</v>
      </c>
      <c r="E133" s="20" t="str">
        <f>IFERROR(VLOOKUP(Enum[ID-Modul],Modul[],2,FALSE),"unbekannt")</f>
        <v>ifcsharedbldgelements</v>
      </c>
      <c r="F133" s="30" t="s">
        <v>2771</v>
      </c>
      <c r="G133" s="1" t="s">
        <v>4844</v>
      </c>
      <c r="H133" s="46" t="s">
        <v>5028</v>
      </c>
      <c r="I133" s="1" t="str">
        <f>VLOOKUP(Enum[[#This Row],[ID-Modul]],Modul[],17,FALSE)</f>
        <v>H:\Progs\BIM\IFC2x3\Entwicklung\ExpressToVBA\IfcSharedBldgElements</v>
      </c>
    </row>
    <row r="134" spans="2:9" ht="20.100000000000001" customHeight="1" x14ac:dyDescent="0.25">
      <c r="B134" s="7" t="e">
        <f>IF(Enum[[#This Row],[Link]]="","",HYPERLINK(HTML_Doku&amp;Enum[[#This Row],[Link]],"Doku"))</f>
        <v>#NAME?</v>
      </c>
      <c r="C134" s="7" t="s">
        <v>1663</v>
      </c>
      <c r="D134" s="6">
        <v>34</v>
      </c>
      <c r="E134" s="20" t="str">
        <f>IFERROR(VLOOKUP(Enum[ID-Modul],Modul[],2,FALSE),"unbekannt")</f>
        <v>ifcsharedbldgelements</v>
      </c>
      <c r="F134" s="30" t="s">
        <v>2772</v>
      </c>
      <c r="G134" s="1" t="s">
        <v>4845</v>
      </c>
      <c r="H134" s="46" t="s">
        <v>5029</v>
      </c>
      <c r="I134" s="1" t="str">
        <f>VLOOKUP(Enum[[#This Row],[ID-Modul]],Modul[],17,FALSE)</f>
        <v>H:\Progs\BIM\IFC2x3\Entwicklung\ExpressToVBA\IfcSharedBldgElements</v>
      </c>
    </row>
    <row r="135" spans="2:9" ht="20.100000000000001" customHeight="1" x14ac:dyDescent="0.25">
      <c r="B135" s="7" t="e">
        <f>IF(Enum[[#This Row],[Link]]="","",HYPERLINK(HTML_Doku&amp;Enum[[#This Row],[Link]],"Doku"))</f>
        <v>#NAME?</v>
      </c>
      <c r="C135" s="7" t="s">
        <v>1664</v>
      </c>
      <c r="D135" s="6">
        <v>34</v>
      </c>
      <c r="E135" s="20" t="str">
        <f>IFERROR(VLOOKUP(Enum[ID-Modul],Modul[],2,FALSE),"unbekannt")</f>
        <v>ifcsharedbldgelements</v>
      </c>
      <c r="F135" s="30" t="s">
        <v>2773</v>
      </c>
      <c r="G135" s="1" t="s">
        <v>4846</v>
      </c>
      <c r="H135" s="46" t="s">
        <v>5030</v>
      </c>
      <c r="I135" s="1" t="str">
        <f>VLOOKUP(Enum[[#This Row],[ID-Modul]],Modul[],17,FALSE)</f>
        <v>H:\Progs\BIM\IFC2x3\Entwicklung\ExpressToVBA\IfcSharedBldgElements</v>
      </c>
    </row>
    <row r="136" spans="2:9" ht="20.100000000000001" customHeight="1" x14ac:dyDescent="0.25">
      <c r="B136" s="7" t="e">
        <f>IF(Enum[[#This Row],[Link]]="","",HYPERLINK(HTML_Doku&amp;Enum[[#This Row],[Link]],"Doku"))</f>
        <v>#NAME?</v>
      </c>
      <c r="C136" s="7" t="s">
        <v>1665</v>
      </c>
      <c r="D136" s="6">
        <v>34</v>
      </c>
      <c r="E136" s="20" t="str">
        <f>IFERROR(VLOOKUP(Enum[ID-Modul],Modul[],2,FALSE),"unbekannt")</f>
        <v>ifcsharedbldgelements</v>
      </c>
      <c r="F136" s="30" t="s">
        <v>2774</v>
      </c>
      <c r="G136" s="1" t="s">
        <v>4847</v>
      </c>
      <c r="H136" s="46" t="s">
        <v>5031</v>
      </c>
      <c r="I136" s="1" t="str">
        <f>VLOOKUP(Enum[[#This Row],[ID-Modul]],Modul[],17,FALSE)</f>
        <v>H:\Progs\BIM\IFC2x3\Entwicklung\ExpressToVBA\IfcSharedBldgElements</v>
      </c>
    </row>
    <row r="137" spans="2:9" ht="20.100000000000001" customHeight="1" x14ac:dyDescent="0.25">
      <c r="B137" s="7" t="e">
        <f>IF(Enum[[#This Row],[Link]]="","",HYPERLINK(HTML_Doku&amp;Enum[[#This Row],[Link]],"Doku"))</f>
        <v>#NAME?</v>
      </c>
      <c r="C137" s="7" t="s">
        <v>1545</v>
      </c>
      <c r="D137" s="6">
        <v>35</v>
      </c>
      <c r="E137" s="20" t="str">
        <f>IFERROR(VLOOKUP(Enum[ID-Modul],Modul[],2,FALSE),"unbekannt")</f>
        <v>ifcsharedbldgserviceelements</v>
      </c>
      <c r="F137" s="30" t="s">
        <v>2654</v>
      </c>
      <c r="G137" s="1" t="s">
        <v>4848</v>
      </c>
      <c r="H137" s="46" t="s">
        <v>4911</v>
      </c>
      <c r="I137" s="1" t="str">
        <f>VLOOKUP(Enum[[#This Row],[ID-Modul]],Modul[],17,FALSE)</f>
        <v>H:\Progs\BIM\IFC2x3\Entwicklung\ExpressToVBA\IfcSharedBldgServiceElements</v>
      </c>
    </row>
    <row r="138" spans="2:9" ht="20.100000000000001" customHeight="1" x14ac:dyDescent="0.25">
      <c r="B138" s="7" t="e">
        <f>IF(Enum[[#This Row],[Link]]="","",HYPERLINK(HTML_Doku&amp;Enum[[#This Row],[Link]],"Doku"))</f>
        <v>#NAME?</v>
      </c>
      <c r="C138" s="7" t="s">
        <v>1556</v>
      </c>
      <c r="D138" s="6">
        <v>35</v>
      </c>
      <c r="E138" s="20" t="str">
        <f>IFERROR(VLOOKUP(Enum[ID-Modul],Modul[],2,FALSE),"unbekannt")</f>
        <v>ifcsharedbldgserviceelements</v>
      </c>
      <c r="F138" s="30" t="s">
        <v>2665</v>
      </c>
      <c r="G138" s="1" t="s">
        <v>4849</v>
      </c>
      <c r="H138" s="46" t="s">
        <v>4922</v>
      </c>
      <c r="I138" s="1" t="str">
        <f>VLOOKUP(Enum[[#This Row],[ID-Modul]],Modul[],17,FALSE)</f>
        <v>H:\Progs\BIM\IFC2x3\Entwicklung\ExpressToVBA\IfcSharedBldgServiceElements</v>
      </c>
    </row>
    <row r="139" spans="2:9" ht="20.100000000000001" customHeight="1" x14ac:dyDescent="0.25">
      <c r="B139" s="7" t="e">
        <f>IF(Enum[[#This Row],[Link]]="","",HYPERLINK(HTML_Doku&amp;Enum[[#This Row],[Link]],"Doku"))</f>
        <v>#NAME?</v>
      </c>
      <c r="C139" s="7" t="s">
        <v>1565</v>
      </c>
      <c r="D139" s="6">
        <v>35</v>
      </c>
      <c r="E139" s="20" t="str">
        <f>IFERROR(VLOOKUP(Enum[ID-Modul],Modul[],2,FALSE),"unbekannt")</f>
        <v>ifcsharedbldgserviceelements</v>
      </c>
      <c r="F139" s="30" t="s">
        <v>2674</v>
      </c>
      <c r="G139" s="1" t="s">
        <v>4850</v>
      </c>
      <c r="H139" s="46" t="s">
        <v>4931</v>
      </c>
      <c r="I139" s="1" t="str">
        <f>VLOOKUP(Enum[[#This Row],[ID-Modul]],Modul[],17,FALSE)</f>
        <v>H:\Progs\BIM\IFC2x3\Entwicklung\ExpressToVBA\IfcSharedBldgServiceElements</v>
      </c>
    </row>
    <row r="140" spans="2:9" ht="20.100000000000001" customHeight="1" x14ac:dyDescent="0.25">
      <c r="B140" s="7" t="e">
        <f>IF(Enum[[#This Row],[Link]]="","",HYPERLINK(HTML_Doku&amp;Enum[[#This Row],[Link]],"Doku"))</f>
        <v>#NAME?</v>
      </c>
      <c r="C140" s="7" t="s">
        <v>1572</v>
      </c>
      <c r="D140" s="6">
        <v>35</v>
      </c>
      <c r="E140" s="20" t="str">
        <f>IFERROR(VLOOKUP(Enum[ID-Modul],Modul[],2,FALSE),"unbekannt")</f>
        <v>ifcsharedbldgserviceelements</v>
      </c>
      <c r="F140" s="30" t="s">
        <v>2681</v>
      </c>
      <c r="G140" s="1" t="s">
        <v>4851</v>
      </c>
      <c r="H140" s="46" t="s">
        <v>4938</v>
      </c>
      <c r="I140" s="1" t="str">
        <f>VLOOKUP(Enum[[#This Row],[ID-Modul]],Modul[],17,FALSE)</f>
        <v>H:\Progs\BIM\IFC2x3\Entwicklung\ExpressToVBA\IfcSharedBldgServiceElements</v>
      </c>
    </row>
    <row r="141" spans="2:9" ht="20.100000000000001" customHeight="1" x14ac:dyDescent="0.25">
      <c r="B141" s="7" t="e">
        <f>IF(Enum[[#This Row],[Link]]="","",HYPERLINK(HTML_Doku&amp;Enum[[#This Row],[Link]],"Doku"))</f>
        <v>#NAME?</v>
      </c>
      <c r="C141" s="7" t="s">
        <v>1610</v>
      </c>
      <c r="D141" s="6">
        <v>35</v>
      </c>
      <c r="E141" s="20" t="str">
        <f>IFERROR(VLOOKUP(Enum[ID-Modul],Modul[],2,FALSE),"unbekannt")</f>
        <v>ifcsharedbldgserviceelements</v>
      </c>
      <c r="F141" s="30" t="s">
        <v>2719</v>
      </c>
      <c r="G141" s="1" t="s">
        <v>4852</v>
      </c>
      <c r="H141" s="46" t="s">
        <v>4976</v>
      </c>
      <c r="I141" s="1" t="str">
        <f>VLOOKUP(Enum[[#This Row],[ID-Modul]],Modul[],17,FALSE)</f>
        <v>H:\Progs\BIM\IFC2x3\Entwicklung\ExpressToVBA\IfcSharedBldgServiceElements</v>
      </c>
    </row>
    <row r="142" spans="2:9" ht="20.100000000000001" customHeight="1" x14ac:dyDescent="0.25">
      <c r="B142" s="7" t="e">
        <f>IF(Enum[[#This Row],[Link]]="","",HYPERLINK(HTML_Doku&amp;Enum[[#This Row],[Link]],"Doku"))</f>
        <v>#NAME?</v>
      </c>
      <c r="C142" s="7" t="s">
        <v>1632</v>
      </c>
      <c r="D142" s="6">
        <v>35</v>
      </c>
      <c r="E142" s="20" t="str">
        <f>IFERROR(VLOOKUP(Enum[ID-Modul],Modul[],2,FALSE),"unbekannt")</f>
        <v>ifcsharedbldgserviceelements</v>
      </c>
      <c r="F142" s="30" t="s">
        <v>2741</v>
      </c>
      <c r="G142" s="1" t="s">
        <v>4853</v>
      </c>
      <c r="H142" s="46" t="s">
        <v>4998</v>
      </c>
      <c r="I142" s="1" t="str">
        <f>VLOOKUP(Enum[[#This Row],[ID-Modul]],Modul[],17,FALSE)</f>
        <v>H:\Progs\BIM\IFC2x3\Entwicklung\ExpressToVBA\IfcSharedBldgServiceElements</v>
      </c>
    </row>
    <row r="143" spans="2:9" ht="20.100000000000001" customHeight="1" x14ac:dyDescent="0.25">
      <c r="B143" s="7" t="e">
        <f>IF(Enum[[#This Row],[Link]]="","",HYPERLINK(HTML_Doku&amp;Enum[[#This Row],[Link]],"Doku"))</f>
        <v>#NAME?</v>
      </c>
      <c r="C143" s="7" t="s">
        <v>1647</v>
      </c>
      <c r="D143" s="6">
        <v>35</v>
      </c>
      <c r="E143" s="20" t="str">
        <f>IFERROR(VLOOKUP(Enum[ID-Modul],Modul[],2,FALSE),"unbekannt")</f>
        <v>ifcsharedbldgserviceelements</v>
      </c>
      <c r="F143" s="30" t="s">
        <v>2756</v>
      </c>
      <c r="G143" s="1" t="s">
        <v>4854</v>
      </c>
      <c r="H143" s="46" t="s">
        <v>5013</v>
      </c>
      <c r="I143" s="1" t="str">
        <f>VLOOKUP(Enum[[#This Row],[ID-Modul]],Modul[],17,FALSE)</f>
        <v>H:\Progs\BIM\IFC2x3\Entwicklung\ExpressToVBA\IfcSharedBldgServiceElements</v>
      </c>
    </row>
    <row r="144" spans="2:9" ht="20.100000000000001" customHeight="1" x14ac:dyDescent="0.25">
      <c r="B144" s="7" t="e">
        <f>IF(Enum[[#This Row],[Link]]="","",HYPERLINK(HTML_Doku&amp;Enum[[#This Row],[Link]],"Doku"))</f>
        <v>#NAME?</v>
      </c>
      <c r="C144" s="7" t="s">
        <v>1648</v>
      </c>
      <c r="D144" s="6">
        <v>35</v>
      </c>
      <c r="E144" s="20" t="str">
        <f>IFERROR(VLOOKUP(Enum[ID-Modul],Modul[],2,FALSE),"unbekannt")</f>
        <v>ifcsharedbldgserviceelements</v>
      </c>
      <c r="F144" s="30" t="s">
        <v>2757</v>
      </c>
      <c r="G144" s="1" t="s">
        <v>4855</v>
      </c>
      <c r="H144" s="46" t="s">
        <v>5014</v>
      </c>
      <c r="I144" s="1" t="str">
        <f>VLOOKUP(Enum[[#This Row],[ID-Modul]],Modul[],17,FALSE)</f>
        <v>H:\Progs\BIM\IFC2x3\Entwicklung\ExpressToVBA\IfcSharedBldgServiceElements</v>
      </c>
    </row>
    <row r="145" spans="2:9" ht="20.100000000000001" customHeight="1" x14ac:dyDescent="0.25">
      <c r="B145" s="7" t="e">
        <f>IF(Enum[[#This Row],[Link]]="","",HYPERLINK(HTML_Doku&amp;Enum[[#This Row],[Link]],"Doku"))</f>
        <v>#NAME?</v>
      </c>
      <c r="C145" s="7" t="s">
        <v>1582</v>
      </c>
      <c r="D145" s="6">
        <v>37</v>
      </c>
      <c r="E145" s="20" t="str">
        <f>IFERROR(VLOOKUP(Enum[ID-Modul],Modul[],2,FALSE),"unbekannt")</f>
        <v>ifcsharedfacilitieselements</v>
      </c>
      <c r="F145" s="30" t="s">
        <v>2691</v>
      </c>
      <c r="G145" s="1" t="s">
        <v>4856</v>
      </c>
      <c r="H145" s="46" t="s">
        <v>4948</v>
      </c>
      <c r="I145" s="1" t="str">
        <f>VLOOKUP(Enum[[#This Row],[ID-Modul]],Modul[],17,FALSE)</f>
        <v>H:\Progs\BIM\IFC2x3\Entwicklung\ExpressToVBA\IfcSharedFacilitiesElements</v>
      </c>
    </row>
    <row r="146" spans="2:9" ht="20.100000000000001" customHeight="1" x14ac:dyDescent="0.25">
      <c r="B146" s="7" t="e">
        <f>IF(Enum[[#This Row],[Link]]="","",HYPERLINK(HTML_Doku&amp;Enum[[#This Row],[Link]],"Doku"))</f>
        <v>#NAME?</v>
      </c>
      <c r="C146" s="7" t="s">
        <v>1596</v>
      </c>
      <c r="D146" s="6">
        <v>37</v>
      </c>
      <c r="E146" s="20" t="str">
        <f>IFERROR(VLOOKUP(Enum[ID-Modul],Modul[],2,FALSE),"unbekannt")</f>
        <v>ifcsharedfacilitieselements</v>
      </c>
      <c r="F146" s="30" t="s">
        <v>2705</v>
      </c>
      <c r="G146" s="1" t="s">
        <v>4857</v>
      </c>
      <c r="H146" s="46" t="s">
        <v>4962</v>
      </c>
      <c r="I146" s="1" t="str">
        <f>VLOOKUP(Enum[[#This Row],[ID-Modul]],Modul[],17,FALSE)</f>
        <v>H:\Progs\BIM\IFC2x3\Entwicklung\ExpressToVBA\IfcSharedFacilitiesElements</v>
      </c>
    </row>
    <row r="147" spans="2:9" ht="20.100000000000001" customHeight="1" x14ac:dyDescent="0.25">
      <c r="B147" s="7" t="e">
        <f>IF(Enum[[#This Row],[Link]]="","",HYPERLINK(HTML_Doku&amp;Enum[[#This Row],[Link]],"Doku"))</f>
        <v>#NAME?</v>
      </c>
      <c r="C147" s="7" t="s">
        <v>1629</v>
      </c>
      <c r="D147" s="6">
        <v>37</v>
      </c>
      <c r="E147" s="20" t="str">
        <f>IFERROR(VLOOKUP(Enum[ID-Modul],Modul[],2,FALSE),"unbekannt")</f>
        <v>ifcsharedfacilitieselements</v>
      </c>
      <c r="F147" s="30" t="s">
        <v>2738</v>
      </c>
      <c r="G147" s="1" t="s">
        <v>4858</v>
      </c>
      <c r="H147" s="46" t="s">
        <v>4993</v>
      </c>
      <c r="I147" s="1" t="str">
        <f>VLOOKUP(Enum[[#This Row],[ID-Modul]],Modul[],17,FALSE)</f>
        <v>H:\Progs\BIM\IFC2x3\Entwicklung\ExpressToVBA\IfcSharedFacilitiesElements</v>
      </c>
    </row>
    <row r="148" spans="2:9" ht="20.100000000000001" customHeight="1" x14ac:dyDescent="0.25">
      <c r="B148" s="7" t="e">
        <f>IF(Enum[[#This Row],[Link]]="","",HYPERLINK(HTML_Doku&amp;Enum[[#This Row],[Link]],"Doku"))</f>
        <v>#NAME?</v>
      </c>
      <c r="C148" s="7" t="s">
        <v>1630</v>
      </c>
      <c r="D148" s="6">
        <v>37</v>
      </c>
      <c r="E148" s="20" t="str">
        <f>IFERROR(VLOOKUP(Enum[ID-Modul],Modul[],2,FALSE),"unbekannt")</f>
        <v>ifcsharedfacilitieselements</v>
      </c>
      <c r="F148" s="30" t="s">
        <v>2739</v>
      </c>
      <c r="G148" s="1" t="s">
        <v>4859</v>
      </c>
      <c r="H148" s="46" t="s">
        <v>4994</v>
      </c>
      <c r="I148" s="1" t="str">
        <f>VLOOKUP(Enum[[#This Row],[ID-Modul]],Modul[],17,FALSE)</f>
        <v>H:\Progs\BIM\IFC2x3\Entwicklung\ExpressToVBA\IfcSharedFacilitiesElements</v>
      </c>
    </row>
    <row r="149" spans="2:9" ht="20.100000000000001" customHeight="1" x14ac:dyDescent="0.25">
      <c r="B149" s="7" t="e">
        <f>IF(Enum[[#This Row],[Link]]="","",HYPERLINK(HTML_Doku&amp;Enum[[#This Row],[Link]],"Doku"))</f>
        <v>#NAME?</v>
      </c>
      <c r="C149" s="7" t="s">
        <v>1536</v>
      </c>
      <c r="D149" s="6">
        <v>38</v>
      </c>
      <c r="E149" s="20" t="str">
        <f>IFERROR(VLOOKUP(Enum[ID-Modul],Modul[],2,FALSE),"unbekannt")</f>
        <v>ifcsharedmgmtelements</v>
      </c>
      <c r="F149" s="30" t="s">
        <v>2645</v>
      </c>
      <c r="G149" s="1" t="s">
        <v>4860</v>
      </c>
      <c r="H149" s="46" t="s">
        <v>4902</v>
      </c>
      <c r="I149" s="1" t="str">
        <f>VLOOKUP(Enum[[#This Row],[ID-Modul]],Modul[],17,FALSE)</f>
        <v>H:\Progs\BIM\IFC2x3\Entwicklung\ExpressToVBA\IfcSharedMgmtElements</v>
      </c>
    </row>
    <row r="150" spans="2:9" ht="20.100000000000001" customHeight="1" x14ac:dyDescent="0.25">
      <c r="B150" s="7" t="e">
        <f>IF(Enum[[#This Row],[Link]]="","",HYPERLINK(HTML_Doku&amp;Enum[[#This Row],[Link]],"Doku"))</f>
        <v>#NAME?</v>
      </c>
      <c r="C150" s="7" t="s">
        <v>1607</v>
      </c>
      <c r="D150" s="6">
        <v>38</v>
      </c>
      <c r="E150" s="20" t="str">
        <f>IFERROR(VLOOKUP(Enum[ID-Modul],Modul[],2,FALSE),"unbekannt")</f>
        <v>ifcsharedmgmtelements</v>
      </c>
      <c r="F150" s="30" t="s">
        <v>2716</v>
      </c>
      <c r="G150" s="1" t="s">
        <v>4861</v>
      </c>
      <c r="H150" s="46" t="s">
        <v>4974</v>
      </c>
      <c r="I150" s="1" t="str">
        <f>VLOOKUP(Enum[[#This Row],[ID-Modul]],Modul[],17,FALSE)</f>
        <v>H:\Progs\BIM\IFC2x3\Entwicklung\ExpressToVBA\IfcSharedMgmtElements</v>
      </c>
    </row>
    <row r="151" spans="2:9" ht="20.100000000000001" customHeight="1" x14ac:dyDescent="0.25">
      <c r="B151" s="7" t="e">
        <f>IF(Enum[[#This Row],[Link]]="","",HYPERLINK(HTML_Doku&amp;Enum[[#This Row],[Link]],"Doku"))</f>
        <v>#NAME?</v>
      </c>
      <c r="C151" s="7" t="s">
        <v>1608</v>
      </c>
      <c r="D151" s="6">
        <v>38</v>
      </c>
      <c r="E151" s="20" t="str">
        <f>IFERROR(VLOOKUP(Enum[ID-Modul],Modul[],2,FALSE),"unbekannt")</f>
        <v>ifcsharedmgmtelements</v>
      </c>
      <c r="F151" s="30" t="s">
        <v>2717</v>
      </c>
      <c r="G151" s="1" t="s">
        <v>4862</v>
      </c>
      <c r="H151" s="46" t="s">
        <v>4975</v>
      </c>
      <c r="I151" s="1" t="str">
        <f>VLOOKUP(Enum[[#This Row],[ID-Modul]],Modul[],17,FALSE)</f>
        <v>H:\Progs\BIM\IFC2x3\Entwicklung\ExpressToVBA\IfcSharedMgmtElements</v>
      </c>
    </row>
    <row r="152" spans="2:9" ht="20.100000000000001" customHeight="1" x14ac:dyDescent="0.25">
      <c r="B152" s="1" t="e">
        <f>IF(Enum[[#This Row],[Link]]="","",HYPERLINK(HTML_Doku&amp;Enum[[#This Row],[Link]],"Doku"))</f>
        <v>#NAME?</v>
      </c>
      <c r="C152" s="1" t="s">
        <v>1503</v>
      </c>
      <c r="D152" s="2">
        <v>39</v>
      </c>
      <c r="E152" s="4" t="str">
        <f>IFERROR(VLOOKUP(Enum[ID-Modul],Modul[],2,FALSE),"unbekannt")</f>
        <v>ifcstructuralanalysisdomain</v>
      </c>
      <c r="F152" s="30" t="s">
        <v>2612</v>
      </c>
      <c r="G152" s="1" t="s">
        <v>4761</v>
      </c>
      <c r="H152" s="46" t="s">
        <v>4869</v>
      </c>
      <c r="I152" s="1" t="str">
        <f>VLOOKUP(Enum[[#This Row],[ID-Modul]],Modul[],17,FALSE)</f>
        <v>H:\Progs\BIM\IFC2x3\Entwicklung\ExpressToVBA\IfcStructuralAnalysisDomain</v>
      </c>
    </row>
    <row r="153" spans="2:9" ht="20.100000000000001" customHeight="1" x14ac:dyDescent="0.25">
      <c r="B153" s="7" t="e">
        <f>IF(Enum[[#This Row],[Link]]="","",HYPERLINK(HTML_Doku&amp;Enum[[#This Row],[Link]],"Doku"))</f>
        <v>#NAME?</v>
      </c>
      <c r="C153" s="7" t="s">
        <v>1504</v>
      </c>
      <c r="D153" s="6">
        <v>39</v>
      </c>
      <c r="E153" s="20" t="str">
        <f>IFERROR(VLOOKUP(Enum[ID-Modul],Modul[],2,FALSE),"unbekannt")</f>
        <v>ifcstructuralanalysisdomain</v>
      </c>
      <c r="F153" s="30" t="s">
        <v>2613</v>
      </c>
      <c r="G153" s="1" t="s">
        <v>4760</v>
      </c>
      <c r="H153" s="46" t="s">
        <v>4870</v>
      </c>
      <c r="I153" s="1" t="str">
        <f>VLOOKUP(Enum[[#This Row],[ID-Modul]],Modul[],17,FALSE)</f>
        <v>H:\Progs\BIM\IFC2x3\Entwicklung\ExpressToVBA\IfcStructuralAnalysisDomain</v>
      </c>
    </row>
    <row r="154" spans="2:9" ht="20.100000000000001" customHeight="1" x14ac:dyDescent="0.25">
      <c r="B154" s="7" t="e">
        <f>IF(Enum[[#This Row],[Link]]="","",HYPERLINK(HTML_Doku&amp;Enum[[#This Row],[Link]],"Doku"))</f>
        <v>#NAME?</v>
      </c>
      <c r="C154" s="7" t="s">
        <v>1512</v>
      </c>
      <c r="D154" s="6">
        <v>39</v>
      </c>
      <c r="E154" s="20" t="str">
        <f>IFERROR(VLOOKUP(Enum[ID-Modul],Modul[],2,FALSE),"unbekannt")</f>
        <v>ifcstructuralanalysisdomain</v>
      </c>
      <c r="F154" s="30" t="s">
        <v>2621</v>
      </c>
      <c r="G154" s="1" t="s">
        <v>4759</v>
      </c>
      <c r="H154" s="46" t="s">
        <v>4878</v>
      </c>
      <c r="I154" s="1" t="str">
        <f>VLOOKUP(Enum[[#This Row],[ID-Modul]],Modul[],17,FALSE)</f>
        <v>H:\Progs\BIM\IFC2x3\Entwicklung\ExpressToVBA\IfcStructuralAnalysisDomain</v>
      </c>
    </row>
    <row r="155" spans="2:9" ht="20.100000000000001" customHeight="1" x14ac:dyDescent="0.25">
      <c r="B155" s="7" t="e">
        <f>IF(Enum[[#This Row],[Link]]="","",HYPERLINK(HTML_Doku&amp;Enum[[#This Row],[Link]],"Doku"))</f>
        <v>#NAME?</v>
      </c>
      <c r="C155" s="7" t="s">
        <v>1513</v>
      </c>
      <c r="D155" s="6">
        <v>39</v>
      </c>
      <c r="E155" s="20" t="str">
        <f>IFERROR(VLOOKUP(Enum[ID-Modul],Modul[],2,FALSE),"unbekannt")</f>
        <v>ifcstructuralanalysisdomain</v>
      </c>
      <c r="F155" s="30" t="s">
        <v>2622</v>
      </c>
      <c r="G155" s="1" t="s">
        <v>4758</v>
      </c>
      <c r="H155" s="46" t="s">
        <v>4879</v>
      </c>
      <c r="I155" s="1" t="str">
        <f>VLOOKUP(Enum[[#This Row],[ID-Modul]],Modul[],17,FALSE)</f>
        <v>H:\Progs\BIM\IFC2x3\Entwicklung\ExpressToVBA\IfcStructuralAnalysisDomain</v>
      </c>
    </row>
    <row r="156" spans="2:9" ht="20.100000000000001" customHeight="1" x14ac:dyDescent="0.25">
      <c r="B156" s="7" t="e">
        <f>IF(Enum[[#This Row],[Link]]="","",HYPERLINK(HTML_Doku&amp;Enum[[#This Row],[Link]],"Doku"))</f>
        <v>#NAME?</v>
      </c>
      <c r="C156" s="7" t="s">
        <v>1589</v>
      </c>
      <c r="D156" s="6">
        <v>39</v>
      </c>
      <c r="E156" s="20" t="str">
        <f>IFERROR(VLOOKUP(Enum[ID-Modul],Modul[],2,FALSE),"unbekannt")</f>
        <v>ifcstructuralanalysisdomain</v>
      </c>
      <c r="F156" s="30" t="s">
        <v>2698</v>
      </c>
      <c r="G156" s="1" t="s">
        <v>4757</v>
      </c>
      <c r="H156" s="46" t="s">
        <v>4955</v>
      </c>
      <c r="I156" s="1" t="str">
        <f>VLOOKUP(Enum[[#This Row],[ID-Modul]],Modul[],17,FALSE)</f>
        <v>H:\Progs\BIM\IFC2x3\Entwicklung\ExpressToVBA\IfcStructuralAnalysisDomain</v>
      </c>
    </row>
    <row r="157" spans="2:9" ht="20.100000000000001" customHeight="1" x14ac:dyDescent="0.25">
      <c r="B157" s="7" t="e">
        <f>IF(Enum[[#This Row],[Link]]="","",HYPERLINK(HTML_Doku&amp;Enum[[#This Row],[Link]],"Doku"))</f>
        <v>#NAME?</v>
      </c>
      <c r="C157" s="7" t="s">
        <v>1609</v>
      </c>
      <c r="D157" s="6">
        <v>39</v>
      </c>
      <c r="E157" s="20" t="str">
        <f>IFERROR(VLOOKUP(Enum[ID-Modul],Modul[],2,FALSE),"unbekannt")</f>
        <v>ifcstructuralanalysisdomain</v>
      </c>
      <c r="F157" s="30" t="s">
        <v>2718</v>
      </c>
      <c r="G157" s="1" t="s">
        <v>4756</v>
      </c>
      <c r="H157" s="46" t="s">
        <v>4973</v>
      </c>
      <c r="I157" s="1" t="str">
        <f>VLOOKUP(Enum[[#This Row],[ID-Modul]],Modul[],17,FALSE)</f>
        <v>H:\Progs\BIM\IFC2x3\Entwicklung\ExpressToVBA\IfcStructuralAnalysisDomain</v>
      </c>
    </row>
    <row r="158" spans="2:9" ht="20.100000000000001" customHeight="1" x14ac:dyDescent="0.25">
      <c r="B158" s="7" t="e">
        <f>IF(Enum[[#This Row],[Link]]="","",HYPERLINK(HTML_Doku&amp;Enum[[#This Row],[Link]],"Doku"))</f>
        <v>#NAME?</v>
      </c>
      <c r="C158" s="7" t="s">
        <v>1639</v>
      </c>
      <c r="D158" s="6">
        <v>39</v>
      </c>
      <c r="E158" s="20" t="str">
        <f>IFERROR(VLOOKUP(Enum[ID-Modul],Modul[],2,FALSE),"unbekannt")</f>
        <v>ifcstructuralanalysisdomain</v>
      </c>
      <c r="F158" s="30" t="s">
        <v>2748</v>
      </c>
      <c r="G158" s="1" t="s">
        <v>4755</v>
      </c>
      <c r="H158" s="46" t="s">
        <v>5005</v>
      </c>
      <c r="I158" s="1" t="str">
        <f>VLOOKUP(Enum[[#This Row],[ID-Modul]],Modul[],17,FALSE)</f>
        <v>H:\Progs\BIM\IFC2x3\Entwicklung\ExpressToVBA\IfcStructuralAnalysisDomain</v>
      </c>
    </row>
    <row r="159" spans="2:9" ht="20.100000000000001" customHeight="1" x14ac:dyDescent="0.25">
      <c r="B159" s="7" t="e">
        <f>IF(Enum[[#This Row],[Link]]="","",HYPERLINK(HTML_Doku&amp;Enum[[#This Row],[Link]],"Doku"))</f>
        <v>#NAME?</v>
      </c>
      <c r="C159" s="7" t="s">
        <v>1640</v>
      </c>
      <c r="D159" s="6">
        <v>39</v>
      </c>
      <c r="E159" s="20" t="str">
        <f>IFERROR(VLOOKUP(Enum[ID-Modul],Modul[],2,FALSE),"unbekannt")</f>
        <v>ifcstructuralanalysisdomain</v>
      </c>
      <c r="F159" s="30" t="s">
        <v>2749</v>
      </c>
      <c r="G159" s="1" t="s">
        <v>4754</v>
      </c>
      <c r="H159" s="46" t="s">
        <v>5006</v>
      </c>
      <c r="I159" s="1" t="str">
        <f>VLOOKUP(Enum[[#This Row],[ID-Modul]],Modul[],17,FALSE)</f>
        <v>H:\Progs\BIM\IFC2x3\Entwicklung\ExpressToVBA\IfcStructuralAnalysisDomain</v>
      </c>
    </row>
    <row r="160" spans="2:9" ht="20.100000000000001" customHeight="1" x14ac:dyDescent="0.25">
      <c r="B160" s="7" t="e">
        <f>IF(Enum[[#This Row],[Link]]="","",HYPERLINK(HTML_Doku&amp;Enum[[#This Row],[Link]],"Doku"))</f>
        <v>#NAME?</v>
      </c>
      <c r="C160" s="7" t="s">
        <v>1575</v>
      </c>
      <c r="D160" s="6">
        <v>40</v>
      </c>
      <c r="E160" s="20" t="str">
        <f>IFERROR(VLOOKUP(Enum[ID-Modul],Modul[],2,FALSE),"unbekannt")</f>
        <v>ifcstructuralelementsdomain</v>
      </c>
      <c r="F160" s="30" t="s">
        <v>2684</v>
      </c>
      <c r="G160" s="1" t="s">
        <v>4753</v>
      </c>
      <c r="H160" s="46" t="s">
        <v>4941</v>
      </c>
      <c r="I160" s="1" t="str">
        <f>VLOOKUP(Enum[[#This Row],[ID-Modul]],Modul[],17,FALSE)</f>
        <v>H:\Progs\BIM\IFC2x3\Entwicklung\ExpressToVBA\IfcStructuralElementsDomain</v>
      </c>
    </row>
    <row r="161" spans="2:9" ht="20.100000000000001" customHeight="1" x14ac:dyDescent="0.25">
      <c r="B161" s="7" t="e">
        <f>IF(Enum[[#This Row],[Link]]="","",HYPERLINK(HTML_Doku&amp;Enum[[#This Row],[Link]],"Doku"))</f>
        <v>#NAME?</v>
      </c>
      <c r="C161" s="7" t="s">
        <v>1600</v>
      </c>
      <c r="D161" s="6">
        <v>40</v>
      </c>
      <c r="E161" s="20" t="str">
        <f>IFERROR(VLOOKUP(Enum[ID-Modul],Modul[],2,FALSE),"unbekannt")</f>
        <v>ifcstructuralelementsdomain</v>
      </c>
      <c r="F161" s="30" t="s">
        <v>2709</v>
      </c>
      <c r="G161" s="1" t="s">
        <v>4752</v>
      </c>
      <c r="H161" s="46" t="s">
        <v>4966</v>
      </c>
      <c r="I161" s="1" t="str">
        <f>VLOOKUP(Enum[[#This Row],[ID-Modul]],Modul[],17,FALSE)</f>
        <v>H:\Progs\BIM\IFC2x3\Entwicklung\ExpressToVBA\IfcStructuralElementsDomain</v>
      </c>
    </row>
    <row r="162" spans="2:9" ht="20.100000000000001" customHeight="1" x14ac:dyDescent="0.25">
      <c r="B162" s="7" t="e">
        <f>IF(Enum[[#This Row],[Link]]="","",HYPERLINK(HTML_Doku&amp;Enum[[#This Row],[Link]],"Doku"))</f>
        <v>#NAME?</v>
      </c>
      <c r="C162" s="7" t="s">
        <v>1601</v>
      </c>
      <c r="D162" s="6">
        <v>40</v>
      </c>
      <c r="E162" s="20" t="str">
        <f>IFERROR(VLOOKUP(Enum[ID-Modul],Modul[],2,FALSE),"unbekannt")</f>
        <v>ifcstructuralelementsdomain</v>
      </c>
      <c r="F162" s="30" t="s">
        <v>2710</v>
      </c>
      <c r="G162" s="1" t="s">
        <v>4751</v>
      </c>
      <c r="H162" s="46" t="s">
        <v>4967</v>
      </c>
      <c r="I162" s="1" t="str">
        <f>VLOOKUP(Enum[[#This Row],[ID-Modul]],Modul[],17,FALSE)</f>
        <v>H:\Progs\BIM\IFC2x3\Entwicklung\ExpressToVBA\IfcStructuralElementsDomain</v>
      </c>
    </row>
    <row r="163" spans="2:9" ht="20.100000000000001" customHeight="1" x14ac:dyDescent="0.25">
      <c r="B163" s="7" t="e">
        <f>IF(Enum[[#This Row],[Link]]="","",HYPERLINK(HTML_Doku&amp;Enum[[#This Row],[Link]],"Doku"))</f>
        <v>#NAME?</v>
      </c>
      <c r="C163" s="7" t="s">
        <v>1645</v>
      </c>
      <c r="D163" s="6">
        <v>40</v>
      </c>
      <c r="E163" s="20" t="str">
        <f>IFERROR(VLOOKUP(Enum[ID-Modul],Modul[],2,FALSE),"unbekannt")</f>
        <v>ifcstructuralelementsdomain</v>
      </c>
      <c r="F163" s="30" t="s">
        <v>2754</v>
      </c>
      <c r="G163" s="1" t="s">
        <v>4750</v>
      </c>
      <c r="H163" s="46" t="s">
        <v>5011</v>
      </c>
      <c r="I163" s="1" t="str">
        <f>VLOOKUP(Enum[[#This Row],[ID-Modul]],Modul[],17,FALSE)</f>
        <v>H:\Progs\BIM\IFC2x3\Entwicklung\ExpressToVBA\IfcStructuralElementsDomain</v>
      </c>
    </row>
    <row r="164" spans="2:9" ht="20.100000000000001" customHeight="1" x14ac:dyDescent="0.25">
      <c r="B164" s="7" t="e">
        <f>IF(Enum[[#This Row],[Link]]="","",HYPERLINK(HTML_Doku&amp;Enum[[#This Row],[Link]],"Doku"))</f>
        <v>#NAME?</v>
      </c>
      <c r="C164" s="7" t="s">
        <v>1541</v>
      </c>
      <c r="D164" s="6">
        <v>42</v>
      </c>
      <c r="E164" s="20" t="str">
        <f>IFERROR(VLOOKUP(Enum[ID-Modul],Modul[],2,FALSE),"unbekannt")</f>
        <v>ifctimeseriesresource</v>
      </c>
      <c r="F164" s="30" t="s">
        <v>2650</v>
      </c>
      <c r="G164" s="1" t="s">
        <v>4749</v>
      </c>
      <c r="H164" s="46" t="s">
        <v>4907</v>
      </c>
      <c r="I164" s="1" t="str">
        <f>VLOOKUP(Enum[[#This Row],[ID-Modul]],Modul[],17,FALSE)</f>
        <v>H:\Progs\BIM\IFC2x3\Entwicklung\ExpressToVBA\IfcTimeSeriesResource</v>
      </c>
    </row>
    <row r="165" spans="2:9" ht="20.100000000000001" customHeight="1" x14ac:dyDescent="0.25">
      <c r="B165" s="7" t="e">
        <f>IF(Enum[[#This Row],[Link]]="","",HYPERLINK(HTML_Doku&amp;Enum[[#This Row],[Link]],"Doku"))</f>
        <v>#NAME?</v>
      </c>
      <c r="C165" s="7" t="s">
        <v>1649</v>
      </c>
      <c r="D165" s="6">
        <v>42</v>
      </c>
      <c r="E165" s="20" t="str">
        <f>IFERROR(VLOOKUP(Enum[ID-Modul],Modul[],2,FALSE),"unbekannt")</f>
        <v>ifctimeseriesresource</v>
      </c>
      <c r="F165" s="30" t="s">
        <v>2758</v>
      </c>
      <c r="G165" s="1" t="s">
        <v>4748</v>
      </c>
      <c r="H165" s="46" t="s">
        <v>5015</v>
      </c>
      <c r="I165" s="1" t="str">
        <f>VLOOKUP(Enum[[#This Row],[ID-Modul]],Modul[],17,FALSE)</f>
        <v>H:\Progs\BIM\IFC2x3\Entwicklung\ExpressToVBA\IfcTimeSeriesResource</v>
      </c>
    </row>
    <row r="166" spans="2:9" ht="20.100000000000001" customHeight="1" x14ac:dyDescent="0.25">
      <c r="B166" s="7" t="e">
        <f>IF(Enum[[#This Row],[Link]]="","",HYPERLINK(HTML_Doku&amp;Enum[[#This Row],[Link]],"Doku"))</f>
        <v>#NAME?</v>
      </c>
      <c r="C166" s="7" t="s">
        <v>1525</v>
      </c>
      <c r="D166" s="6">
        <v>44</v>
      </c>
      <c r="E166" s="20" t="str">
        <f>IFERROR(VLOOKUP(Enum[ID-Modul],Modul[],2,FALSE),"unbekannt")</f>
        <v>ifcutilityresource</v>
      </c>
      <c r="F166" s="30" t="s">
        <v>2634</v>
      </c>
      <c r="G166" s="1" t="s">
        <v>4747</v>
      </c>
      <c r="H166" s="46" t="s">
        <v>4891</v>
      </c>
      <c r="I166" s="1" t="str">
        <f>VLOOKUP(Enum[[#This Row],[ID-Modul]],Modul[],17,FALSE)</f>
        <v>H:\Progs\BIM\IFC2x3\Entwicklung\ExpressToVBA\IfcUtilityResource</v>
      </c>
    </row>
    <row r="167" spans="2:9" ht="20.100000000000001" customHeight="1" x14ac:dyDescent="0.25">
      <c r="B167" s="7" t="e">
        <f>IF(Enum[[#This Row],[Link]]="","",HYPERLINK(HTML_Doku&amp;Enum[[#This Row],[Link]],"Doku"))</f>
        <v>#NAME?</v>
      </c>
      <c r="C167" s="7" t="s">
        <v>1638</v>
      </c>
      <c r="D167" s="6">
        <v>44</v>
      </c>
      <c r="E167" s="20" t="str">
        <f>IFERROR(VLOOKUP(Enum[ID-Modul],Modul[],2,FALSE),"unbekannt")</f>
        <v>ifcutilityresource</v>
      </c>
      <c r="F167" s="30" t="s">
        <v>2747</v>
      </c>
      <c r="G167" s="1" t="s">
        <v>4746</v>
      </c>
      <c r="H167" s="46" t="s">
        <v>5004</v>
      </c>
      <c r="I167" s="1" t="str">
        <f>VLOOKUP(Enum[[#This Row],[ID-Modul]],Modul[],17,FALSE)</f>
        <v>H:\Progs\BIM\IFC2x3\Entwicklung\ExpressToVBA\IfcUtilityResource</v>
      </c>
    </row>
  </sheetData>
  <pageMargins left="0.7" right="0.7" top="0.78740157499999996" bottom="0.78740157499999996" header="0.3" footer="0.3"/>
  <pageSetup paperSize="9"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Functions"/>
  <dimension ref="B2:F41"/>
  <sheetViews>
    <sheetView zoomScale="90" zoomScaleNormal="90" workbookViewId="0">
      <selection activeCell="I31" sqref="I31"/>
    </sheetView>
  </sheetViews>
  <sheetFormatPr baseColWidth="10" defaultRowHeight="20.100000000000001" customHeight="1" x14ac:dyDescent="0.25"/>
  <cols>
    <col min="1" max="1" width="9.5703125" style="1" customWidth="1"/>
    <col min="2" max="2" width="10.5703125" style="2" bestFit="1" customWidth="1"/>
    <col min="3" max="3" width="43" style="1" bestFit="1" customWidth="1"/>
    <col min="4" max="4" width="13.85546875" style="1" bestFit="1" customWidth="1"/>
    <col min="5" max="5" width="24.28515625" style="4" customWidth="1"/>
    <col min="6" max="16384" width="11.42578125" style="1"/>
  </cols>
  <sheetData>
    <row r="2" spans="2:6" ht="20.100000000000001" customHeight="1" x14ac:dyDescent="0.25">
      <c r="B2" s="3">
        <v>1</v>
      </c>
      <c r="C2" s="3">
        <v>2</v>
      </c>
      <c r="D2" s="3">
        <v>3</v>
      </c>
      <c r="E2" s="5">
        <v>4</v>
      </c>
    </row>
    <row r="3" spans="2:6" s="3" customFormat="1" ht="20.100000000000001" customHeight="1" x14ac:dyDescent="0.25">
      <c r="B3" s="3" t="s">
        <v>1750</v>
      </c>
      <c r="C3" s="3" t="s">
        <v>1</v>
      </c>
      <c r="D3" s="3" t="s">
        <v>2</v>
      </c>
      <c r="E3" s="5" t="s">
        <v>3</v>
      </c>
      <c r="F3" s="3" t="s">
        <v>1280</v>
      </c>
    </row>
    <row r="4" spans="2:6" ht="20.100000000000001" customHeight="1" x14ac:dyDescent="0.25">
      <c r="B4" s="7" t="e">
        <f xml:space="preserve"> IF(Function[[#This Row],[Link]]="","",HYPERLINK(HTML_Doku&amp;Function[[#This Row],[Link]],"Doku"))</f>
        <v>#NAME?</v>
      </c>
      <c r="C4" s="7" t="s">
        <v>1684</v>
      </c>
      <c r="D4" s="6">
        <v>9</v>
      </c>
      <c r="E4" s="20" t="str">
        <f>IFERROR(VLOOKUP(Function[ID-Modul],Modul[],2,FALSE),"unbekannt")</f>
        <v>ifcdatetimeresource</v>
      </c>
      <c r="F4" s="30" t="s">
        <v>2793</v>
      </c>
    </row>
    <row r="5" spans="2:6" ht="20.100000000000001" customHeight="1" x14ac:dyDescent="0.25">
      <c r="B5" s="7" t="e">
        <f xml:space="preserve"> IF(Function[[#This Row],[Link]]="","",HYPERLINK(HTML_Doku&amp;Function[[#This Row],[Link]],"Doku"))</f>
        <v>#NAME?</v>
      </c>
      <c r="C5" s="7" t="s">
        <v>1701</v>
      </c>
      <c r="D5" s="6">
        <v>9</v>
      </c>
      <c r="E5" s="20" t="str">
        <f>IFERROR(VLOOKUP(Function[ID-Modul],Modul[],2,FALSE),"unbekannt")</f>
        <v>ifcdatetimeresource</v>
      </c>
      <c r="F5" s="30" t="s">
        <v>2810</v>
      </c>
    </row>
    <row r="6" spans="2:6" ht="20.100000000000001" customHeight="1" x14ac:dyDescent="0.25">
      <c r="B6" s="7" t="e">
        <f xml:space="preserve"> IF(Function[[#This Row],[Link]]="","",HYPERLINK(HTML_Doku&amp;Function[[#This Row],[Link]],"Doku"))</f>
        <v>#NAME?</v>
      </c>
      <c r="C6" s="7" t="s">
        <v>1670</v>
      </c>
      <c r="D6" s="6">
        <v>15</v>
      </c>
      <c r="E6" s="20" t="str">
        <f>IFERROR(VLOOKUP(Function[ID-Modul],Modul[],2,FALSE),"unbekannt")</f>
        <v>ifcgeometryresource</v>
      </c>
      <c r="F6" s="30" t="s">
        <v>2779</v>
      </c>
    </row>
    <row r="7" spans="2:6" ht="20.100000000000001" customHeight="1" x14ac:dyDescent="0.25">
      <c r="B7" s="7" t="e">
        <f xml:space="preserve"> IF(Function[[#This Row],[Link]]="","",HYPERLINK(HTML_Doku&amp;Function[[#This Row],[Link]],"Doku"))</f>
        <v>#NAME?</v>
      </c>
      <c r="C7" s="7" t="s">
        <v>1677</v>
      </c>
      <c r="D7" s="6">
        <v>15</v>
      </c>
      <c r="E7" s="20" t="str">
        <f>IFERROR(VLOOKUP(Function[ID-Modul],Modul[],2,FALSE),"unbekannt")</f>
        <v>ifcgeometryresource</v>
      </c>
      <c r="F7" s="30" t="s">
        <v>2786</v>
      </c>
    </row>
    <row r="8" spans="2:6" ht="20.100000000000001" customHeight="1" x14ac:dyDescent="0.25">
      <c r="B8" s="7" t="e">
        <f xml:space="preserve"> IF(Function[[#This Row],[Link]]="","",HYPERLINK(HTML_Doku&amp;Function[[#This Row],[Link]],"Doku"))</f>
        <v>#NAME?</v>
      </c>
      <c r="C8" s="7" t="s">
        <v>1679</v>
      </c>
      <c r="D8" s="6">
        <v>15</v>
      </c>
      <c r="E8" s="20" t="str">
        <f>IFERROR(VLOOKUP(Function[ID-Modul],Modul[],2,FALSE),"unbekannt")</f>
        <v>ifcgeometryresource</v>
      </c>
      <c r="F8" s="30" t="s">
        <v>2788</v>
      </c>
    </row>
    <row r="9" spans="2:6" ht="20.100000000000001" customHeight="1" x14ac:dyDescent="0.25">
      <c r="B9" s="7" t="e">
        <f xml:space="preserve"> IF(Function[[#This Row],[Link]]="","",HYPERLINK(HTML_Doku&amp;Function[[#This Row],[Link]],"Doku"))</f>
        <v>#NAME?</v>
      </c>
      <c r="C9" s="7" t="s">
        <v>1683</v>
      </c>
      <c r="D9" s="6">
        <v>15</v>
      </c>
      <c r="E9" s="20" t="str">
        <f>IFERROR(VLOOKUP(Function[ID-Modul],Modul[],2,FALSE),"unbekannt")</f>
        <v>ifcgeometryresource</v>
      </c>
      <c r="F9" s="30" t="s">
        <v>2792</v>
      </c>
    </row>
    <row r="10" spans="2:6" ht="20.100000000000001" customHeight="1" x14ac:dyDescent="0.25">
      <c r="B10" s="7" t="e">
        <f xml:space="preserve"> IF(Function[[#This Row],[Link]]="","",HYPERLINK(HTML_Doku&amp;Function[[#This Row],[Link]],"Doku"))</f>
        <v>#NAME?</v>
      </c>
      <c r="C10" s="7" t="s">
        <v>1688</v>
      </c>
      <c r="D10" s="6">
        <v>15</v>
      </c>
      <c r="E10" s="20" t="str">
        <f>IFERROR(VLOOKUP(Function[ID-Modul],Modul[],2,FALSE),"unbekannt")</f>
        <v>ifcgeometryresource</v>
      </c>
      <c r="F10" s="30" t="s">
        <v>2797</v>
      </c>
    </row>
    <row r="11" spans="2:6" ht="20.100000000000001" customHeight="1" x14ac:dyDescent="0.25">
      <c r="B11" s="7" t="e">
        <f xml:space="preserve"> IF(Function[[#This Row],[Link]]="","",HYPERLINK(HTML_Doku&amp;Function[[#This Row],[Link]],"Doku"))</f>
        <v>#NAME?</v>
      </c>
      <c r="C11" s="7" t="s">
        <v>1691</v>
      </c>
      <c r="D11" s="6">
        <v>15</v>
      </c>
      <c r="E11" s="20" t="str">
        <f>IFERROR(VLOOKUP(Function[ID-Modul],Modul[],2,FALSE),"unbekannt")</f>
        <v>ifcgeometryresource</v>
      </c>
      <c r="F11" s="30" t="s">
        <v>2800</v>
      </c>
    </row>
    <row r="12" spans="2:6" ht="20.100000000000001" customHeight="1" x14ac:dyDescent="0.25">
      <c r="B12" s="7" t="e">
        <f xml:space="preserve"> IF(Function[[#This Row],[Link]]="","",HYPERLINK(HTML_Doku&amp;Function[[#This Row],[Link]],"Doku"))</f>
        <v>#NAME?</v>
      </c>
      <c r="C12" s="7" t="s">
        <v>1693</v>
      </c>
      <c r="D12" s="6">
        <v>15</v>
      </c>
      <c r="E12" s="20" t="str">
        <f>IFERROR(VLOOKUP(Function[ID-Modul],Modul[],2,FALSE),"unbekannt")</f>
        <v>ifcgeometryresource</v>
      </c>
      <c r="F12" s="30" t="s">
        <v>2802</v>
      </c>
    </row>
    <row r="13" spans="2:6" ht="20.100000000000001" customHeight="1" x14ac:dyDescent="0.25">
      <c r="B13" s="7" t="e">
        <f xml:space="preserve"> IF(Function[[#This Row],[Link]]="","",HYPERLINK(HTML_Doku&amp;Function[[#This Row],[Link]],"Doku"))</f>
        <v>#NAME?</v>
      </c>
      <c r="C13" s="7" t="s">
        <v>1696</v>
      </c>
      <c r="D13" s="6">
        <v>15</v>
      </c>
      <c r="E13" s="20" t="str">
        <f>IFERROR(VLOOKUP(Function[ID-Modul],Modul[],2,FALSE),"unbekannt")</f>
        <v>ifcgeometryresource</v>
      </c>
      <c r="F13" s="30" t="s">
        <v>2805</v>
      </c>
    </row>
    <row r="14" spans="2:6" ht="20.100000000000001" customHeight="1" x14ac:dyDescent="0.25">
      <c r="B14" s="7" t="e">
        <f xml:space="preserve"> IF(Function[[#This Row],[Link]]="","",HYPERLINK(HTML_Doku&amp;Function[[#This Row],[Link]],"Doku"))</f>
        <v>#NAME?</v>
      </c>
      <c r="C14" s="7" t="s">
        <v>1703</v>
      </c>
      <c r="D14" s="6">
        <v>15</v>
      </c>
      <c r="E14" s="20" t="str">
        <f>IFERROR(VLOOKUP(Function[ID-Modul],Modul[],2,FALSE),"unbekannt")</f>
        <v>ifcgeometryresource</v>
      </c>
      <c r="F14" s="30" t="s">
        <v>2812</v>
      </c>
    </row>
    <row r="15" spans="2:6" ht="20.100000000000001" customHeight="1" x14ac:dyDescent="0.25">
      <c r="B15" s="7" t="e">
        <f xml:space="preserve"> IF(Function[[#This Row],[Link]]="","",HYPERLINK(HTML_Doku&amp;Function[[#This Row],[Link]],"Doku"))</f>
        <v>#NAME?</v>
      </c>
      <c r="C15" s="7" t="s">
        <v>1676</v>
      </c>
      <c r="D15" s="6">
        <v>20</v>
      </c>
      <c r="E15" s="20" t="str">
        <f>IFERROR(VLOOKUP(Function[ID-Modul],Modul[],2,FALSE),"unbekannt")</f>
        <v>ifcmeasureresource</v>
      </c>
      <c r="F15" s="30" t="s">
        <v>2785</v>
      </c>
    </row>
    <row r="16" spans="2:6" ht="20.100000000000001" customHeight="1" x14ac:dyDescent="0.25">
      <c r="B16" s="7" t="e">
        <f xml:space="preserve"> IF(Function[[#This Row],[Link]]="","",HYPERLINK(HTML_Doku&amp;Function[[#This Row],[Link]],"Doku"))</f>
        <v>#NAME?</v>
      </c>
      <c r="C16" s="7" t="s">
        <v>1681</v>
      </c>
      <c r="D16" s="6">
        <v>20</v>
      </c>
      <c r="E16" s="20" t="str">
        <f>IFERROR(VLOOKUP(Function[ID-Modul],Modul[],2,FALSE),"unbekannt")</f>
        <v>ifcmeasureresource</v>
      </c>
      <c r="F16" s="30" t="s">
        <v>2790</v>
      </c>
    </row>
    <row r="17" spans="2:6" ht="20.100000000000001" customHeight="1" x14ac:dyDescent="0.25">
      <c r="B17" s="7" t="e">
        <f xml:space="preserve"> IF(Function[[#This Row],[Link]]="","",HYPERLINK(HTML_Doku&amp;Function[[#This Row],[Link]],"Doku"))</f>
        <v>#NAME?</v>
      </c>
      <c r="C17" s="7" t="s">
        <v>1698</v>
      </c>
      <c r="D17" s="6">
        <v>33</v>
      </c>
      <c r="E17" s="20" t="str">
        <f>IFERROR(VLOOKUP(Function[ID-Modul],Modul[],2,FALSE),"unbekannt")</f>
        <v>ifcrepresentationresource</v>
      </c>
      <c r="F17" s="30" t="s">
        <v>2807</v>
      </c>
    </row>
    <row r="18" spans="2:6" ht="20.100000000000001" customHeight="1" x14ac:dyDescent="0.25">
      <c r="B18" s="7" t="e">
        <f xml:space="preserve"> IF(Function[[#This Row],[Link]]="","",HYPERLINK(HTML_Doku&amp;Function[[#This Row],[Link]],"Doku"))</f>
        <v>#NAME?</v>
      </c>
      <c r="C18" s="7" t="s">
        <v>1686</v>
      </c>
      <c r="D18" s="6">
        <v>43</v>
      </c>
      <c r="E18" s="20" t="str">
        <f>IFERROR(VLOOKUP(Function[ID-Modul],Modul[],2,FALSE),"unbekannt")</f>
        <v>ifctopologyresource</v>
      </c>
      <c r="F18" s="30" t="s">
        <v>2795</v>
      </c>
    </row>
    <row r="19" spans="2:6" ht="20.100000000000001" customHeight="1" x14ac:dyDescent="0.25">
      <c r="B19" s="1" t="e">
        <f xml:space="preserve"> IF(Function[[#This Row],[Link]]="","",HYPERLINK(HTML_Doku&amp;Function[[#This Row],[Link]],"Doku"))</f>
        <v>#NAME?</v>
      </c>
      <c r="C19" s="1" t="s">
        <v>1667</v>
      </c>
      <c r="D19" s="2">
        <v>39</v>
      </c>
      <c r="E19" s="4" t="str">
        <f>IFERROR(VLOOKUP(Function[ID-Modul],Modul[],2,FALSE),"unbekannt")</f>
        <v>ifcstructuralanalysisdomain</v>
      </c>
      <c r="F19" s="30" t="s">
        <v>2776</v>
      </c>
    </row>
    <row r="20" spans="2:6" ht="20.100000000000001" customHeight="1" x14ac:dyDescent="0.25">
      <c r="B20" s="7" t="e">
        <f xml:space="preserve"> IF(Function[[#This Row],[Link]]="","",HYPERLINK(HTML_Doku&amp;Function[[#This Row],[Link]],"Doku"))</f>
        <v>#NAME?</v>
      </c>
      <c r="C20" s="7" t="s">
        <v>1668</v>
      </c>
      <c r="D20" s="6">
        <v>15</v>
      </c>
      <c r="E20" s="20" t="str">
        <f>IFERROR(VLOOKUP(Function[ID-Modul],Modul[],2,FALSE),"unbekannt")</f>
        <v>ifcgeometryresource</v>
      </c>
      <c r="F20" s="30" t="s">
        <v>2777</v>
      </c>
    </row>
    <row r="21" spans="2:6" ht="20.100000000000001" customHeight="1" x14ac:dyDescent="0.25">
      <c r="B21" s="7" t="e">
        <f xml:space="preserve"> IF(Function[[#This Row],[Link]]="","",HYPERLINK(HTML_Doku&amp;Function[[#This Row],[Link]],"Doku"))</f>
        <v>#NAME?</v>
      </c>
      <c r="C21" s="7" t="s">
        <v>1669</v>
      </c>
      <c r="D21" s="6">
        <v>43</v>
      </c>
      <c r="E21" s="20" t="str">
        <f>IFERROR(VLOOKUP(Function[ID-Modul],Modul[],2,FALSE),"unbekannt")</f>
        <v>ifctopologyresource</v>
      </c>
      <c r="F21" s="30" t="s">
        <v>2778</v>
      </c>
    </row>
    <row r="22" spans="2:6" ht="20.100000000000001" customHeight="1" x14ac:dyDescent="0.25">
      <c r="B22" s="7" t="e">
        <f xml:space="preserve"> IF(Function[[#This Row],[Link]]="","",HYPERLINK(HTML_Doku&amp;Function[[#This Row],[Link]],"Doku"))</f>
        <v>#NAME?</v>
      </c>
      <c r="C22" s="7" t="s">
        <v>1671</v>
      </c>
      <c r="D22" s="6">
        <v>15</v>
      </c>
      <c r="E22" s="20" t="str">
        <f>IFERROR(VLOOKUP(Function[ID-Modul],Modul[],2,FALSE),"unbekannt")</f>
        <v>ifcgeometryresource</v>
      </c>
      <c r="F22" s="30" t="s">
        <v>2780</v>
      </c>
    </row>
    <row r="23" spans="2:6" ht="20.100000000000001" customHeight="1" x14ac:dyDescent="0.25">
      <c r="B23" s="7" t="e">
        <f xml:space="preserve"> IF(Function[[#This Row],[Link]]="","",HYPERLINK(HTML_Doku&amp;Function[[#This Row],[Link]],"Doku"))</f>
        <v>#NAME?</v>
      </c>
      <c r="C23" s="7" t="s">
        <v>1672</v>
      </c>
      <c r="D23" s="6">
        <v>20</v>
      </c>
      <c r="E23" s="20" t="str">
        <f>IFERROR(VLOOKUP(Function[ID-Modul],Modul[],2,FALSE),"unbekannt")</f>
        <v>ifcmeasureresource</v>
      </c>
      <c r="F23" s="30" t="s">
        <v>2781</v>
      </c>
    </row>
    <row r="24" spans="2:6" ht="20.100000000000001" customHeight="1" x14ac:dyDescent="0.25">
      <c r="B24" s="7" t="e">
        <f xml:space="preserve"> IF(Function[[#This Row],[Link]]="","",HYPERLINK(HTML_Doku&amp;Function[[#This Row],[Link]],"Doku"))</f>
        <v>#NAME?</v>
      </c>
      <c r="C24" s="7" t="s">
        <v>1673</v>
      </c>
      <c r="D24" s="6">
        <v>22</v>
      </c>
      <c r="E24" s="20" t="str">
        <f>IFERROR(VLOOKUP(Function[ID-Modul],Modul[],2,FALSE),"unbekannt")</f>
        <v>ifcpresentationappearanceresource</v>
      </c>
      <c r="F24" s="30" t="s">
        <v>2782</v>
      </c>
    </row>
    <row r="25" spans="2:6" ht="20.100000000000001" customHeight="1" x14ac:dyDescent="0.25">
      <c r="B25" s="7" t="e">
        <f xml:space="preserve"> IF(Function[[#This Row],[Link]]="","",HYPERLINK(HTML_Doku&amp;Function[[#This Row],[Link]],"Doku"))</f>
        <v>#NAME?</v>
      </c>
      <c r="C25" s="7" t="s">
        <v>1674</v>
      </c>
      <c r="D25" s="6">
        <v>13</v>
      </c>
      <c r="E25" s="20" t="str">
        <f>IFERROR(VLOOKUP(Function[ID-Modul],Modul[],2,FALSE),"unbekannt")</f>
        <v>ifcgeometricconstraintresource</v>
      </c>
      <c r="F25" s="30" t="s">
        <v>2783</v>
      </c>
    </row>
    <row r="26" spans="2:6" ht="20.100000000000001" customHeight="1" x14ac:dyDescent="0.25">
      <c r="B26" s="7" t="e">
        <f xml:space="preserve"> IF(Function[[#This Row],[Link]]="","",HYPERLINK(HTML_Doku&amp;Function[[#This Row],[Link]],"Doku"))</f>
        <v>#NAME?</v>
      </c>
      <c r="C26" s="7" t="s">
        <v>1675</v>
      </c>
      <c r="D26" s="6">
        <v>17</v>
      </c>
      <c r="E26" s="20" t="str">
        <f>IFERROR(VLOOKUP(Function[ID-Modul],Modul[],2,FALSE),"unbekannt")</f>
        <v>ifckernel</v>
      </c>
      <c r="F26" s="30" t="s">
        <v>2784</v>
      </c>
    </row>
    <row r="27" spans="2:6" ht="20.100000000000001" customHeight="1" x14ac:dyDescent="0.25">
      <c r="B27" s="7" t="e">
        <f xml:space="preserve"> IF(Function[[#This Row],[Link]]="","",HYPERLINK(HTML_Doku&amp;Function[[#This Row],[Link]],"Doku"))</f>
        <v>#NAME?</v>
      </c>
      <c r="C27" s="7" t="s">
        <v>1678</v>
      </c>
      <c r="D27" s="6">
        <v>15</v>
      </c>
      <c r="E27" s="20" t="str">
        <f>IFERROR(VLOOKUP(Function[ID-Modul],Modul[],2,FALSE),"unbekannt")</f>
        <v>ifcgeometryresource</v>
      </c>
      <c r="F27" s="30" t="s">
        <v>2787</v>
      </c>
    </row>
    <row r="28" spans="2:6" ht="20.100000000000001" customHeight="1" x14ac:dyDescent="0.25">
      <c r="B28" s="7" t="e">
        <f xml:space="preserve"> IF(Function[[#This Row],[Link]]="","",HYPERLINK(HTML_Doku&amp;Function[[#This Row],[Link]],"Doku"))</f>
        <v>#NAME?</v>
      </c>
      <c r="C28" s="7" t="s">
        <v>1680</v>
      </c>
      <c r="D28" s="6">
        <v>20</v>
      </c>
      <c r="E28" s="20" t="str">
        <f>IFERROR(VLOOKUP(Function[ID-Modul],Modul[],2,FALSE),"unbekannt")</f>
        <v>ifcmeasureresource</v>
      </c>
      <c r="F28" s="30" t="s">
        <v>2789</v>
      </c>
    </row>
    <row r="29" spans="2:6" ht="20.100000000000001" customHeight="1" x14ac:dyDescent="0.25">
      <c r="B29" s="7" t="e">
        <f xml:space="preserve"> IF(Function[[#This Row],[Link]]="","",HYPERLINK(HTML_Doku&amp;Function[[#This Row],[Link]],"Doku"))</f>
        <v>#NAME?</v>
      </c>
      <c r="C29" s="7" t="s">
        <v>1682</v>
      </c>
      <c r="D29" s="6">
        <v>15</v>
      </c>
      <c r="E29" s="20" t="str">
        <f>IFERROR(VLOOKUP(Function[ID-Modul],Modul[],2,FALSE),"unbekannt")</f>
        <v>ifcgeometryresource</v>
      </c>
      <c r="F29" s="30" t="s">
        <v>2791</v>
      </c>
    </row>
    <row r="30" spans="2:6" ht="20.100000000000001" customHeight="1" x14ac:dyDescent="0.25">
      <c r="B30" s="7" t="e">
        <f xml:space="preserve"> IF(Function[[#This Row],[Link]]="","",HYPERLINK(HTML_Doku&amp;Function[[#This Row],[Link]],"Doku"))</f>
        <v>#NAME?</v>
      </c>
      <c r="C30" s="7" t="s">
        <v>1685</v>
      </c>
      <c r="D30" s="6">
        <v>15</v>
      </c>
      <c r="E30" s="20" t="str">
        <f>IFERROR(VLOOKUP(Function[ID-Modul],Modul[],2,FALSE),"unbekannt")</f>
        <v>ifcgeometryresource</v>
      </c>
      <c r="F30" s="30" t="s">
        <v>2794</v>
      </c>
    </row>
    <row r="31" spans="2:6" ht="20.100000000000001" customHeight="1" x14ac:dyDescent="0.25">
      <c r="B31" s="7" t="e">
        <f xml:space="preserve"> IF(Function[[#This Row],[Link]]="","",HYPERLINK(HTML_Doku&amp;Function[[#This Row],[Link]],"Doku"))</f>
        <v>#NAME?</v>
      </c>
      <c r="C31" s="7" t="s">
        <v>1687</v>
      </c>
      <c r="D31" s="6">
        <v>19</v>
      </c>
      <c r="E31" s="20" t="str">
        <f>IFERROR(VLOOKUP(Function[ID-Modul],Modul[],2,FALSE),"unbekannt")</f>
        <v>ifcmaterialresource</v>
      </c>
      <c r="F31" s="30" t="s">
        <v>2796</v>
      </c>
    </row>
    <row r="32" spans="2:6" ht="20.100000000000001" customHeight="1" x14ac:dyDescent="0.25">
      <c r="B32" s="7" t="e">
        <f xml:space="preserve"> IF(Function[[#This Row],[Link]]="","",HYPERLINK(HTML_Doku&amp;Function[[#This Row],[Link]],"Doku"))</f>
        <v>#NAME?</v>
      </c>
      <c r="C32" s="7" t="s">
        <v>1689</v>
      </c>
      <c r="D32" s="6">
        <v>15</v>
      </c>
      <c r="E32" s="20" t="str">
        <f>IFERROR(VLOOKUP(Function[ID-Modul],Modul[],2,FALSE),"unbekannt")</f>
        <v>ifcgeometryresource</v>
      </c>
      <c r="F32" s="30" t="s">
        <v>2798</v>
      </c>
    </row>
    <row r="33" spans="2:6" ht="20.100000000000001" customHeight="1" x14ac:dyDescent="0.25">
      <c r="B33" s="7" t="e">
        <f xml:space="preserve"> IF(Function[[#This Row],[Link]]="","",HYPERLINK(HTML_Doku&amp;Function[[#This Row],[Link]],"Doku"))</f>
        <v>#NAME?</v>
      </c>
      <c r="C33" s="7" t="s">
        <v>1690</v>
      </c>
      <c r="D33" s="6">
        <v>43</v>
      </c>
      <c r="E33" s="20" t="str">
        <f>IFERROR(VLOOKUP(Function[ID-Modul],Modul[],2,FALSE),"unbekannt")</f>
        <v>ifctopologyresource</v>
      </c>
      <c r="F33" s="30" t="s">
        <v>2799</v>
      </c>
    </row>
    <row r="34" spans="2:6" ht="20.100000000000001" customHeight="1" x14ac:dyDescent="0.25">
      <c r="B34" s="7" t="e">
        <f xml:space="preserve"> IF(Function[[#This Row],[Link]]="","",HYPERLINK(HTML_Doku&amp;Function[[#This Row],[Link]],"Doku"))</f>
        <v>#NAME?</v>
      </c>
      <c r="C34" s="7" t="s">
        <v>1692</v>
      </c>
      <c r="D34" s="6">
        <v>15</v>
      </c>
      <c r="E34" s="20" t="str">
        <f>IFERROR(VLOOKUP(Function[ID-Modul],Modul[],2,FALSE),"unbekannt")</f>
        <v>ifcgeometryresource</v>
      </c>
      <c r="F34" s="30" t="s">
        <v>2801</v>
      </c>
    </row>
    <row r="35" spans="2:6" ht="20.100000000000001" customHeight="1" x14ac:dyDescent="0.25">
      <c r="B35" s="7" t="e">
        <f xml:space="preserve"> IF(Function[[#This Row],[Link]]="","",HYPERLINK(HTML_Doku&amp;Function[[#This Row],[Link]],"Doku"))</f>
        <v>#NAME?</v>
      </c>
      <c r="C35" s="7" t="s">
        <v>1694</v>
      </c>
      <c r="D35" s="6">
        <v>33</v>
      </c>
      <c r="E35" s="20" t="str">
        <f>IFERROR(VLOOKUP(Function[ID-Modul],Modul[],2,FALSE),"unbekannt")</f>
        <v>ifcrepresentationresource</v>
      </c>
      <c r="F35" s="30" t="s">
        <v>2803</v>
      </c>
    </row>
    <row r="36" spans="2:6" ht="20.100000000000001" customHeight="1" x14ac:dyDescent="0.25">
      <c r="B36" s="7" t="e">
        <f xml:space="preserve"> IF(Function[[#This Row],[Link]]="","",HYPERLINK(HTML_Doku&amp;Function[[#This Row],[Link]],"Doku"))</f>
        <v>#NAME?</v>
      </c>
      <c r="C36" s="7" t="s">
        <v>1695</v>
      </c>
      <c r="D36" s="6">
        <v>15</v>
      </c>
      <c r="E36" s="20" t="str">
        <f>IFERROR(VLOOKUP(Function[ID-Modul],Modul[],2,FALSE),"unbekannt")</f>
        <v>ifcgeometryresource</v>
      </c>
      <c r="F36" s="30" t="s">
        <v>2804</v>
      </c>
    </row>
    <row r="37" spans="2:6" ht="20.100000000000001" customHeight="1" x14ac:dyDescent="0.25">
      <c r="B37" s="7" t="e">
        <f xml:space="preserve"> IF(Function[[#This Row],[Link]]="","",HYPERLINK(HTML_Doku&amp;Function[[#This Row],[Link]],"Doku"))</f>
        <v>#NAME?</v>
      </c>
      <c r="C37" s="7" t="s">
        <v>1697</v>
      </c>
      <c r="D37" s="6">
        <v>15</v>
      </c>
      <c r="E37" s="20" t="str">
        <f>IFERROR(VLOOKUP(Function[ID-Modul],Modul[],2,FALSE),"unbekannt")</f>
        <v>ifcgeometryresource</v>
      </c>
      <c r="F37" s="30" t="s">
        <v>2806</v>
      </c>
    </row>
    <row r="38" spans="2:6" ht="20.100000000000001" customHeight="1" x14ac:dyDescent="0.25">
      <c r="B38" s="7" t="e">
        <f xml:space="preserve"> IF(Function[[#This Row],[Link]]="","",HYPERLINK(HTML_Doku&amp;Function[[#This Row],[Link]],"Doku"))</f>
        <v>#NAME?</v>
      </c>
      <c r="C38" s="7" t="s">
        <v>1699</v>
      </c>
      <c r="D38" s="6">
        <v>33</v>
      </c>
      <c r="E38" s="20" t="str">
        <f>IFERROR(VLOOKUP(Function[ID-Modul],Modul[],2,FALSE),"unbekannt")</f>
        <v>ifcrepresentationresource</v>
      </c>
      <c r="F38" s="30" t="s">
        <v>2808</v>
      </c>
    </row>
    <row r="39" spans="2:6" ht="20.100000000000001" customHeight="1" x14ac:dyDescent="0.25">
      <c r="B39" s="7" t="e">
        <f xml:space="preserve"> IF(Function[[#This Row],[Link]]="","",HYPERLINK(HTML_Doku&amp;Function[[#This Row],[Link]],"Doku"))</f>
        <v>#NAME?</v>
      </c>
      <c r="C39" s="7" t="s">
        <v>1700</v>
      </c>
      <c r="D39" s="6">
        <v>31</v>
      </c>
      <c r="E39" s="20" t="str">
        <f>IFERROR(VLOOKUP(Function[ID-Modul],Modul[],2,FALSE),"unbekannt")</f>
        <v>ifcpropertyresource</v>
      </c>
      <c r="F39" s="30" t="s">
        <v>2809</v>
      </c>
    </row>
    <row r="40" spans="2:6" ht="20.100000000000001" customHeight="1" x14ac:dyDescent="0.25">
      <c r="B40" s="7" t="e">
        <f xml:space="preserve"> IF(Function[[#This Row],[Link]]="","",HYPERLINK(HTML_Doku&amp;Function[[#This Row],[Link]],"Doku"))</f>
        <v>#NAME?</v>
      </c>
      <c r="C40" s="7" t="s">
        <v>1702</v>
      </c>
      <c r="D40" s="6">
        <v>9</v>
      </c>
      <c r="E40" s="20" t="str">
        <f>IFERROR(VLOOKUP(Function[ID-Modul],Modul[],2,FALSE),"unbekannt")</f>
        <v>ifcdatetimeresource</v>
      </c>
      <c r="F40" s="30" t="s">
        <v>2811</v>
      </c>
    </row>
    <row r="41" spans="2:6" ht="20.100000000000001" customHeight="1" x14ac:dyDescent="0.25">
      <c r="B41" s="7" t="e">
        <f xml:space="preserve"> IF(Function[[#This Row],[Link]]="","",HYPERLINK(HTML_Doku&amp;Function[[#This Row],[Link]],"Doku"))</f>
        <v>#NAME?</v>
      </c>
      <c r="C41" s="7" t="s">
        <v>1704</v>
      </c>
      <c r="D41" s="6">
        <v>15</v>
      </c>
      <c r="E41" s="20" t="str">
        <f>IFERROR(VLOOKUP(Function[ID-Modul],Modul[],2,FALSE),"unbekannt")</f>
        <v>ifcgeometryresource</v>
      </c>
      <c r="F41" s="30" t="s">
        <v>2813</v>
      </c>
    </row>
  </sheetData>
  <pageMargins left="0.7" right="0.7" top="0.78740157499999996" bottom="0.78740157499999996"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Settings"/>
  <dimension ref="C2:E12"/>
  <sheetViews>
    <sheetView zoomScaleNormal="100" workbookViewId="0">
      <selection activeCell="G24" sqref="G24"/>
    </sheetView>
  </sheetViews>
  <sheetFormatPr baseColWidth="10" defaultRowHeight="15" x14ac:dyDescent="0.25"/>
  <cols>
    <col min="1" max="1" width="5.85546875" customWidth="1"/>
    <col min="2" max="2" width="10" customWidth="1"/>
    <col min="3" max="3" width="39.140625" style="9" customWidth="1"/>
    <col min="4" max="4" width="93.5703125" style="8" customWidth="1"/>
    <col min="5" max="5" width="6.5703125" customWidth="1"/>
  </cols>
  <sheetData>
    <row r="2" spans="3:5" ht="25.5" customHeight="1" x14ac:dyDescent="0.25">
      <c r="C2" s="9" t="s">
        <v>4</v>
      </c>
      <c r="D2" s="8" t="s">
        <v>5035</v>
      </c>
    </row>
    <row r="3" spans="3:5" ht="10.5" customHeight="1" x14ac:dyDescent="0.25"/>
    <row r="4" spans="3:5" ht="25.5" customHeight="1" x14ac:dyDescent="0.25">
      <c r="C4" s="9" t="s">
        <v>5036</v>
      </c>
      <c r="D4" s="8" t="s">
        <v>5038</v>
      </c>
      <c r="E4" t="b">
        <v>1</v>
      </c>
    </row>
    <row r="5" spans="3:5" ht="10.5" customHeight="1" x14ac:dyDescent="0.25"/>
    <row r="6" spans="3:5" ht="25.5" customHeight="1" x14ac:dyDescent="0.25">
      <c r="C6" s="9" t="s">
        <v>5037</v>
      </c>
      <c r="D6" s="8" t="s">
        <v>5039</v>
      </c>
    </row>
    <row r="9" spans="3:5" x14ac:dyDescent="0.25">
      <c r="C9" s="58" t="s">
        <v>5045</v>
      </c>
      <c r="D9" s="58" t="s">
        <v>5046</v>
      </c>
      <c r="E9">
        <v>4</v>
      </c>
    </row>
    <row r="10" spans="3:5" ht="7.5" customHeight="1" x14ac:dyDescent="0.25"/>
    <row r="11" spans="3:5" x14ac:dyDescent="0.25">
      <c r="C11" s="58"/>
      <c r="D11" s="58"/>
    </row>
    <row r="12" spans="3:5" x14ac:dyDescent="0.25">
      <c r="E12" s="57"/>
    </row>
  </sheetData>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9219" r:id="rId4" name="DebugInfoListBox">
          <controlPr defaultSize="0" autoLine="0" r:id="rId5">
            <anchor moveWithCells="1">
              <from>
                <xdr:col>2</xdr:col>
                <xdr:colOff>38100</xdr:colOff>
                <xdr:row>11</xdr:row>
                <xdr:rowOff>28575</xdr:rowOff>
              </from>
              <to>
                <xdr:col>5</xdr:col>
                <xdr:colOff>9525</xdr:colOff>
                <xdr:row>63</xdr:row>
                <xdr:rowOff>85725</xdr:rowOff>
              </to>
            </anchor>
          </controlPr>
        </control>
      </mc:Choice>
      <mc:Fallback>
        <control shapeId="9219" r:id="rId4" name="DebugInfoListBox"/>
      </mc:Fallback>
    </mc:AlternateContent>
    <mc:AlternateContent xmlns:mc="http://schemas.openxmlformats.org/markup-compatibility/2006">
      <mc:Choice Requires="x14">
        <control shapeId="9218" r:id="rId6" name="Check Box 2">
          <controlPr defaultSize="0" print="0" autoFill="0" autoLine="0" autoPict="0">
            <anchor moveWithCells="1">
              <from>
                <xdr:col>4</xdr:col>
                <xdr:colOff>0</xdr:colOff>
                <xdr:row>3</xdr:row>
                <xdr:rowOff>0</xdr:rowOff>
              </from>
              <to>
                <xdr:col>6</xdr:col>
                <xdr:colOff>685800</xdr:colOff>
                <xdr:row>3</xdr:row>
                <xdr:rowOff>314325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B3"/>
  <sheetViews>
    <sheetView workbookViewId="0">
      <selection activeCell="B16" sqref="B16"/>
    </sheetView>
  </sheetViews>
  <sheetFormatPr baseColWidth="10" defaultRowHeight="11.25" x14ac:dyDescent="0.2"/>
  <cols>
    <col min="1" max="1" width="11.42578125" style="33"/>
    <col min="2" max="2" width="69.42578125" style="33" customWidth="1"/>
    <col min="3" max="16384" width="11.42578125" style="33"/>
  </cols>
  <sheetData>
    <row r="3" spans="2:2" ht="67.5" x14ac:dyDescent="0.2">
      <c r="B3" s="32" t="s">
        <v>2858</v>
      </c>
    </row>
  </sheetData>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nuMember"/>
  <dimension ref="B1:I1313"/>
  <sheetViews>
    <sheetView topLeftCell="C1" workbookViewId="0">
      <selection activeCell="M17" sqref="M17"/>
    </sheetView>
  </sheetViews>
  <sheetFormatPr baseColWidth="10" defaultRowHeight="11.25" x14ac:dyDescent="0.25"/>
  <cols>
    <col min="1" max="1" width="11.42578125" style="35"/>
    <col min="2" max="2" width="8.28515625" style="35" bestFit="1" customWidth="1"/>
    <col min="3" max="3" width="30.5703125" style="35" bestFit="1" customWidth="1"/>
    <col min="4" max="4" width="43.140625" style="35" bestFit="1" customWidth="1"/>
    <col min="5" max="5" width="50.28515625" style="35" bestFit="1" customWidth="1"/>
    <col min="6" max="6" width="11.42578125" style="35"/>
    <col min="7" max="7" width="53.85546875" style="35" bestFit="1" customWidth="1"/>
    <col min="8" max="8" width="109.42578125" style="35" bestFit="1" customWidth="1"/>
    <col min="9" max="9" width="109.85546875" style="35" bestFit="1" customWidth="1"/>
    <col min="10" max="16384" width="11.42578125" style="35"/>
  </cols>
  <sheetData>
    <row r="1" spans="2:9" x14ac:dyDescent="0.25">
      <c r="B1" s="14">
        <v>1</v>
      </c>
      <c r="C1" s="14">
        <v>2</v>
      </c>
      <c r="D1" s="14">
        <v>3</v>
      </c>
      <c r="E1" s="14">
        <v>4</v>
      </c>
      <c r="F1" s="14">
        <v>5</v>
      </c>
      <c r="G1" s="14">
        <v>6</v>
      </c>
      <c r="H1" s="14">
        <v>7</v>
      </c>
      <c r="I1" s="14">
        <v>8</v>
      </c>
    </row>
    <row r="2" spans="2:9" x14ac:dyDescent="0.25">
      <c r="B2" s="43" t="s">
        <v>4863</v>
      </c>
      <c r="C2" s="35" t="s">
        <v>3684</v>
      </c>
      <c r="D2" s="35" t="s">
        <v>3686</v>
      </c>
      <c r="E2" s="35" t="s">
        <v>3685</v>
      </c>
      <c r="F2" s="35" t="s">
        <v>3688</v>
      </c>
      <c r="G2" s="43" t="s">
        <v>4864</v>
      </c>
      <c r="H2" s="43" t="s">
        <v>4865</v>
      </c>
      <c r="I2" s="35" t="s">
        <v>4866</v>
      </c>
    </row>
    <row r="3" spans="2:9" x14ac:dyDescent="0.25">
      <c r="B3" s="44">
        <v>1</v>
      </c>
      <c r="C3" s="45" t="s">
        <v>1503</v>
      </c>
      <c r="D3" s="44" t="s">
        <v>3690</v>
      </c>
      <c r="E3" s="44" t="str">
        <f>VLOOKUP(Tabelle7[[#This Row],[EnumName]],Enum[[IFC-Name]:[Präfix]],5,FALSE)&amp;Tabelle7[[#This Row],[EnuRohValue]]</f>
        <v>stcAST_DEAD_LOAD_G</v>
      </c>
      <c r="F3" s="44">
        <f>COUNTIF(Tabelle7[EnuValue],Tabelle7[[#This Row],[EnuValue]])</f>
        <v>1</v>
      </c>
      <c r="G3" s="44" t="str">
        <f xml:space="preserve"> "  " &amp; Tabelle7[[#This Row],[EnuValue]] &amp; " = " &amp; Tabelle7[[#This Row],[Wert]]</f>
        <v xml:space="preserve">  stcAST_DEAD_LOAD_G = 1</v>
      </c>
      <c r="H3" s="44" t="str">
        <f>"  If Wert = " &amp; Tabelle7[[#This Row],[EnuValue]] &amp; " then Res = ""." &amp; Tabelle7[[#This Row],[EnuRohValue]] &amp; "."""</f>
        <v xml:space="preserve">  If Wert = stcAST_DEAD_LOAD_G then Res = ".DEAD_LOAD_G."</v>
      </c>
      <c r="I3" s="44" t="str">
        <f>"  If wert = ""." &amp; Tabelle7[[#This Row],[EnuRohValue]] &amp; "."" Then Res = " &amp; Tabelle7[[#This Row],[EnuValue]]</f>
        <v xml:space="preserve">  If wert = ".DEAD_LOAD_G." Then Res = stcAST_DEAD_LOAD_G</v>
      </c>
    </row>
    <row r="4" spans="2:9" x14ac:dyDescent="0.25">
      <c r="B4" s="44">
        <v>2</v>
      </c>
      <c r="C4" s="45" t="s">
        <v>1503</v>
      </c>
      <c r="D4" s="44" t="s">
        <v>3691</v>
      </c>
      <c r="E4" s="44" t="str">
        <f>VLOOKUP(Tabelle7[[#This Row],[EnumName]],Enum[[IFC-Name]:[Präfix]],5,FALSE)&amp;Tabelle7[[#This Row],[EnuRohValue]]</f>
        <v>stcAST_COMPLETION_G1</v>
      </c>
      <c r="F4" s="44">
        <f>COUNTIF(Tabelle7[EnuValue],Tabelle7[[#This Row],[EnuValue]])</f>
        <v>1</v>
      </c>
      <c r="G4" s="44" t="str">
        <f xml:space="preserve"> "  " &amp; Tabelle7[[#This Row],[EnuValue]] &amp; " = " &amp; Tabelle7[[#This Row],[Wert]]</f>
        <v xml:space="preserve">  stcAST_COMPLETION_G1 = 2</v>
      </c>
      <c r="H4" s="44" t="str">
        <f>"  If Wert = " &amp; Tabelle7[[#This Row],[EnuValue]] &amp; " then Res = ""." &amp; Tabelle7[[#This Row],[EnuRohValue]] &amp; "."""</f>
        <v xml:space="preserve">  If Wert = stcAST_COMPLETION_G1 then Res = ".COMPLETION_G1."</v>
      </c>
      <c r="I4" s="44" t="str">
        <f>"  If wert = ""." &amp; Tabelle7[[#This Row],[EnuRohValue]] &amp; "."" Then Res = " &amp; Tabelle7[[#This Row],[EnuValue]]</f>
        <v xml:space="preserve">  If wert = ".COMPLETION_G1." Then Res = stcAST_COMPLETION_G1</v>
      </c>
    </row>
    <row r="5" spans="2:9" x14ac:dyDescent="0.25">
      <c r="B5" s="44">
        <v>3</v>
      </c>
      <c r="C5" s="45" t="s">
        <v>1503</v>
      </c>
      <c r="D5" s="44" t="s">
        <v>3692</v>
      </c>
      <c r="E5" s="44" t="str">
        <f>VLOOKUP(Tabelle7[[#This Row],[EnumName]],Enum[[IFC-Name]:[Präfix]],5,FALSE)&amp;Tabelle7[[#This Row],[EnuRohValue]]</f>
        <v>stcAST_LIVE_LOAD_Q</v>
      </c>
      <c r="F5" s="44">
        <f>COUNTIF(Tabelle7[EnuValue],Tabelle7[[#This Row],[EnuValue]])</f>
        <v>1</v>
      </c>
      <c r="G5" s="44" t="str">
        <f xml:space="preserve"> "  " &amp; Tabelle7[[#This Row],[EnuValue]] &amp; " = " &amp; Tabelle7[[#This Row],[Wert]]</f>
        <v xml:space="preserve">  stcAST_LIVE_LOAD_Q = 3</v>
      </c>
      <c r="H5" s="44" t="str">
        <f>"  If Wert = " &amp; Tabelle7[[#This Row],[EnuValue]] &amp; " then Res = ""." &amp; Tabelle7[[#This Row],[EnuRohValue]] &amp; "."""</f>
        <v xml:space="preserve">  If Wert = stcAST_LIVE_LOAD_Q then Res = ".LIVE_LOAD_Q."</v>
      </c>
      <c r="I5" s="44" t="str">
        <f>"  If wert = ""." &amp; Tabelle7[[#This Row],[EnuRohValue]] &amp; "."" Then Res = " &amp; Tabelle7[[#This Row],[EnuValue]]</f>
        <v xml:space="preserve">  If wert = ".LIVE_LOAD_Q." Then Res = stcAST_LIVE_LOAD_Q</v>
      </c>
    </row>
    <row r="6" spans="2:9" x14ac:dyDescent="0.25">
      <c r="B6" s="44">
        <v>4</v>
      </c>
      <c r="C6" s="45" t="s">
        <v>1503</v>
      </c>
      <c r="D6" s="44" t="s">
        <v>3693</v>
      </c>
      <c r="E6" s="44" t="str">
        <f>VLOOKUP(Tabelle7[[#This Row],[EnumName]],Enum[[IFC-Name]:[Präfix]],5,FALSE)&amp;Tabelle7[[#This Row],[EnuRohValue]]</f>
        <v>stcAST_SNOW_S</v>
      </c>
      <c r="F6" s="44">
        <f>COUNTIF(Tabelle7[EnuValue],Tabelle7[[#This Row],[EnuValue]])</f>
        <v>1</v>
      </c>
      <c r="G6" s="44" t="str">
        <f xml:space="preserve"> "  " &amp; Tabelle7[[#This Row],[EnuValue]] &amp; " = " &amp; Tabelle7[[#This Row],[Wert]]</f>
        <v xml:space="preserve">  stcAST_SNOW_S = 4</v>
      </c>
      <c r="H6" s="44" t="str">
        <f>"  If Wert = " &amp; Tabelle7[[#This Row],[EnuValue]] &amp; " then Res = ""." &amp; Tabelle7[[#This Row],[EnuRohValue]] &amp; "."""</f>
        <v xml:space="preserve">  If Wert = stcAST_SNOW_S then Res = ".SNOW_S."</v>
      </c>
      <c r="I6" s="44" t="str">
        <f>"  If wert = ""." &amp; Tabelle7[[#This Row],[EnuRohValue]] &amp; "."" Then Res = " &amp; Tabelle7[[#This Row],[EnuValue]]</f>
        <v xml:space="preserve">  If wert = ".SNOW_S." Then Res = stcAST_SNOW_S</v>
      </c>
    </row>
    <row r="7" spans="2:9" x14ac:dyDescent="0.25">
      <c r="B7" s="44">
        <v>5</v>
      </c>
      <c r="C7" s="45" t="s">
        <v>1503</v>
      </c>
      <c r="D7" s="44" t="s">
        <v>3694</v>
      </c>
      <c r="E7" s="44" t="str">
        <f>VLOOKUP(Tabelle7[[#This Row],[EnumName]],Enum[[IFC-Name]:[Präfix]],5,FALSE)&amp;Tabelle7[[#This Row],[EnuRohValue]]</f>
        <v>stcAST_WIND_W</v>
      </c>
      <c r="F7" s="44">
        <f>COUNTIF(Tabelle7[EnuValue],Tabelle7[[#This Row],[EnuValue]])</f>
        <v>1</v>
      </c>
      <c r="G7" s="44" t="str">
        <f xml:space="preserve"> "  " &amp; Tabelle7[[#This Row],[EnuValue]] &amp; " = " &amp; Tabelle7[[#This Row],[Wert]]</f>
        <v xml:space="preserve">  stcAST_WIND_W = 5</v>
      </c>
      <c r="H7" s="44" t="str">
        <f>"  If Wert = " &amp; Tabelle7[[#This Row],[EnuValue]] &amp; " then Res = ""." &amp; Tabelle7[[#This Row],[EnuRohValue]] &amp; "."""</f>
        <v xml:space="preserve">  If Wert = stcAST_WIND_W then Res = ".WIND_W."</v>
      </c>
      <c r="I7" s="44" t="str">
        <f>"  If wert = ""." &amp; Tabelle7[[#This Row],[EnuRohValue]] &amp; "."" Then Res = " &amp; Tabelle7[[#This Row],[EnuValue]]</f>
        <v xml:space="preserve">  If wert = ".WIND_W." Then Res = stcAST_WIND_W</v>
      </c>
    </row>
    <row r="8" spans="2:9" x14ac:dyDescent="0.25">
      <c r="B8" s="44">
        <v>6</v>
      </c>
      <c r="C8" s="45" t="s">
        <v>1503</v>
      </c>
      <c r="D8" s="44" t="s">
        <v>3695</v>
      </c>
      <c r="E8" s="44" t="str">
        <f>VLOOKUP(Tabelle7[[#This Row],[EnumName]],Enum[[IFC-Name]:[Präfix]],5,FALSE)&amp;Tabelle7[[#This Row],[EnuRohValue]]</f>
        <v>stcAST_PRESTRESSING_P</v>
      </c>
      <c r="F8" s="44">
        <f>COUNTIF(Tabelle7[EnuValue],Tabelle7[[#This Row],[EnuValue]])</f>
        <v>1</v>
      </c>
      <c r="G8" s="44" t="str">
        <f xml:space="preserve"> "  " &amp; Tabelle7[[#This Row],[EnuValue]] &amp; " = " &amp; Tabelle7[[#This Row],[Wert]]</f>
        <v xml:space="preserve">  stcAST_PRESTRESSING_P = 6</v>
      </c>
      <c r="H8" s="44" t="str">
        <f>"  If Wert = " &amp; Tabelle7[[#This Row],[EnuValue]] &amp; " then Res = ""." &amp; Tabelle7[[#This Row],[EnuRohValue]] &amp; "."""</f>
        <v xml:space="preserve">  If Wert = stcAST_PRESTRESSING_P then Res = ".PRESTRESSING_P."</v>
      </c>
      <c r="I8" s="44" t="str">
        <f>"  If wert = ""." &amp; Tabelle7[[#This Row],[EnuRohValue]] &amp; "."" Then Res = " &amp; Tabelle7[[#This Row],[EnuValue]]</f>
        <v xml:space="preserve">  If wert = ".PRESTRESSING_P." Then Res = stcAST_PRESTRESSING_P</v>
      </c>
    </row>
    <row r="9" spans="2:9" x14ac:dyDescent="0.25">
      <c r="B9" s="44">
        <v>7</v>
      </c>
      <c r="C9" s="45" t="s">
        <v>1503</v>
      </c>
      <c r="D9" s="44" t="s">
        <v>3696</v>
      </c>
      <c r="E9" s="44" t="str">
        <f>VLOOKUP(Tabelle7[[#This Row],[EnumName]],Enum[[IFC-Name]:[Präfix]],5,FALSE)&amp;Tabelle7[[#This Row],[EnuRohValue]]</f>
        <v>stcAST_SETTLEMENT_U</v>
      </c>
      <c r="F9" s="44">
        <f>COUNTIF(Tabelle7[EnuValue],Tabelle7[[#This Row],[EnuValue]])</f>
        <v>1</v>
      </c>
      <c r="G9" s="44" t="str">
        <f xml:space="preserve"> "  " &amp; Tabelle7[[#This Row],[EnuValue]] &amp; " = " &amp; Tabelle7[[#This Row],[Wert]]</f>
        <v xml:space="preserve">  stcAST_SETTLEMENT_U = 7</v>
      </c>
      <c r="H9" s="44" t="str">
        <f>"  If Wert = " &amp; Tabelle7[[#This Row],[EnuValue]] &amp; " then Res = ""." &amp; Tabelle7[[#This Row],[EnuRohValue]] &amp; "."""</f>
        <v xml:space="preserve">  If Wert = stcAST_SETTLEMENT_U then Res = ".SETTLEMENT_U."</v>
      </c>
      <c r="I9" s="44" t="str">
        <f>"  If wert = ""." &amp; Tabelle7[[#This Row],[EnuRohValue]] &amp; "."" Then Res = " &amp; Tabelle7[[#This Row],[EnuValue]]</f>
        <v xml:space="preserve">  If wert = ".SETTLEMENT_U." Then Res = stcAST_SETTLEMENT_U</v>
      </c>
    </row>
    <row r="10" spans="2:9" x14ac:dyDescent="0.25">
      <c r="B10" s="44">
        <v>8</v>
      </c>
      <c r="C10" s="45" t="s">
        <v>1503</v>
      </c>
      <c r="D10" s="44" t="s">
        <v>3697</v>
      </c>
      <c r="E10" s="44" t="str">
        <f>VLOOKUP(Tabelle7[[#This Row],[EnumName]],Enum[[IFC-Name]:[Präfix]],5,FALSE)&amp;Tabelle7[[#This Row],[EnuRohValue]]</f>
        <v>stcAST_TEMPERATURE_T</v>
      </c>
      <c r="F10" s="44">
        <f>COUNTIF(Tabelle7[EnuValue],Tabelle7[[#This Row],[EnuValue]])</f>
        <v>1</v>
      </c>
      <c r="G10" s="44" t="str">
        <f xml:space="preserve"> "  " &amp; Tabelle7[[#This Row],[EnuValue]] &amp; " = " &amp; Tabelle7[[#This Row],[Wert]]</f>
        <v xml:space="preserve">  stcAST_TEMPERATURE_T = 8</v>
      </c>
      <c r="H10" s="44" t="str">
        <f>"  If Wert = " &amp; Tabelle7[[#This Row],[EnuValue]] &amp; " then Res = ""." &amp; Tabelle7[[#This Row],[EnuRohValue]] &amp; "."""</f>
        <v xml:space="preserve">  If Wert = stcAST_TEMPERATURE_T then Res = ".TEMPERATURE_T."</v>
      </c>
      <c r="I10" s="44" t="str">
        <f>"  If wert = ""." &amp; Tabelle7[[#This Row],[EnuRohValue]] &amp; "."" Then Res = " &amp; Tabelle7[[#This Row],[EnuValue]]</f>
        <v xml:space="preserve">  If wert = ".TEMPERATURE_T." Then Res = stcAST_TEMPERATURE_T</v>
      </c>
    </row>
    <row r="11" spans="2:9" x14ac:dyDescent="0.25">
      <c r="B11" s="44">
        <v>9</v>
      </c>
      <c r="C11" s="45" t="s">
        <v>1503</v>
      </c>
      <c r="D11" s="44" t="s">
        <v>3698</v>
      </c>
      <c r="E11" s="44" t="str">
        <f>VLOOKUP(Tabelle7[[#This Row],[EnumName]],Enum[[IFC-Name]:[Präfix]],5,FALSE)&amp;Tabelle7[[#This Row],[EnuRohValue]]</f>
        <v>stcAST_EARTHQUAKE_E</v>
      </c>
      <c r="F11" s="44">
        <f>COUNTIF(Tabelle7[EnuValue],Tabelle7[[#This Row],[EnuValue]])</f>
        <v>1</v>
      </c>
      <c r="G11" s="44" t="str">
        <f xml:space="preserve"> "  " &amp; Tabelle7[[#This Row],[EnuValue]] &amp; " = " &amp; Tabelle7[[#This Row],[Wert]]</f>
        <v xml:space="preserve">  stcAST_EARTHQUAKE_E = 9</v>
      </c>
      <c r="H11" s="44" t="str">
        <f>"  If Wert = " &amp; Tabelle7[[#This Row],[EnuValue]] &amp; " then Res = ""." &amp; Tabelle7[[#This Row],[EnuRohValue]] &amp; "."""</f>
        <v xml:space="preserve">  If Wert = stcAST_EARTHQUAKE_E then Res = ".EARTHQUAKE_E."</v>
      </c>
      <c r="I11" s="44" t="str">
        <f>"  If wert = ""." &amp; Tabelle7[[#This Row],[EnuRohValue]] &amp; "."" Then Res = " &amp; Tabelle7[[#This Row],[EnuValue]]</f>
        <v xml:space="preserve">  If wert = ".EARTHQUAKE_E." Then Res = stcAST_EARTHQUAKE_E</v>
      </c>
    </row>
    <row r="12" spans="2:9" x14ac:dyDescent="0.25">
      <c r="B12" s="44">
        <v>10</v>
      </c>
      <c r="C12" s="45" t="s">
        <v>1503</v>
      </c>
      <c r="D12" s="44" t="s">
        <v>3699</v>
      </c>
      <c r="E12" s="44" t="str">
        <f>VLOOKUP(Tabelle7[[#This Row],[EnumName]],Enum[[IFC-Name]:[Präfix]],5,FALSE)&amp;Tabelle7[[#This Row],[EnuRohValue]]</f>
        <v>stcAST_FIRE</v>
      </c>
      <c r="F12" s="44">
        <f>COUNTIF(Tabelle7[EnuValue],Tabelle7[[#This Row],[EnuValue]])</f>
        <v>1</v>
      </c>
      <c r="G12" s="44" t="str">
        <f xml:space="preserve"> "  " &amp; Tabelle7[[#This Row],[EnuValue]] &amp; " = " &amp; Tabelle7[[#This Row],[Wert]]</f>
        <v xml:space="preserve">  stcAST_FIRE = 10</v>
      </c>
      <c r="H12" s="44" t="str">
        <f>"  If Wert = " &amp; Tabelle7[[#This Row],[EnuValue]] &amp; " then Res = ""." &amp; Tabelle7[[#This Row],[EnuRohValue]] &amp; "."""</f>
        <v xml:space="preserve">  If Wert = stcAST_FIRE then Res = ".FIRE."</v>
      </c>
      <c r="I12" s="44" t="str">
        <f>"  If wert = ""." &amp; Tabelle7[[#This Row],[EnuRohValue]] &amp; "."" Then Res = " &amp; Tabelle7[[#This Row],[EnuValue]]</f>
        <v xml:space="preserve">  If wert = ".FIRE." Then Res = stcAST_FIRE</v>
      </c>
    </row>
    <row r="13" spans="2:9" x14ac:dyDescent="0.25">
      <c r="B13" s="44">
        <v>11</v>
      </c>
      <c r="C13" s="45" t="s">
        <v>1503</v>
      </c>
      <c r="D13" s="44" t="s">
        <v>3700</v>
      </c>
      <c r="E13" s="44" t="str">
        <f>VLOOKUP(Tabelle7[[#This Row],[EnumName]],Enum[[IFC-Name]:[Präfix]],5,FALSE)&amp;Tabelle7[[#This Row],[EnuRohValue]]</f>
        <v>stcAST_IMPULSE</v>
      </c>
      <c r="F13" s="44">
        <f>COUNTIF(Tabelle7[EnuValue],Tabelle7[[#This Row],[EnuValue]])</f>
        <v>1</v>
      </c>
      <c r="G13" s="44" t="str">
        <f xml:space="preserve"> "  " &amp; Tabelle7[[#This Row],[EnuValue]] &amp; " = " &amp; Tabelle7[[#This Row],[Wert]]</f>
        <v xml:space="preserve">  stcAST_IMPULSE = 11</v>
      </c>
      <c r="H13" s="44" t="str">
        <f>"  If Wert = " &amp; Tabelle7[[#This Row],[EnuValue]] &amp; " then Res = ""." &amp; Tabelle7[[#This Row],[EnuRohValue]] &amp; "."""</f>
        <v xml:space="preserve">  If Wert = stcAST_IMPULSE then Res = ".IMPULSE."</v>
      </c>
      <c r="I13" s="44" t="str">
        <f>"  If wert = ""." &amp; Tabelle7[[#This Row],[EnuRohValue]] &amp; "."" Then Res = " &amp; Tabelle7[[#This Row],[EnuValue]]</f>
        <v xml:space="preserve">  If wert = ".IMPULSE." Then Res = stcAST_IMPULSE</v>
      </c>
    </row>
    <row r="14" spans="2:9" x14ac:dyDescent="0.25">
      <c r="B14" s="44">
        <v>12</v>
      </c>
      <c r="C14" s="45" t="s">
        <v>1503</v>
      </c>
      <c r="D14" s="44" t="s">
        <v>3701</v>
      </c>
      <c r="E14" s="44" t="str">
        <f>VLOOKUP(Tabelle7[[#This Row],[EnumName]],Enum[[IFC-Name]:[Präfix]],5,FALSE)&amp;Tabelle7[[#This Row],[EnuRohValue]]</f>
        <v>stcAST_IMPACT</v>
      </c>
      <c r="F14" s="44">
        <f>COUNTIF(Tabelle7[EnuValue],Tabelle7[[#This Row],[EnuValue]])</f>
        <v>1</v>
      </c>
      <c r="G14" s="44" t="str">
        <f xml:space="preserve"> "  " &amp; Tabelle7[[#This Row],[EnuValue]] &amp; " = " &amp; Tabelle7[[#This Row],[Wert]]</f>
        <v xml:space="preserve">  stcAST_IMPACT = 12</v>
      </c>
      <c r="H14" s="44" t="str">
        <f>"  If Wert = " &amp; Tabelle7[[#This Row],[EnuValue]] &amp; " then Res = ""." &amp; Tabelle7[[#This Row],[EnuRohValue]] &amp; "."""</f>
        <v xml:space="preserve">  If Wert = stcAST_IMPACT then Res = ".IMPACT."</v>
      </c>
      <c r="I14" s="44" t="str">
        <f>"  If wert = ""." &amp; Tabelle7[[#This Row],[EnuRohValue]] &amp; "."" Then Res = " &amp; Tabelle7[[#This Row],[EnuValue]]</f>
        <v xml:space="preserve">  If wert = ".IMPACT." Then Res = stcAST_IMPACT</v>
      </c>
    </row>
    <row r="15" spans="2:9" x14ac:dyDescent="0.25">
      <c r="B15" s="44">
        <v>13</v>
      </c>
      <c r="C15" s="45" t="s">
        <v>1503</v>
      </c>
      <c r="D15" s="44" t="s">
        <v>3702</v>
      </c>
      <c r="E15" s="44" t="str">
        <f>VLOOKUP(Tabelle7[[#This Row],[EnumName]],Enum[[IFC-Name]:[Präfix]],5,FALSE)&amp;Tabelle7[[#This Row],[EnuRohValue]]</f>
        <v>stcAST_TRANSPORT</v>
      </c>
      <c r="F15" s="44">
        <f>COUNTIF(Tabelle7[EnuValue],Tabelle7[[#This Row],[EnuValue]])</f>
        <v>1</v>
      </c>
      <c r="G15" s="44" t="str">
        <f xml:space="preserve"> "  " &amp; Tabelle7[[#This Row],[EnuValue]] &amp; " = " &amp; Tabelle7[[#This Row],[Wert]]</f>
        <v xml:space="preserve">  stcAST_TRANSPORT = 13</v>
      </c>
      <c r="H15" s="44" t="str">
        <f>"  If Wert = " &amp; Tabelle7[[#This Row],[EnuValue]] &amp; " then Res = ""." &amp; Tabelle7[[#This Row],[EnuRohValue]] &amp; "."""</f>
        <v xml:space="preserve">  If Wert = stcAST_TRANSPORT then Res = ".TRANSPORT."</v>
      </c>
      <c r="I15" s="44" t="str">
        <f>"  If wert = ""." &amp; Tabelle7[[#This Row],[EnuRohValue]] &amp; "."" Then Res = " &amp; Tabelle7[[#This Row],[EnuValue]]</f>
        <v xml:space="preserve">  If wert = ".TRANSPORT." Then Res = stcAST_TRANSPORT</v>
      </c>
    </row>
    <row r="16" spans="2:9" x14ac:dyDescent="0.25">
      <c r="B16" s="44">
        <v>14</v>
      </c>
      <c r="C16" s="45" t="s">
        <v>1503</v>
      </c>
      <c r="D16" s="44" t="s">
        <v>3703</v>
      </c>
      <c r="E16" s="44" t="str">
        <f>VLOOKUP(Tabelle7[[#This Row],[EnumName]],Enum[[IFC-Name]:[Präfix]],5,FALSE)&amp;Tabelle7[[#This Row],[EnuRohValue]]</f>
        <v>stcAST_ERECTION</v>
      </c>
      <c r="F16" s="44">
        <f>COUNTIF(Tabelle7[EnuValue],Tabelle7[[#This Row],[EnuValue]])</f>
        <v>1</v>
      </c>
      <c r="G16" s="44" t="str">
        <f xml:space="preserve"> "  " &amp; Tabelle7[[#This Row],[EnuValue]] &amp; " = " &amp; Tabelle7[[#This Row],[Wert]]</f>
        <v xml:space="preserve">  stcAST_ERECTION = 14</v>
      </c>
      <c r="H16" s="44" t="str">
        <f>"  If Wert = " &amp; Tabelle7[[#This Row],[EnuValue]] &amp; " then Res = ""." &amp; Tabelle7[[#This Row],[EnuRohValue]] &amp; "."""</f>
        <v xml:space="preserve">  If Wert = stcAST_ERECTION then Res = ".ERECTION."</v>
      </c>
      <c r="I16" s="44" t="str">
        <f>"  If wert = ""." &amp; Tabelle7[[#This Row],[EnuRohValue]] &amp; "."" Then Res = " &amp; Tabelle7[[#This Row],[EnuValue]]</f>
        <v xml:space="preserve">  If wert = ".ERECTION." Then Res = stcAST_ERECTION</v>
      </c>
    </row>
    <row r="17" spans="2:9" x14ac:dyDescent="0.25">
      <c r="B17" s="44">
        <v>15</v>
      </c>
      <c r="C17" s="45" t="s">
        <v>1503</v>
      </c>
      <c r="D17" s="44" t="s">
        <v>3704</v>
      </c>
      <c r="E17" s="44" t="str">
        <f>VLOOKUP(Tabelle7[[#This Row],[EnumName]],Enum[[IFC-Name]:[Präfix]],5,FALSE)&amp;Tabelle7[[#This Row],[EnuRohValue]]</f>
        <v>stcAST_PROPPING</v>
      </c>
      <c r="F17" s="44">
        <f>COUNTIF(Tabelle7[EnuValue],Tabelle7[[#This Row],[EnuValue]])</f>
        <v>1</v>
      </c>
      <c r="G17" s="44" t="str">
        <f xml:space="preserve"> "  " &amp; Tabelle7[[#This Row],[EnuValue]] &amp; " = " &amp; Tabelle7[[#This Row],[Wert]]</f>
        <v xml:space="preserve">  stcAST_PROPPING = 15</v>
      </c>
      <c r="H17" s="44" t="str">
        <f>"  If Wert = " &amp; Tabelle7[[#This Row],[EnuValue]] &amp; " then Res = ""." &amp; Tabelle7[[#This Row],[EnuRohValue]] &amp; "."""</f>
        <v xml:space="preserve">  If Wert = stcAST_PROPPING then Res = ".PROPPING."</v>
      </c>
      <c r="I17" s="44" t="str">
        <f>"  If wert = ""." &amp; Tabelle7[[#This Row],[EnuRohValue]] &amp; "."" Then Res = " &amp; Tabelle7[[#This Row],[EnuValue]]</f>
        <v xml:space="preserve">  If wert = ".PROPPING." Then Res = stcAST_PROPPING</v>
      </c>
    </row>
    <row r="18" spans="2:9" x14ac:dyDescent="0.25">
      <c r="B18" s="44">
        <v>16</v>
      </c>
      <c r="C18" s="45" t="s">
        <v>1503</v>
      </c>
      <c r="D18" s="44" t="s">
        <v>3705</v>
      </c>
      <c r="E18" s="44" t="str">
        <f>VLOOKUP(Tabelle7[[#This Row],[EnumName]],Enum[[IFC-Name]:[Präfix]],5,FALSE)&amp;Tabelle7[[#This Row],[EnuRohValue]]</f>
        <v>stcAST_SYSTEM_IMPERFECTION</v>
      </c>
      <c r="F18" s="44">
        <f>COUNTIF(Tabelle7[EnuValue],Tabelle7[[#This Row],[EnuValue]])</f>
        <v>1</v>
      </c>
      <c r="G18" s="44" t="str">
        <f xml:space="preserve"> "  " &amp; Tabelle7[[#This Row],[EnuValue]] &amp; " = " &amp; Tabelle7[[#This Row],[Wert]]</f>
        <v xml:space="preserve">  stcAST_SYSTEM_IMPERFECTION = 16</v>
      </c>
      <c r="H18" s="44" t="str">
        <f>"  If Wert = " &amp; Tabelle7[[#This Row],[EnuValue]] &amp; " then Res = ""." &amp; Tabelle7[[#This Row],[EnuRohValue]] &amp; "."""</f>
        <v xml:space="preserve">  If Wert = stcAST_SYSTEM_IMPERFECTION then Res = ".SYSTEM_IMPERFECTION."</v>
      </c>
      <c r="I18" s="44" t="str">
        <f>"  If wert = ""." &amp; Tabelle7[[#This Row],[EnuRohValue]] &amp; "."" Then Res = " &amp; Tabelle7[[#This Row],[EnuValue]]</f>
        <v xml:space="preserve">  If wert = ".SYSTEM_IMPERFECTION." Then Res = stcAST_SYSTEM_IMPERFECTION</v>
      </c>
    </row>
    <row r="19" spans="2:9" x14ac:dyDescent="0.25">
      <c r="B19" s="44">
        <v>17</v>
      </c>
      <c r="C19" s="45" t="s">
        <v>1503</v>
      </c>
      <c r="D19" s="44" t="s">
        <v>3706</v>
      </c>
      <c r="E19" s="44" t="str">
        <f>VLOOKUP(Tabelle7[[#This Row],[EnumName]],Enum[[IFC-Name]:[Präfix]],5,FALSE)&amp;Tabelle7[[#This Row],[EnuRohValue]]</f>
        <v>stcAST_SHRINKAGE</v>
      </c>
      <c r="F19" s="44">
        <f>COUNTIF(Tabelle7[EnuValue],Tabelle7[[#This Row],[EnuValue]])</f>
        <v>1</v>
      </c>
      <c r="G19" s="44" t="str">
        <f xml:space="preserve"> "  " &amp; Tabelle7[[#This Row],[EnuValue]] &amp; " = " &amp; Tabelle7[[#This Row],[Wert]]</f>
        <v xml:space="preserve">  stcAST_SHRINKAGE = 17</v>
      </c>
      <c r="H19" s="44" t="str">
        <f>"  If Wert = " &amp; Tabelle7[[#This Row],[EnuValue]] &amp; " then Res = ""." &amp; Tabelle7[[#This Row],[EnuRohValue]] &amp; "."""</f>
        <v xml:space="preserve">  If Wert = stcAST_SHRINKAGE then Res = ".SHRINKAGE."</v>
      </c>
      <c r="I19" s="44" t="str">
        <f>"  If wert = ""." &amp; Tabelle7[[#This Row],[EnuRohValue]] &amp; "."" Then Res = " &amp; Tabelle7[[#This Row],[EnuValue]]</f>
        <v xml:space="preserve">  If wert = ".SHRINKAGE." Then Res = stcAST_SHRINKAGE</v>
      </c>
    </row>
    <row r="20" spans="2:9" x14ac:dyDescent="0.25">
      <c r="B20" s="44">
        <v>18</v>
      </c>
      <c r="C20" s="45" t="s">
        <v>1503</v>
      </c>
      <c r="D20" s="44" t="s">
        <v>3707</v>
      </c>
      <c r="E20" s="44" t="str">
        <f>VLOOKUP(Tabelle7[[#This Row],[EnumName]],Enum[[IFC-Name]:[Präfix]],5,FALSE)&amp;Tabelle7[[#This Row],[EnuRohValue]]</f>
        <v>stcAST_CREEP</v>
      </c>
      <c r="F20" s="44">
        <f>COUNTIF(Tabelle7[EnuValue],Tabelle7[[#This Row],[EnuValue]])</f>
        <v>1</v>
      </c>
      <c r="G20" s="44" t="str">
        <f xml:space="preserve"> "  " &amp; Tabelle7[[#This Row],[EnuValue]] &amp; " = " &amp; Tabelle7[[#This Row],[Wert]]</f>
        <v xml:space="preserve">  stcAST_CREEP = 18</v>
      </c>
      <c r="H20" s="44" t="str">
        <f>"  If Wert = " &amp; Tabelle7[[#This Row],[EnuValue]] &amp; " then Res = ""." &amp; Tabelle7[[#This Row],[EnuRohValue]] &amp; "."""</f>
        <v xml:space="preserve">  If Wert = stcAST_CREEP then Res = ".CREEP."</v>
      </c>
      <c r="I20" s="44" t="str">
        <f>"  If wert = ""." &amp; Tabelle7[[#This Row],[EnuRohValue]] &amp; "."" Then Res = " &amp; Tabelle7[[#This Row],[EnuValue]]</f>
        <v xml:space="preserve">  If wert = ".CREEP." Then Res = stcAST_CREEP</v>
      </c>
    </row>
    <row r="21" spans="2:9" x14ac:dyDescent="0.25">
      <c r="B21" s="44">
        <v>19</v>
      </c>
      <c r="C21" s="45" t="s">
        <v>1503</v>
      </c>
      <c r="D21" s="44" t="s">
        <v>3708</v>
      </c>
      <c r="E21" s="44" t="str">
        <f>VLOOKUP(Tabelle7[[#This Row],[EnumName]],Enum[[IFC-Name]:[Präfix]],5,FALSE)&amp;Tabelle7[[#This Row],[EnuRohValue]]</f>
        <v>stcAST_LACK_OF_FIT</v>
      </c>
      <c r="F21" s="44">
        <f>COUNTIF(Tabelle7[EnuValue],Tabelle7[[#This Row],[EnuValue]])</f>
        <v>1</v>
      </c>
      <c r="G21" s="44" t="str">
        <f xml:space="preserve"> "  " &amp; Tabelle7[[#This Row],[EnuValue]] &amp; " = " &amp; Tabelle7[[#This Row],[Wert]]</f>
        <v xml:space="preserve">  stcAST_LACK_OF_FIT = 19</v>
      </c>
      <c r="H21" s="44" t="str">
        <f>"  If Wert = " &amp; Tabelle7[[#This Row],[EnuValue]] &amp; " then Res = ""." &amp; Tabelle7[[#This Row],[EnuRohValue]] &amp; "."""</f>
        <v xml:space="preserve">  If Wert = stcAST_LACK_OF_FIT then Res = ".LACK_OF_FIT."</v>
      </c>
      <c r="I21" s="44" t="str">
        <f>"  If wert = ""." &amp; Tabelle7[[#This Row],[EnuRohValue]] &amp; "."" Then Res = " &amp; Tabelle7[[#This Row],[EnuValue]]</f>
        <v xml:space="preserve">  If wert = ".LACK_OF_FIT." Then Res = stcAST_LACK_OF_FIT</v>
      </c>
    </row>
    <row r="22" spans="2:9" x14ac:dyDescent="0.25">
      <c r="B22" s="44">
        <v>20</v>
      </c>
      <c r="C22" s="45" t="s">
        <v>1503</v>
      </c>
      <c r="D22" s="44" t="s">
        <v>3709</v>
      </c>
      <c r="E22" s="44" t="str">
        <f>VLOOKUP(Tabelle7[[#This Row],[EnumName]],Enum[[IFC-Name]:[Präfix]],5,FALSE)&amp;Tabelle7[[#This Row],[EnuRohValue]]</f>
        <v>stcAST_BUOYANCY</v>
      </c>
      <c r="F22" s="44">
        <f>COUNTIF(Tabelle7[EnuValue],Tabelle7[[#This Row],[EnuValue]])</f>
        <v>1</v>
      </c>
      <c r="G22" s="44" t="str">
        <f xml:space="preserve"> "  " &amp; Tabelle7[[#This Row],[EnuValue]] &amp; " = " &amp; Tabelle7[[#This Row],[Wert]]</f>
        <v xml:space="preserve">  stcAST_BUOYANCY = 20</v>
      </c>
      <c r="H22" s="44" t="str">
        <f>"  If Wert = " &amp; Tabelle7[[#This Row],[EnuValue]] &amp; " then Res = ""." &amp; Tabelle7[[#This Row],[EnuRohValue]] &amp; "."""</f>
        <v xml:space="preserve">  If Wert = stcAST_BUOYANCY then Res = ".BUOYANCY."</v>
      </c>
      <c r="I22" s="44" t="str">
        <f>"  If wert = ""." &amp; Tabelle7[[#This Row],[EnuRohValue]] &amp; "."" Then Res = " &amp; Tabelle7[[#This Row],[EnuValue]]</f>
        <v xml:space="preserve">  If wert = ".BUOYANCY." Then Res = stcAST_BUOYANCY</v>
      </c>
    </row>
    <row r="23" spans="2:9" x14ac:dyDescent="0.25">
      <c r="B23" s="44">
        <v>21</v>
      </c>
      <c r="C23" s="45" t="s">
        <v>1503</v>
      </c>
      <c r="D23" s="44" t="s">
        <v>3710</v>
      </c>
      <c r="E23" s="44" t="str">
        <f>VLOOKUP(Tabelle7[[#This Row],[EnumName]],Enum[[IFC-Name]:[Präfix]],5,FALSE)&amp;Tabelle7[[#This Row],[EnuRohValue]]</f>
        <v>stcAST_ICE</v>
      </c>
      <c r="F23" s="44">
        <f>COUNTIF(Tabelle7[EnuValue],Tabelle7[[#This Row],[EnuValue]])</f>
        <v>1</v>
      </c>
      <c r="G23" s="44" t="str">
        <f xml:space="preserve"> "  " &amp; Tabelle7[[#This Row],[EnuValue]] &amp; " = " &amp; Tabelle7[[#This Row],[Wert]]</f>
        <v xml:space="preserve">  stcAST_ICE = 21</v>
      </c>
      <c r="H23" s="44" t="str">
        <f>"  If Wert = " &amp; Tabelle7[[#This Row],[EnuValue]] &amp; " then Res = ""." &amp; Tabelle7[[#This Row],[EnuRohValue]] &amp; "."""</f>
        <v xml:space="preserve">  If Wert = stcAST_ICE then Res = ".ICE."</v>
      </c>
      <c r="I23" s="44" t="str">
        <f>"  If wert = ""." &amp; Tabelle7[[#This Row],[EnuRohValue]] &amp; "."" Then Res = " &amp; Tabelle7[[#This Row],[EnuValue]]</f>
        <v xml:space="preserve">  If wert = ".ICE." Then Res = stcAST_ICE</v>
      </c>
    </row>
    <row r="24" spans="2:9" x14ac:dyDescent="0.25">
      <c r="B24" s="44">
        <v>22</v>
      </c>
      <c r="C24" s="45" t="s">
        <v>1503</v>
      </c>
      <c r="D24" s="44" t="s">
        <v>3711</v>
      </c>
      <c r="E24" s="44" t="str">
        <f>VLOOKUP(Tabelle7[[#This Row],[EnumName]],Enum[[IFC-Name]:[Präfix]],5,FALSE)&amp;Tabelle7[[#This Row],[EnuRohValue]]</f>
        <v>stcAST_CURRENT</v>
      </c>
      <c r="F24" s="44">
        <f>COUNTIF(Tabelle7[EnuValue],Tabelle7[[#This Row],[EnuValue]])</f>
        <v>1</v>
      </c>
      <c r="G24" s="44" t="str">
        <f xml:space="preserve"> "  " &amp; Tabelle7[[#This Row],[EnuValue]] &amp; " = " &amp; Tabelle7[[#This Row],[Wert]]</f>
        <v xml:space="preserve">  stcAST_CURRENT = 22</v>
      </c>
      <c r="H24" s="44" t="str">
        <f>"  If Wert = " &amp; Tabelle7[[#This Row],[EnuValue]] &amp; " then Res = ""." &amp; Tabelle7[[#This Row],[EnuRohValue]] &amp; "."""</f>
        <v xml:space="preserve">  If Wert = stcAST_CURRENT then Res = ".CURRENT."</v>
      </c>
      <c r="I24" s="44" t="str">
        <f>"  If wert = ""." &amp; Tabelle7[[#This Row],[EnuRohValue]] &amp; "."" Then Res = " &amp; Tabelle7[[#This Row],[EnuValue]]</f>
        <v xml:space="preserve">  If wert = ".CURRENT." Then Res = stcAST_CURRENT</v>
      </c>
    </row>
    <row r="25" spans="2:9" x14ac:dyDescent="0.25">
      <c r="B25" s="44">
        <v>23</v>
      </c>
      <c r="C25" s="45" t="s">
        <v>1503</v>
      </c>
      <c r="D25" s="44" t="s">
        <v>3712</v>
      </c>
      <c r="E25" s="44" t="str">
        <f>VLOOKUP(Tabelle7[[#This Row],[EnumName]],Enum[[IFC-Name]:[Präfix]],5,FALSE)&amp;Tabelle7[[#This Row],[EnuRohValue]]</f>
        <v>stcAST_WAVE</v>
      </c>
      <c r="F25" s="44">
        <f>COUNTIF(Tabelle7[EnuValue],Tabelle7[[#This Row],[EnuValue]])</f>
        <v>1</v>
      </c>
      <c r="G25" s="44" t="str">
        <f xml:space="preserve"> "  " &amp; Tabelle7[[#This Row],[EnuValue]] &amp; " = " &amp; Tabelle7[[#This Row],[Wert]]</f>
        <v xml:space="preserve">  stcAST_WAVE = 23</v>
      </c>
      <c r="H25" s="44" t="str">
        <f>"  If Wert = " &amp; Tabelle7[[#This Row],[EnuValue]] &amp; " then Res = ""." &amp; Tabelle7[[#This Row],[EnuRohValue]] &amp; "."""</f>
        <v xml:space="preserve">  If Wert = stcAST_WAVE then Res = ".WAVE."</v>
      </c>
      <c r="I25" s="44" t="str">
        <f>"  If wert = ""." &amp; Tabelle7[[#This Row],[EnuRohValue]] &amp; "."" Then Res = " &amp; Tabelle7[[#This Row],[EnuValue]]</f>
        <v xml:space="preserve">  If wert = ".WAVE." Then Res = stcAST_WAVE</v>
      </c>
    </row>
    <row r="26" spans="2:9" x14ac:dyDescent="0.25">
      <c r="B26" s="44">
        <v>24</v>
      </c>
      <c r="C26" s="45" t="s">
        <v>1503</v>
      </c>
      <c r="D26" s="44" t="s">
        <v>3713</v>
      </c>
      <c r="E26" s="44" t="str">
        <f>VLOOKUP(Tabelle7[[#This Row],[EnumName]],Enum[[IFC-Name]:[Präfix]],5,FALSE)&amp;Tabelle7[[#This Row],[EnuRohValue]]</f>
        <v>stcAST_RAIN</v>
      </c>
      <c r="F26" s="44">
        <f>COUNTIF(Tabelle7[EnuValue],Tabelle7[[#This Row],[EnuValue]])</f>
        <v>1</v>
      </c>
      <c r="G26" s="44" t="str">
        <f xml:space="preserve"> "  " &amp; Tabelle7[[#This Row],[EnuValue]] &amp; " = " &amp; Tabelle7[[#This Row],[Wert]]</f>
        <v xml:space="preserve">  stcAST_RAIN = 24</v>
      </c>
      <c r="H26" s="44" t="str">
        <f>"  If Wert = " &amp; Tabelle7[[#This Row],[EnuValue]] &amp; " then Res = ""." &amp; Tabelle7[[#This Row],[EnuRohValue]] &amp; "."""</f>
        <v xml:space="preserve">  If Wert = stcAST_RAIN then Res = ".RAIN."</v>
      </c>
      <c r="I26" s="44" t="str">
        <f>"  If wert = ""." &amp; Tabelle7[[#This Row],[EnuRohValue]] &amp; "."" Then Res = " &amp; Tabelle7[[#This Row],[EnuValue]]</f>
        <v xml:space="preserve">  If wert = ".RAIN." Then Res = stcAST_RAIN</v>
      </c>
    </row>
    <row r="27" spans="2:9" x14ac:dyDescent="0.25">
      <c r="B27" s="44">
        <v>25</v>
      </c>
      <c r="C27" s="45" t="s">
        <v>1503</v>
      </c>
      <c r="D27" s="44" t="s">
        <v>3714</v>
      </c>
      <c r="E27" s="44" t="str">
        <f>VLOOKUP(Tabelle7[[#This Row],[EnumName]],Enum[[IFC-Name]:[Präfix]],5,FALSE)&amp;Tabelle7[[#This Row],[EnuRohValue]]</f>
        <v>stcAST_BRAKES</v>
      </c>
      <c r="F27" s="44">
        <f>COUNTIF(Tabelle7[EnuValue],Tabelle7[[#This Row],[EnuValue]])</f>
        <v>1</v>
      </c>
      <c r="G27" s="44" t="str">
        <f xml:space="preserve"> "  " &amp; Tabelle7[[#This Row],[EnuValue]] &amp; " = " &amp; Tabelle7[[#This Row],[Wert]]</f>
        <v xml:space="preserve">  stcAST_BRAKES = 25</v>
      </c>
      <c r="H27" s="44" t="str">
        <f>"  If Wert = " &amp; Tabelle7[[#This Row],[EnuValue]] &amp; " then Res = ""." &amp; Tabelle7[[#This Row],[EnuRohValue]] &amp; "."""</f>
        <v xml:space="preserve">  If Wert = stcAST_BRAKES then Res = ".BRAKES."</v>
      </c>
      <c r="I27" s="44" t="str">
        <f>"  If wert = ""." &amp; Tabelle7[[#This Row],[EnuRohValue]] &amp; "."" Then Res = " &amp; Tabelle7[[#This Row],[EnuValue]]</f>
        <v xml:space="preserve">  If wert = ".BRAKES." Then Res = stcAST_BRAKES</v>
      </c>
    </row>
    <row r="28" spans="2:9" x14ac:dyDescent="0.25">
      <c r="B28" s="44">
        <v>26</v>
      </c>
      <c r="C28" s="45" t="s">
        <v>1503</v>
      </c>
      <c r="D28" s="44" t="s">
        <v>3682</v>
      </c>
      <c r="E28" s="44" t="str">
        <f>VLOOKUP(Tabelle7[[#This Row],[EnumName]],Enum[[IFC-Name]:[Präfix]],5,FALSE)&amp;Tabelle7[[#This Row],[EnuRohValue]]</f>
        <v>stcAST_USERDEFINED</v>
      </c>
      <c r="F28" s="44">
        <f>COUNTIF(Tabelle7[EnuValue],Tabelle7[[#This Row],[EnuValue]])</f>
        <v>1</v>
      </c>
      <c r="G28" s="44" t="str">
        <f xml:space="preserve"> "  " &amp; Tabelle7[[#This Row],[EnuValue]] &amp; " = " &amp; Tabelle7[[#This Row],[Wert]]</f>
        <v xml:space="preserve">  stcAST_USERDEFINED = 26</v>
      </c>
      <c r="H28" s="44" t="str">
        <f>"  If Wert = " &amp; Tabelle7[[#This Row],[EnuValue]] &amp; " then Res = ""." &amp; Tabelle7[[#This Row],[EnuRohValue]] &amp; "."""</f>
        <v xml:space="preserve">  If Wert = stcAST_USERDEFINED then Res = ".USERDEFINED."</v>
      </c>
      <c r="I28" s="44" t="str">
        <f>"  If wert = ""." &amp; Tabelle7[[#This Row],[EnuRohValue]] &amp; "."" Then Res = " &amp; Tabelle7[[#This Row],[EnuValue]]</f>
        <v xml:space="preserve">  If wert = ".USERDEFINED." Then Res = stcAST_USERDEFINED</v>
      </c>
    </row>
    <row r="29" spans="2:9" x14ac:dyDescent="0.25">
      <c r="B29" s="44">
        <v>27</v>
      </c>
      <c r="C29" s="45" t="s">
        <v>1503</v>
      </c>
      <c r="D29" s="44" t="s">
        <v>3683</v>
      </c>
      <c r="E29" s="44" t="str">
        <f>VLOOKUP(Tabelle7[[#This Row],[EnumName]],Enum[[IFC-Name]:[Präfix]],5,FALSE)&amp;Tabelle7[[#This Row],[EnuRohValue]]</f>
        <v>stcAST_NOTDEFINED</v>
      </c>
      <c r="F29" s="44">
        <f>COUNTIF(Tabelle7[EnuValue],Tabelle7[[#This Row],[EnuValue]])</f>
        <v>1</v>
      </c>
      <c r="G29" s="44" t="str">
        <f xml:space="preserve"> "  " &amp; Tabelle7[[#This Row],[EnuValue]] &amp; " = " &amp; Tabelle7[[#This Row],[Wert]]</f>
        <v xml:space="preserve">  stcAST_NOTDEFINED = 27</v>
      </c>
      <c r="H29" s="44" t="str">
        <f>"  If Wert = " &amp; Tabelle7[[#This Row],[EnuValue]] &amp; " then Res = ""." &amp; Tabelle7[[#This Row],[EnuRohValue]] &amp; "."""</f>
        <v xml:space="preserve">  If Wert = stcAST_NOTDEFINED then Res = ".NOTDEFINED."</v>
      </c>
      <c r="I29" s="44" t="str">
        <f>"  If wert = ""." &amp; Tabelle7[[#This Row],[EnuRohValue]] &amp; "."" Then Res = " &amp; Tabelle7[[#This Row],[EnuValue]]</f>
        <v xml:space="preserve">  If wert = ".NOTDEFINED." Then Res = stcAST_NOTDEFINED</v>
      </c>
    </row>
    <row r="30" spans="2:9" x14ac:dyDescent="0.25">
      <c r="B30" s="44">
        <v>1</v>
      </c>
      <c r="C30" s="45" t="s">
        <v>1504</v>
      </c>
      <c r="D30" s="44" t="s">
        <v>3715</v>
      </c>
      <c r="E30" s="44" t="str">
        <f>VLOOKUP(Tabelle7[[#This Row],[EnumName]],Enum[[IFC-Name]:[Präfix]],5,FALSE)&amp;Tabelle7[[#This Row],[EnuRohValue]]</f>
        <v>stcAT_PERMANENT_G</v>
      </c>
      <c r="F30" s="44">
        <f>COUNTIF(Tabelle7[EnuValue],Tabelle7[[#This Row],[EnuValue]])</f>
        <v>1</v>
      </c>
      <c r="G30" s="44" t="str">
        <f xml:space="preserve"> "  " &amp; Tabelle7[[#This Row],[EnuValue]] &amp; " = " &amp; Tabelle7[[#This Row],[Wert]]</f>
        <v xml:space="preserve">  stcAT_PERMANENT_G = 1</v>
      </c>
      <c r="H30" s="44" t="str">
        <f>"  If Wert = " &amp; Tabelle7[[#This Row],[EnuValue]] &amp; " then Res = ""." &amp; Tabelle7[[#This Row],[EnuRohValue]] &amp; "."""</f>
        <v xml:space="preserve">  If Wert = stcAT_PERMANENT_G then Res = ".PERMANENT_G."</v>
      </c>
      <c r="I30" s="44" t="str">
        <f>"  If wert = ""." &amp; Tabelle7[[#This Row],[EnuRohValue]] &amp; "."" Then Res = " &amp; Tabelle7[[#This Row],[EnuValue]]</f>
        <v xml:space="preserve">  If wert = ".PERMANENT_G." Then Res = stcAT_PERMANENT_G</v>
      </c>
    </row>
    <row r="31" spans="2:9" x14ac:dyDescent="0.25">
      <c r="B31" s="44">
        <v>2</v>
      </c>
      <c r="C31" s="45" t="s">
        <v>1504</v>
      </c>
      <c r="D31" s="44" t="s">
        <v>3716</v>
      </c>
      <c r="E31" s="44" t="str">
        <f>VLOOKUP(Tabelle7[[#This Row],[EnumName]],Enum[[IFC-Name]:[Präfix]],5,FALSE)&amp;Tabelle7[[#This Row],[EnuRohValue]]</f>
        <v>stcAT_VARIABLE_Q</v>
      </c>
      <c r="F31" s="44">
        <f>COUNTIF(Tabelle7[EnuValue],Tabelle7[[#This Row],[EnuValue]])</f>
        <v>1</v>
      </c>
      <c r="G31" s="44" t="str">
        <f xml:space="preserve"> "  " &amp; Tabelle7[[#This Row],[EnuValue]] &amp; " = " &amp; Tabelle7[[#This Row],[Wert]]</f>
        <v xml:space="preserve">  stcAT_VARIABLE_Q = 2</v>
      </c>
      <c r="H31" s="44" t="str">
        <f>"  If Wert = " &amp; Tabelle7[[#This Row],[EnuValue]] &amp; " then Res = ""." &amp; Tabelle7[[#This Row],[EnuRohValue]] &amp; "."""</f>
        <v xml:space="preserve">  If Wert = stcAT_VARIABLE_Q then Res = ".VARIABLE_Q."</v>
      </c>
      <c r="I31" s="44" t="str">
        <f>"  If wert = ""." &amp; Tabelle7[[#This Row],[EnuRohValue]] &amp; "."" Then Res = " &amp; Tabelle7[[#This Row],[EnuValue]]</f>
        <v xml:space="preserve">  If wert = ".VARIABLE_Q." Then Res = stcAT_VARIABLE_Q</v>
      </c>
    </row>
    <row r="32" spans="2:9" x14ac:dyDescent="0.25">
      <c r="B32" s="44">
        <v>3</v>
      </c>
      <c r="C32" s="45" t="s">
        <v>1504</v>
      </c>
      <c r="D32" s="44" t="s">
        <v>3717</v>
      </c>
      <c r="E32" s="44" t="str">
        <f>VLOOKUP(Tabelle7[[#This Row],[EnumName]],Enum[[IFC-Name]:[Präfix]],5,FALSE)&amp;Tabelle7[[#This Row],[EnuRohValue]]</f>
        <v>stcAT_EXTRAORDINARY_A</v>
      </c>
      <c r="F32" s="44">
        <f>COUNTIF(Tabelle7[EnuValue],Tabelle7[[#This Row],[EnuValue]])</f>
        <v>1</v>
      </c>
      <c r="G32" s="44" t="str">
        <f xml:space="preserve"> "  " &amp; Tabelle7[[#This Row],[EnuValue]] &amp; " = " &amp; Tabelle7[[#This Row],[Wert]]</f>
        <v xml:space="preserve">  stcAT_EXTRAORDINARY_A = 3</v>
      </c>
      <c r="H32" s="44" t="str">
        <f>"  If Wert = " &amp; Tabelle7[[#This Row],[EnuValue]] &amp; " then Res = ""." &amp; Tabelle7[[#This Row],[EnuRohValue]] &amp; "."""</f>
        <v xml:space="preserve">  If Wert = stcAT_EXTRAORDINARY_A then Res = ".EXTRAORDINARY_A."</v>
      </c>
      <c r="I32" s="44" t="str">
        <f>"  If wert = ""." &amp; Tabelle7[[#This Row],[EnuRohValue]] &amp; "."" Then Res = " &amp; Tabelle7[[#This Row],[EnuValue]]</f>
        <v xml:space="preserve">  If wert = ".EXTRAORDINARY_A." Then Res = stcAT_EXTRAORDINARY_A</v>
      </c>
    </row>
    <row r="33" spans="2:9" x14ac:dyDescent="0.25">
      <c r="B33" s="44">
        <v>4</v>
      </c>
      <c r="C33" s="45" t="s">
        <v>1504</v>
      </c>
      <c r="D33" s="44" t="s">
        <v>3682</v>
      </c>
      <c r="E33" s="44" t="str">
        <f>VLOOKUP(Tabelle7[[#This Row],[EnumName]],Enum[[IFC-Name]:[Präfix]],5,FALSE)&amp;Tabelle7[[#This Row],[EnuRohValue]]</f>
        <v>stcAT_USERDEFINED</v>
      </c>
      <c r="F33" s="44">
        <f>COUNTIF(Tabelle7[EnuValue],Tabelle7[[#This Row],[EnuValue]])</f>
        <v>1</v>
      </c>
      <c r="G33" s="44" t="str">
        <f xml:space="preserve"> "  " &amp; Tabelle7[[#This Row],[EnuValue]] &amp; " = " &amp; Tabelle7[[#This Row],[Wert]]</f>
        <v xml:space="preserve">  stcAT_USERDEFINED = 4</v>
      </c>
      <c r="H33" s="44" t="str">
        <f>"  If Wert = " &amp; Tabelle7[[#This Row],[EnuValue]] &amp; " then Res = ""." &amp; Tabelle7[[#This Row],[EnuRohValue]] &amp; "."""</f>
        <v xml:space="preserve">  If Wert = stcAT_USERDEFINED then Res = ".USERDEFINED."</v>
      </c>
      <c r="I33" s="44" t="str">
        <f>"  If wert = ""." &amp; Tabelle7[[#This Row],[EnuRohValue]] &amp; "."" Then Res = " &amp; Tabelle7[[#This Row],[EnuValue]]</f>
        <v xml:space="preserve">  If wert = ".USERDEFINED." Then Res = stcAT_USERDEFINED</v>
      </c>
    </row>
    <row r="34" spans="2:9" x14ac:dyDescent="0.25">
      <c r="B34" s="44">
        <v>5</v>
      </c>
      <c r="C34" s="45" t="s">
        <v>1504</v>
      </c>
      <c r="D34" s="44" t="s">
        <v>3683</v>
      </c>
      <c r="E34" s="44" t="str">
        <f>VLOOKUP(Tabelle7[[#This Row],[EnumName]],Enum[[IFC-Name]:[Präfix]],5,FALSE)&amp;Tabelle7[[#This Row],[EnuRohValue]]</f>
        <v>stcAT_NOTDEFINED</v>
      </c>
      <c r="F34" s="44">
        <f>COUNTIF(Tabelle7[EnuValue],Tabelle7[[#This Row],[EnuValue]])</f>
        <v>1</v>
      </c>
      <c r="G34" s="44" t="str">
        <f xml:space="preserve"> "  " &amp; Tabelle7[[#This Row],[EnuValue]] &amp; " = " &amp; Tabelle7[[#This Row],[Wert]]</f>
        <v xml:space="preserve">  stcAT_NOTDEFINED = 5</v>
      </c>
      <c r="H34" s="44" t="str">
        <f>"  If Wert = " &amp; Tabelle7[[#This Row],[EnuValue]] &amp; " then Res = ""." &amp; Tabelle7[[#This Row],[EnuRohValue]] &amp; "."""</f>
        <v xml:space="preserve">  If Wert = stcAT_NOTDEFINED then Res = ".NOTDEFINED."</v>
      </c>
      <c r="I34" s="44" t="str">
        <f>"  If wert = ""." &amp; Tabelle7[[#This Row],[EnuRohValue]] &amp; "."" Then Res = " &amp; Tabelle7[[#This Row],[EnuValue]]</f>
        <v xml:space="preserve">  If wert = ".NOTDEFINED." Then Res = stcAT_NOTDEFINED</v>
      </c>
    </row>
    <row r="35" spans="2:9" x14ac:dyDescent="0.25">
      <c r="B35" s="44">
        <v>1</v>
      </c>
      <c r="C35" s="45" t="s">
        <v>1505</v>
      </c>
      <c r="D35" s="44" t="s">
        <v>3718</v>
      </c>
      <c r="E35" s="44" t="str">
        <f>VLOOKUP(Tabelle7[[#This Row],[EnumName]],Enum[[IFC-Name]:[Präfix]],5,FALSE)&amp;Tabelle7[[#This Row],[EnuRohValue]]</f>
        <v>bldACT_ELECTRICACTUATOR</v>
      </c>
      <c r="F35" s="44">
        <f>COUNTIF(Tabelle7[EnuValue],Tabelle7[[#This Row],[EnuValue]])</f>
        <v>1</v>
      </c>
      <c r="G35" s="44" t="str">
        <f xml:space="preserve"> "  " &amp; Tabelle7[[#This Row],[EnuValue]] &amp; " = " &amp; Tabelle7[[#This Row],[Wert]]</f>
        <v xml:space="preserve">  bldACT_ELECTRICACTUATOR = 1</v>
      </c>
      <c r="H35" s="44" t="str">
        <f>"  If Wert = " &amp; Tabelle7[[#This Row],[EnuValue]] &amp; " then Res = ""." &amp; Tabelle7[[#This Row],[EnuRohValue]] &amp; "."""</f>
        <v xml:space="preserve">  If Wert = bldACT_ELECTRICACTUATOR then Res = ".ELECTRICACTUATOR."</v>
      </c>
      <c r="I35" s="44" t="str">
        <f>"  If wert = ""." &amp; Tabelle7[[#This Row],[EnuRohValue]] &amp; "."" Then Res = " &amp; Tabelle7[[#This Row],[EnuValue]]</f>
        <v xml:space="preserve">  If wert = ".ELECTRICACTUATOR." Then Res = bldACT_ELECTRICACTUATOR</v>
      </c>
    </row>
    <row r="36" spans="2:9" x14ac:dyDescent="0.25">
      <c r="B36" s="44">
        <v>2</v>
      </c>
      <c r="C36" s="45" t="s">
        <v>1505</v>
      </c>
      <c r="D36" s="44" t="s">
        <v>3719</v>
      </c>
      <c r="E36" s="44" t="str">
        <f>VLOOKUP(Tabelle7[[#This Row],[EnumName]],Enum[[IFC-Name]:[Präfix]],5,FALSE)&amp;Tabelle7[[#This Row],[EnuRohValue]]</f>
        <v>bldACT_HANDOPERATEDACTUATOR</v>
      </c>
      <c r="F36" s="44">
        <f>COUNTIF(Tabelle7[EnuValue],Tabelle7[[#This Row],[EnuValue]])</f>
        <v>1</v>
      </c>
      <c r="G36" s="44" t="str">
        <f xml:space="preserve"> "  " &amp; Tabelle7[[#This Row],[EnuValue]] &amp; " = " &amp; Tabelle7[[#This Row],[Wert]]</f>
        <v xml:space="preserve">  bldACT_HANDOPERATEDACTUATOR = 2</v>
      </c>
      <c r="H36" s="44" t="str">
        <f>"  If Wert = " &amp; Tabelle7[[#This Row],[EnuValue]] &amp; " then Res = ""." &amp; Tabelle7[[#This Row],[EnuRohValue]] &amp; "."""</f>
        <v xml:space="preserve">  If Wert = bldACT_HANDOPERATEDACTUATOR then Res = ".HANDOPERATEDACTUATOR."</v>
      </c>
      <c r="I36" s="44" t="str">
        <f>"  If wert = ""." &amp; Tabelle7[[#This Row],[EnuRohValue]] &amp; "."" Then Res = " &amp; Tabelle7[[#This Row],[EnuValue]]</f>
        <v xml:space="preserve">  If wert = ".HANDOPERATEDACTUATOR." Then Res = bldACT_HANDOPERATEDACTUATOR</v>
      </c>
    </row>
    <row r="37" spans="2:9" x14ac:dyDescent="0.25">
      <c r="B37" s="44">
        <v>3</v>
      </c>
      <c r="C37" s="45" t="s">
        <v>1505</v>
      </c>
      <c r="D37" s="44" t="s">
        <v>3720</v>
      </c>
      <c r="E37" s="44" t="str">
        <f>VLOOKUP(Tabelle7[[#This Row],[EnumName]],Enum[[IFC-Name]:[Präfix]],5,FALSE)&amp;Tabelle7[[#This Row],[EnuRohValue]]</f>
        <v>bldACT_HYDRAULICACTUATOR</v>
      </c>
      <c r="F37" s="44">
        <f>COUNTIF(Tabelle7[EnuValue],Tabelle7[[#This Row],[EnuValue]])</f>
        <v>1</v>
      </c>
      <c r="G37" s="44" t="str">
        <f xml:space="preserve"> "  " &amp; Tabelle7[[#This Row],[EnuValue]] &amp; " = " &amp; Tabelle7[[#This Row],[Wert]]</f>
        <v xml:space="preserve">  bldACT_HYDRAULICACTUATOR = 3</v>
      </c>
      <c r="H37" s="44" t="str">
        <f>"  If Wert = " &amp; Tabelle7[[#This Row],[EnuValue]] &amp; " then Res = ""." &amp; Tabelle7[[#This Row],[EnuRohValue]] &amp; "."""</f>
        <v xml:space="preserve">  If Wert = bldACT_HYDRAULICACTUATOR then Res = ".HYDRAULICACTUATOR."</v>
      </c>
      <c r="I37" s="44" t="str">
        <f>"  If wert = ""." &amp; Tabelle7[[#This Row],[EnuRohValue]] &amp; "."" Then Res = " &amp; Tabelle7[[#This Row],[EnuValue]]</f>
        <v xml:space="preserve">  If wert = ".HYDRAULICACTUATOR." Then Res = bldACT_HYDRAULICACTUATOR</v>
      </c>
    </row>
    <row r="38" spans="2:9" x14ac:dyDescent="0.25">
      <c r="B38" s="44">
        <v>4</v>
      </c>
      <c r="C38" s="45" t="s">
        <v>1505</v>
      </c>
      <c r="D38" s="44" t="s">
        <v>3721</v>
      </c>
      <c r="E38" s="44" t="str">
        <f>VLOOKUP(Tabelle7[[#This Row],[EnumName]],Enum[[IFC-Name]:[Präfix]],5,FALSE)&amp;Tabelle7[[#This Row],[EnuRohValue]]</f>
        <v>bldACT_PNEUMATICACTUATOR</v>
      </c>
      <c r="F38" s="44">
        <f>COUNTIF(Tabelle7[EnuValue],Tabelle7[[#This Row],[EnuValue]])</f>
        <v>1</v>
      </c>
      <c r="G38" s="44" t="str">
        <f xml:space="preserve"> "  " &amp; Tabelle7[[#This Row],[EnuValue]] &amp; " = " &amp; Tabelle7[[#This Row],[Wert]]</f>
        <v xml:space="preserve">  bldACT_PNEUMATICACTUATOR = 4</v>
      </c>
      <c r="H38" s="44" t="str">
        <f>"  If Wert = " &amp; Tabelle7[[#This Row],[EnuValue]] &amp; " then Res = ""." &amp; Tabelle7[[#This Row],[EnuRohValue]] &amp; "."""</f>
        <v xml:space="preserve">  If Wert = bldACT_PNEUMATICACTUATOR then Res = ".PNEUMATICACTUATOR."</v>
      </c>
      <c r="I38" s="44" t="str">
        <f>"  If wert = ""." &amp; Tabelle7[[#This Row],[EnuRohValue]] &amp; "."" Then Res = " &amp; Tabelle7[[#This Row],[EnuValue]]</f>
        <v xml:space="preserve">  If wert = ".PNEUMATICACTUATOR." Then Res = bldACT_PNEUMATICACTUATOR</v>
      </c>
    </row>
    <row r="39" spans="2:9" x14ac:dyDescent="0.25">
      <c r="B39" s="44">
        <v>5</v>
      </c>
      <c r="C39" s="45" t="s">
        <v>1505</v>
      </c>
      <c r="D39" s="44" t="s">
        <v>3722</v>
      </c>
      <c r="E39" s="44" t="str">
        <f>VLOOKUP(Tabelle7[[#This Row],[EnumName]],Enum[[IFC-Name]:[Präfix]],5,FALSE)&amp;Tabelle7[[#This Row],[EnuRohValue]]</f>
        <v>bldACT_THERMOSTATICACTUATOR</v>
      </c>
      <c r="F39" s="44">
        <f>COUNTIF(Tabelle7[EnuValue],Tabelle7[[#This Row],[EnuValue]])</f>
        <v>1</v>
      </c>
      <c r="G39" s="44" t="str">
        <f xml:space="preserve"> "  " &amp; Tabelle7[[#This Row],[EnuValue]] &amp; " = " &amp; Tabelle7[[#This Row],[Wert]]</f>
        <v xml:space="preserve">  bldACT_THERMOSTATICACTUATOR = 5</v>
      </c>
      <c r="H39" s="44" t="str">
        <f>"  If Wert = " &amp; Tabelle7[[#This Row],[EnuValue]] &amp; " then Res = ""." &amp; Tabelle7[[#This Row],[EnuRohValue]] &amp; "."""</f>
        <v xml:space="preserve">  If Wert = bldACT_THERMOSTATICACTUATOR then Res = ".THERMOSTATICACTUATOR."</v>
      </c>
      <c r="I39" s="44" t="str">
        <f>"  If wert = ""." &amp; Tabelle7[[#This Row],[EnuRohValue]] &amp; "."" Then Res = " &amp; Tabelle7[[#This Row],[EnuValue]]</f>
        <v xml:space="preserve">  If wert = ".THERMOSTATICACTUATOR." Then Res = bldACT_THERMOSTATICACTUATOR</v>
      </c>
    </row>
    <row r="40" spans="2:9" x14ac:dyDescent="0.25">
      <c r="B40" s="44">
        <v>6</v>
      </c>
      <c r="C40" s="45" t="s">
        <v>1505</v>
      </c>
      <c r="D40" s="44" t="s">
        <v>3682</v>
      </c>
      <c r="E40" s="44" t="str">
        <f>VLOOKUP(Tabelle7[[#This Row],[EnumName]],Enum[[IFC-Name]:[Präfix]],5,FALSE)&amp;Tabelle7[[#This Row],[EnuRohValue]]</f>
        <v>bldACT_USERDEFINED</v>
      </c>
      <c r="F40" s="44">
        <f>COUNTIF(Tabelle7[EnuValue],Tabelle7[[#This Row],[EnuValue]])</f>
        <v>1</v>
      </c>
      <c r="G40" s="44" t="str">
        <f xml:space="preserve"> "  " &amp; Tabelle7[[#This Row],[EnuValue]] &amp; " = " &amp; Tabelle7[[#This Row],[Wert]]</f>
        <v xml:space="preserve">  bldACT_USERDEFINED = 6</v>
      </c>
      <c r="H40" s="44" t="str">
        <f>"  If Wert = " &amp; Tabelle7[[#This Row],[EnuValue]] &amp; " then Res = ""." &amp; Tabelle7[[#This Row],[EnuRohValue]] &amp; "."""</f>
        <v xml:space="preserve">  If Wert = bldACT_USERDEFINED then Res = ".USERDEFINED."</v>
      </c>
      <c r="I40" s="44" t="str">
        <f>"  If wert = ""." &amp; Tabelle7[[#This Row],[EnuRohValue]] &amp; "."" Then Res = " &amp; Tabelle7[[#This Row],[EnuValue]]</f>
        <v xml:space="preserve">  If wert = ".USERDEFINED." Then Res = bldACT_USERDEFINED</v>
      </c>
    </row>
    <row r="41" spans="2:9" x14ac:dyDescent="0.25">
      <c r="B41" s="44">
        <v>7</v>
      </c>
      <c r="C41" s="45" t="s">
        <v>1505</v>
      </c>
      <c r="D41" s="44" t="s">
        <v>3683</v>
      </c>
      <c r="E41" s="44" t="str">
        <f>VLOOKUP(Tabelle7[[#This Row],[EnumName]],Enum[[IFC-Name]:[Präfix]],5,FALSE)&amp;Tabelle7[[#This Row],[EnuRohValue]]</f>
        <v>bldACT_NOTDEFINED</v>
      </c>
      <c r="F41" s="44">
        <f>COUNTIF(Tabelle7[EnuValue],Tabelle7[[#This Row],[EnuValue]])</f>
        <v>1</v>
      </c>
      <c r="G41" s="44" t="str">
        <f xml:space="preserve"> "  " &amp; Tabelle7[[#This Row],[EnuValue]] &amp; " = " &amp; Tabelle7[[#This Row],[Wert]]</f>
        <v xml:space="preserve">  bldACT_NOTDEFINED = 7</v>
      </c>
      <c r="H41" s="44" t="str">
        <f>"  If Wert = " &amp; Tabelle7[[#This Row],[EnuValue]] &amp; " then Res = ""." &amp; Tabelle7[[#This Row],[EnuRohValue]] &amp; "."""</f>
        <v xml:space="preserve">  If Wert = bldACT_NOTDEFINED then Res = ".NOTDEFINED."</v>
      </c>
      <c r="I41" s="44" t="str">
        <f>"  If wert = ""." &amp; Tabelle7[[#This Row],[EnuRohValue]] &amp; "."" Then Res = " &amp; Tabelle7[[#This Row],[EnuValue]]</f>
        <v xml:space="preserve">  If wert = ".NOTDEFINED." Then Res = bldACT_NOTDEFINED</v>
      </c>
    </row>
    <row r="42" spans="2:9" x14ac:dyDescent="0.25">
      <c r="B42" s="44">
        <v>1</v>
      </c>
      <c r="C42" s="45" t="s">
        <v>1506</v>
      </c>
      <c r="D42" s="44" t="s">
        <v>3723</v>
      </c>
      <c r="E42" s="44" t="str">
        <f>VLOOKUP(Tabelle7[[#This Row],[EnumName]],Enum[[IFC-Name]:[Präfix]],5,FALSE)&amp;Tabelle7[[#This Row],[EnuRohValue]]</f>
        <v>actAT_OFFICE</v>
      </c>
      <c r="F42" s="44">
        <f>COUNTIF(Tabelle7[EnuValue],Tabelle7[[#This Row],[EnuValue]])</f>
        <v>1</v>
      </c>
      <c r="G42" s="44" t="str">
        <f xml:space="preserve"> "  " &amp; Tabelle7[[#This Row],[EnuValue]] &amp; " = " &amp; Tabelle7[[#This Row],[Wert]]</f>
        <v xml:space="preserve">  actAT_OFFICE = 1</v>
      </c>
      <c r="H42" s="44" t="str">
        <f>"  If Wert = " &amp; Tabelle7[[#This Row],[EnuValue]] &amp; " then Res = ""." &amp; Tabelle7[[#This Row],[EnuRohValue]] &amp; "."""</f>
        <v xml:space="preserve">  If Wert = actAT_OFFICE then Res = ".OFFICE."</v>
      </c>
      <c r="I42" s="44" t="str">
        <f>"  If wert = ""." &amp; Tabelle7[[#This Row],[EnuRohValue]] &amp; "."" Then Res = " &amp; Tabelle7[[#This Row],[EnuValue]]</f>
        <v xml:space="preserve">  If wert = ".OFFICE." Then Res = actAT_OFFICE</v>
      </c>
    </row>
    <row r="43" spans="2:9" x14ac:dyDescent="0.25">
      <c r="B43" s="44">
        <v>2</v>
      </c>
      <c r="C43" s="45" t="s">
        <v>1506</v>
      </c>
      <c r="D43" s="44" t="s">
        <v>3724</v>
      </c>
      <c r="E43" s="44" t="str">
        <f>VLOOKUP(Tabelle7[[#This Row],[EnumName]],Enum[[IFC-Name]:[Präfix]],5,FALSE)&amp;Tabelle7[[#This Row],[EnuRohValue]]</f>
        <v>actAT_SITE</v>
      </c>
      <c r="F43" s="44">
        <f>COUNTIF(Tabelle7[EnuValue],Tabelle7[[#This Row],[EnuValue]])</f>
        <v>1</v>
      </c>
      <c r="G43" s="44" t="str">
        <f xml:space="preserve"> "  " &amp; Tabelle7[[#This Row],[EnuValue]] &amp; " = " &amp; Tabelle7[[#This Row],[Wert]]</f>
        <v xml:space="preserve">  actAT_SITE = 2</v>
      </c>
      <c r="H43" s="44" t="str">
        <f>"  If Wert = " &amp; Tabelle7[[#This Row],[EnuValue]] &amp; " then Res = ""." &amp; Tabelle7[[#This Row],[EnuRohValue]] &amp; "."""</f>
        <v xml:space="preserve">  If Wert = actAT_SITE then Res = ".SITE."</v>
      </c>
      <c r="I43" s="44" t="str">
        <f>"  If wert = ""." &amp; Tabelle7[[#This Row],[EnuRohValue]] &amp; "."" Then Res = " &amp; Tabelle7[[#This Row],[EnuValue]]</f>
        <v xml:space="preserve">  If wert = ".SITE." Then Res = actAT_SITE</v>
      </c>
    </row>
    <row r="44" spans="2:9" x14ac:dyDescent="0.25">
      <c r="B44" s="44">
        <v>3</v>
      </c>
      <c r="C44" s="45" t="s">
        <v>1506</v>
      </c>
      <c r="D44" s="44" t="s">
        <v>3725</v>
      </c>
      <c r="E44" s="44" t="str">
        <f>VLOOKUP(Tabelle7[[#This Row],[EnumName]],Enum[[IFC-Name]:[Präfix]],5,FALSE)&amp;Tabelle7[[#This Row],[EnuRohValue]]</f>
        <v>actAT_HOME</v>
      </c>
      <c r="F44" s="44">
        <f>COUNTIF(Tabelle7[EnuValue],Tabelle7[[#This Row],[EnuValue]])</f>
        <v>1</v>
      </c>
      <c r="G44" s="44" t="str">
        <f xml:space="preserve"> "  " &amp; Tabelle7[[#This Row],[EnuValue]] &amp; " = " &amp; Tabelle7[[#This Row],[Wert]]</f>
        <v xml:space="preserve">  actAT_HOME = 3</v>
      </c>
      <c r="H44" s="44" t="str">
        <f>"  If Wert = " &amp; Tabelle7[[#This Row],[EnuValue]] &amp; " then Res = ""." &amp; Tabelle7[[#This Row],[EnuRohValue]] &amp; "."""</f>
        <v xml:space="preserve">  If Wert = actAT_HOME then Res = ".HOME."</v>
      </c>
      <c r="I44" s="44" t="str">
        <f>"  If wert = ""." &amp; Tabelle7[[#This Row],[EnuRohValue]] &amp; "."" Then Res = " &amp; Tabelle7[[#This Row],[EnuValue]]</f>
        <v xml:space="preserve">  If wert = ".HOME." Then Res = actAT_HOME</v>
      </c>
    </row>
    <row r="45" spans="2:9" x14ac:dyDescent="0.25">
      <c r="B45" s="44">
        <v>4</v>
      </c>
      <c r="C45" s="45" t="s">
        <v>1506</v>
      </c>
      <c r="D45" s="44" t="s">
        <v>3726</v>
      </c>
      <c r="E45" s="44" t="str">
        <f>VLOOKUP(Tabelle7[[#This Row],[EnumName]],Enum[[IFC-Name]:[Präfix]],5,FALSE)&amp;Tabelle7[[#This Row],[EnuRohValue]]</f>
        <v>actAT_DISTRIBUTIONPOINT</v>
      </c>
      <c r="F45" s="44">
        <f>COUNTIF(Tabelle7[EnuValue],Tabelle7[[#This Row],[EnuValue]])</f>
        <v>1</v>
      </c>
      <c r="G45" s="44" t="str">
        <f xml:space="preserve"> "  " &amp; Tabelle7[[#This Row],[EnuValue]] &amp; " = " &amp; Tabelle7[[#This Row],[Wert]]</f>
        <v xml:space="preserve">  actAT_DISTRIBUTIONPOINT = 4</v>
      </c>
      <c r="H45" s="44" t="str">
        <f>"  If Wert = " &amp; Tabelle7[[#This Row],[EnuValue]] &amp; " then Res = ""." &amp; Tabelle7[[#This Row],[EnuRohValue]] &amp; "."""</f>
        <v xml:space="preserve">  If Wert = actAT_DISTRIBUTIONPOINT then Res = ".DISTRIBUTIONPOINT."</v>
      </c>
      <c r="I45" s="44" t="str">
        <f>"  If wert = ""." &amp; Tabelle7[[#This Row],[EnuRohValue]] &amp; "."" Then Res = " &amp; Tabelle7[[#This Row],[EnuValue]]</f>
        <v xml:space="preserve">  If wert = ".DISTRIBUTIONPOINT." Then Res = actAT_DISTRIBUTIONPOINT</v>
      </c>
    </row>
    <row r="46" spans="2:9" x14ac:dyDescent="0.25">
      <c r="B46" s="44">
        <v>5</v>
      </c>
      <c r="C46" s="45" t="s">
        <v>1506</v>
      </c>
      <c r="D46" s="44" t="s">
        <v>3682</v>
      </c>
      <c r="E46" s="44" t="str">
        <f>VLOOKUP(Tabelle7[[#This Row],[EnumName]],Enum[[IFC-Name]:[Präfix]],5,FALSE)&amp;Tabelle7[[#This Row],[EnuRohValue]]</f>
        <v>actAT_USERDEFINED</v>
      </c>
      <c r="F46" s="44">
        <f>COUNTIF(Tabelle7[EnuValue],Tabelle7[[#This Row],[EnuValue]])</f>
        <v>1</v>
      </c>
      <c r="G46" s="44" t="str">
        <f xml:space="preserve"> "  " &amp; Tabelle7[[#This Row],[EnuValue]] &amp; " = " &amp; Tabelle7[[#This Row],[Wert]]</f>
        <v xml:space="preserve">  actAT_USERDEFINED = 5</v>
      </c>
      <c r="H46" s="44" t="str">
        <f>"  If Wert = " &amp; Tabelle7[[#This Row],[EnuValue]] &amp; " then Res = ""." &amp; Tabelle7[[#This Row],[EnuRohValue]] &amp; "."""</f>
        <v xml:space="preserve">  If Wert = actAT_USERDEFINED then Res = ".USERDEFINED."</v>
      </c>
      <c r="I46" s="44" t="str">
        <f>"  If wert = ""." &amp; Tabelle7[[#This Row],[EnuRohValue]] &amp; "."" Then Res = " &amp; Tabelle7[[#This Row],[EnuValue]]</f>
        <v xml:space="preserve">  If wert = ".USERDEFINED." Then Res = actAT_USERDEFINED</v>
      </c>
    </row>
    <row r="47" spans="2:9" x14ac:dyDescent="0.25">
      <c r="B47" s="44">
        <v>1</v>
      </c>
      <c r="C47" s="45" t="s">
        <v>1507</v>
      </c>
      <c r="D47" s="44" t="s">
        <v>3727</v>
      </c>
      <c r="E47" s="44" t="str">
        <f>VLOOKUP(Tabelle7[[#This Row],[EnumName]],Enum[[IFC-Name]:[Präfix]],5,FALSE)&amp;Tabelle7[[#This Row],[EnuRohValue]]</f>
        <v>dttAOB_AHEAD</v>
      </c>
      <c r="F47" s="44">
        <f>COUNTIF(Tabelle7[EnuValue],Tabelle7[[#This Row],[EnuValue]])</f>
        <v>1</v>
      </c>
      <c r="G47" s="44" t="str">
        <f xml:space="preserve"> "  " &amp; Tabelle7[[#This Row],[EnuValue]] &amp; " = " &amp; Tabelle7[[#This Row],[Wert]]</f>
        <v xml:space="preserve">  dttAOB_AHEAD = 1</v>
      </c>
      <c r="H47" s="44" t="str">
        <f>"  If Wert = " &amp; Tabelle7[[#This Row],[EnuValue]] &amp; " then Res = ""." &amp; Tabelle7[[#This Row],[EnuRohValue]] &amp; "."""</f>
        <v xml:space="preserve">  If Wert = dttAOB_AHEAD then Res = ".AHEAD."</v>
      </c>
      <c r="I47" s="44" t="str">
        <f>"  If wert = ""." &amp; Tabelle7[[#This Row],[EnuRohValue]] &amp; "."" Then Res = " &amp; Tabelle7[[#This Row],[EnuValue]]</f>
        <v xml:space="preserve">  If wert = ".AHEAD." Then Res = dttAOB_AHEAD</v>
      </c>
    </row>
    <row r="48" spans="2:9" x14ac:dyDescent="0.25">
      <c r="B48" s="44">
        <v>2</v>
      </c>
      <c r="C48" s="45" t="s">
        <v>1507</v>
      </c>
      <c r="D48" s="44" t="s">
        <v>3689</v>
      </c>
      <c r="E48" s="44" t="str">
        <f>VLOOKUP(Tabelle7[[#This Row],[EnumName]],Enum[[IFC-Name]:[Präfix]],5,FALSE)&amp;Tabelle7[[#This Row],[EnuRohValue]]</f>
        <v>dttAOB_BEHIND</v>
      </c>
      <c r="F48" s="44">
        <f>COUNTIF(Tabelle7[EnuValue],Tabelle7[[#This Row],[EnuValue]])</f>
        <v>1</v>
      </c>
      <c r="G48" s="44" t="str">
        <f xml:space="preserve"> "  " &amp; Tabelle7[[#This Row],[EnuValue]] &amp; " = " &amp; Tabelle7[[#This Row],[Wert]]</f>
        <v xml:space="preserve">  dttAOB_BEHIND = 2</v>
      </c>
      <c r="H48" s="44" t="str">
        <f>"  If Wert = " &amp; Tabelle7[[#This Row],[EnuValue]] &amp; " then Res = ""." &amp; Tabelle7[[#This Row],[EnuRohValue]] &amp; "."""</f>
        <v xml:space="preserve">  If Wert = dttAOB_BEHIND then Res = ".BEHIND."</v>
      </c>
      <c r="I48" s="44" t="str">
        <f>"  If wert = ""." &amp; Tabelle7[[#This Row],[EnuRohValue]] &amp; "."" Then Res = " &amp; Tabelle7[[#This Row],[EnuValue]]</f>
        <v xml:space="preserve">  If wert = ".BEHIND." Then Res = dttAOB_BEHIND</v>
      </c>
    </row>
    <row r="49" spans="2:9" x14ac:dyDescent="0.25">
      <c r="B49" s="44">
        <v>1</v>
      </c>
      <c r="C49" s="45" t="s">
        <v>1508</v>
      </c>
      <c r="D49" s="44" t="s">
        <v>3728</v>
      </c>
      <c r="E49" s="44" t="str">
        <f>VLOOKUP(Tabelle7[[#This Row],[EnumName]],Enum[[IFC-Name]:[Präfix]],5,FALSE)&amp;Tabelle7[[#This Row],[EnuRohValue]]</f>
        <v>hvacATBT_CONSTANTFLOW</v>
      </c>
      <c r="F49" s="44">
        <f>COUNTIF(Tabelle7[EnuValue],Tabelle7[[#This Row],[EnuValue]])</f>
        <v>1</v>
      </c>
      <c r="G49" s="44" t="str">
        <f xml:space="preserve"> "  " &amp; Tabelle7[[#This Row],[EnuValue]] &amp; " = " &amp; Tabelle7[[#This Row],[Wert]]</f>
        <v xml:space="preserve">  hvacATBT_CONSTANTFLOW = 1</v>
      </c>
      <c r="H49" s="44" t="str">
        <f>"  If Wert = " &amp; Tabelle7[[#This Row],[EnuValue]] &amp; " then Res = ""." &amp; Tabelle7[[#This Row],[EnuRohValue]] &amp; "."""</f>
        <v xml:space="preserve">  If Wert = hvacATBT_CONSTANTFLOW then Res = ".CONSTANTFLOW."</v>
      </c>
      <c r="I49" s="44" t="str">
        <f>"  If wert = ""." &amp; Tabelle7[[#This Row],[EnuRohValue]] &amp; "."" Then Res = " &amp; Tabelle7[[#This Row],[EnuValue]]</f>
        <v xml:space="preserve">  If wert = ".CONSTANTFLOW." Then Res = hvacATBT_CONSTANTFLOW</v>
      </c>
    </row>
    <row r="50" spans="2:9" x14ac:dyDescent="0.25">
      <c r="B50" s="44">
        <v>2</v>
      </c>
      <c r="C50" s="45" t="s">
        <v>1508</v>
      </c>
      <c r="D50" s="44" t="s">
        <v>3729</v>
      </c>
      <c r="E50" s="44" t="str">
        <f>VLOOKUP(Tabelle7[[#This Row],[EnumName]],Enum[[IFC-Name]:[Präfix]],5,FALSE)&amp;Tabelle7[[#This Row],[EnuRohValue]]</f>
        <v>hvacATBT_VARIABLEFLOWPRESSUREDEPENDANT</v>
      </c>
      <c r="F50" s="44">
        <f>COUNTIF(Tabelle7[EnuValue],Tabelle7[[#This Row],[EnuValue]])</f>
        <v>1</v>
      </c>
      <c r="G50" s="44" t="str">
        <f xml:space="preserve"> "  " &amp; Tabelle7[[#This Row],[EnuValue]] &amp; " = " &amp; Tabelle7[[#This Row],[Wert]]</f>
        <v xml:space="preserve">  hvacATBT_VARIABLEFLOWPRESSUREDEPENDANT = 2</v>
      </c>
      <c r="H50" s="44" t="str">
        <f>"  If Wert = " &amp; Tabelle7[[#This Row],[EnuValue]] &amp; " then Res = ""." &amp; Tabelle7[[#This Row],[EnuRohValue]] &amp; "."""</f>
        <v xml:space="preserve">  If Wert = hvacATBT_VARIABLEFLOWPRESSUREDEPENDANT then Res = ".VARIABLEFLOWPRESSUREDEPENDANT."</v>
      </c>
      <c r="I50" s="44" t="str">
        <f>"  If wert = ""." &amp; Tabelle7[[#This Row],[EnuRohValue]] &amp; "."" Then Res = " &amp; Tabelle7[[#This Row],[EnuValue]]</f>
        <v xml:space="preserve">  If wert = ".VARIABLEFLOWPRESSUREDEPENDANT." Then Res = hvacATBT_VARIABLEFLOWPRESSUREDEPENDANT</v>
      </c>
    </row>
    <row r="51" spans="2:9" x14ac:dyDescent="0.25">
      <c r="B51" s="44">
        <v>3</v>
      </c>
      <c r="C51" s="45" t="s">
        <v>1508</v>
      </c>
      <c r="D51" s="44" t="s">
        <v>3730</v>
      </c>
      <c r="E51" s="44" t="str">
        <f>VLOOKUP(Tabelle7[[#This Row],[EnumName]],Enum[[IFC-Name]:[Präfix]],5,FALSE)&amp;Tabelle7[[#This Row],[EnuRohValue]]</f>
        <v>hvacATBT_VARIABLEFLOWPRESSUREINDEPENDANT</v>
      </c>
      <c r="F51" s="44">
        <f>COUNTIF(Tabelle7[EnuValue],Tabelle7[[#This Row],[EnuValue]])</f>
        <v>1</v>
      </c>
      <c r="G51" s="44" t="str">
        <f xml:space="preserve"> "  " &amp; Tabelle7[[#This Row],[EnuValue]] &amp; " = " &amp; Tabelle7[[#This Row],[Wert]]</f>
        <v xml:space="preserve">  hvacATBT_VARIABLEFLOWPRESSUREINDEPENDANT = 3</v>
      </c>
      <c r="H51" s="44" t="str">
        <f>"  If Wert = " &amp; Tabelle7[[#This Row],[EnuValue]] &amp; " then Res = ""." &amp; Tabelle7[[#This Row],[EnuRohValue]] &amp; "."""</f>
        <v xml:space="preserve">  If Wert = hvacATBT_VARIABLEFLOWPRESSUREINDEPENDANT then Res = ".VARIABLEFLOWPRESSUREINDEPENDANT."</v>
      </c>
      <c r="I51" s="44" t="str">
        <f>"  If wert = ""." &amp; Tabelle7[[#This Row],[EnuRohValue]] &amp; "."" Then Res = " &amp; Tabelle7[[#This Row],[EnuValue]]</f>
        <v xml:space="preserve">  If wert = ".VARIABLEFLOWPRESSUREINDEPENDANT." Then Res = hvacATBT_VARIABLEFLOWPRESSUREINDEPENDANT</v>
      </c>
    </row>
    <row r="52" spans="2:9" x14ac:dyDescent="0.25">
      <c r="B52" s="44">
        <v>4</v>
      </c>
      <c r="C52" s="45" t="s">
        <v>1508</v>
      </c>
      <c r="D52" s="44" t="s">
        <v>3682</v>
      </c>
      <c r="E52" s="44" t="str">
        <f>VLOOKUP(Tabelle7[[#This Row],[EnumName]],Enum[[IFC-Name]:[Präfix]],5,FALSE)&amp;Tabelle7[[#This Row],[EnuRohValue]]</f>
        <v>hvacATBT_USERDEFINED</v>
      </c>
      <c r="F52" s="44">
        <f>COUNTIF(Tabelle7[EnuValue],Tabelle7[[#This Row],[EnuValue]])</f>
        <v>1</v>
      </c>
      <c r="G52" s="44" t="str">
        <f xml:space="preserve"> "  " &amp; Tabelle7[[#This Row],[EnuValue]] &amp; " = " &amp; Tabelle7[[#This Row],[Wert]]</f>
        <v xml:space="preserve">  hvacATBT_USERDEFINED = 4</v>
      </c>
      <c r="H52" s="44" t="str">
        <f>"  If Wert = " &amp; Tabelle7[[#This Row],[EnuValue]] &amp; " then Res = ""." &amp; Tabelle7[[#This Row],[EnuRohValue]] &amp; "."""</f>
        <v xml:space="preserve">  If Wert = hvacATBT_USERDEFINED then Res = ".USERDEFINED."</v>
      </c>
      <c r="I52" s="44" t="str">
        <f>"  If wert = ""." &amp; Tabelle7[[#This Row],[EnuRohValue]] &amp; "."" Then Res = " &amp; Tabelle7[[#This Row],[EnuValue]]</f>
        <v xml:space="preserve">  If wert = ".USERDEFINED." Then Res = hvacATBT_USERDEFINED</v>
      </c>
    </row>
    <row r="53" spans="2:9" x14ac:dyDescent="0.25">
      <c r="B53" s="44">
        <v>5</v>
      </c>
      <c r="C53" s="45" t="s">
        <v>1508</v>
      </c>
      <c r="D53" s="44" t="s">
        <v>3683</v>
      </c>
      <c r="E53" s="44" t="str">
        <f>VLOOKUP(Tabelle7[[#This Row],[EnumName]],Enum[[IFC-Name]:[Präfix]],5,FALSE)&amp;Tabelle7[[#This Row],[EnuRohValue]]</f>
        <v>hvacATBT_NOTDEFINED</v>
      </c>
      <c r="F53" s="44">
        <f>COUNTIF(Tabelle7[EnuValue],Tabelle7[[#This Row],[EnuValue]])</f>
        <v>1</v>
      </c>
      <c r="G53" s="44" t="str">
        <f xml:space="preserve"> "  " &amp; Tabelle7[[#This Row],[EnuValue]] &amp; " = " &amp; Tabelle7[[#This Row],[Wert]]</f>
        <v xml:space="preserve">  hvacATBT_NOTDEFINED = 5</v>
      </c>
      <c r="H53" s="44" t="str">
        <f>"  If Wert = " &amp; Tabelle7[[#This Row],[EnuValue]] &amp; " then Res = ""." &amp; Tabelle7[[#This Row],[EnuRohValue]] &amp; "."""</f>
        <v xml:space="preserve">  If Wert = hvacATBT_NOTDEFINED then Res = ".NOTDEFINED."</v>
      </c>
      <c r="I53" s="44" t="str">
        <f>"  If wert = ""." &amp; Tabelle7[[#This Row],[EnuRohValue]] &amp; "."" Then Res = " &amp; Tabelle7[[#This Row],[EnuValue]]</f>
        <v xml:space="preserve">  If wert = ".NOTDEFINED." Then Res = hvacATBT_NOTDEFINED</v>
      </c>
    </row>
    <row r="54" spans="2:9" x14ac:dyDescent="0.25">
      <c r="B54" s="44">
        <v>1</v>
      </c>
      <c r="C54" s="45" t="s">
        <v>1509</v>
      </c>
      <c r="D54" s="44" t="s">
        <v>3731</v>
      </c>
      <c r="E54" s="44" t="str">
        <f>VLOOKUP(Tabelle7[[#This Row],[EnumName]],Enum[[IFC-Name]:[Präfix]],5,FALSE)&amp;Tabelle7[[#This Row],[EnuRohValue]]</f>
        <v>hvacATT_GRILLE</v>
      </c>
      <c r="F54" s="44">
        <f>COUNTIF(Tabelle7[EnuValue],Tabelle7[[#This Row],[EnuValue]])</f>
        <v>1</v>
      </c>
      <c r="G54" s="44" t="str">
        <f xml:space="preserve"> "  " &amp; Tabelle7[[#This Row],[EnuValue]] &amp; " = " &amp; Tabelle7[[#This Row],[Wert]]</f>
        <v xml:space="preserve">  hvacATT_GRILLE = 1</v>
      </c>
      <c r="H54" s="44" t="str">
        <f>"  If Wert = " &amp; Tabelle7[[#This Row],[EnuValue]] &amp; " then Res = ""." &amp; Tabelle7[[#This Row],[EnuRohValue]] &amp; "."""</f>
        <v xml:space="preserve">  If Wert = hvacATT_GRILLE then Res = ".GRILLE."</v>
      </c>
      <c r="I54" s="44" t="str">
        <f>"  If wert = ""." &amp; Tabelle7[[#This Row],[EnuRohValue]] &amp; "."" Then Res = " &amp; Tabelle7[[#This Row],[EnuValue]]</f>
        <v xml:space="preserve">  If wert = ".GRILLE." Then Res = hvacATT_GRILLE</v>
      </c>
    </row>
    <row r="55" spans="2:9" x14ac:dyDescent="0.25">
      <c r="B55" s="44">
        <v>2</v>
      </c>
      <c r="C55" s="45" t="s">
        <v>1509</v>
      </c>
      <c r="D55" s="44" t="s">
        <v>3732</v>
      </c>
      <c r="E55" s="44" t="str">
        <f>VLOOKUP(Tabelle7[[#This Row],[EnumName]],Enum[[IFC-Name]:[Präfix]],5,FALSE)&amp;Tabelle7[[#This Row],[EnuRohValue]]</f>
        <v>hvacATT_REGISTER</v>
      </c>
      <c r="F55" s="44">
        <f>COUNTIF(Tabelle7[EnuValue],Tabelle7[[#This Row],[EnuValue]])</f>
        <v>1</v>
      </c>
      <c r="G55" s="44" t="str">
        <f xml:space="preserve"> "  " &amp; Tabelle7[[#This Row],[EnuValue]] &amp; " = " &amp; Tabelle7[[#This Row],[Wert]]</f>
        <v xml:space="preserve">  hvacATT_REGISTER = 2</v>
      </c>
      <c r="H55" s="44" t="str">
        <f>"  If Wert = " &amp; Tabelle7[[#This Row],[EnuValue]] &amp; " then Res = ""." &amp; Tabelle7[[#This Row],[EnuRohValue]] &amp; "."""</f>
        <v xml:space="preserve">  If Wert = hvacATT_REGISTER then Res = ".REGISTER."</v>
      </c>
      <c r="I55" s="44" t="str">
        <f>"  If wert = ""." &amp; Tabelle7[[#This Row],[EnuRohValue]] &amp; "."" Then Res = " &amp; Tabelle7[[#This Row],[EnuValue]]</f>
        <v xml:space="preserve">  If wert = ".REGISTER." Then Res = hvacATT_REGISTER</v>
      </c>
    </row>
    <row r="56" spans="2:9" x14ac:dyDescent="0.25">
      <c r="B56" s="44">
        <v>3</v>
      </c>
      <c r="C56" s="45" t="s">
        <v>1509</v>
      </c>
      <c r="D56" s="44" t="s">
        <v>3733</v>
      </c>
      <c r="E56" s="44" t="str">
        <f>VLOOKUP(Tabelle7[[#This Row],[EnumName]],Enum[[IFC-Name]:[Präfix]],5,FALSE)&amp;Tabelle7[[#This Row],[EnuRohValue]]</f>
        <v>hvacATT_DIFFUSER</v>
      </c>
      <c r="F56" s="44">
        <f>COUNTIF(Tabelle7[EnuValue],Tabelle7[[#This Row],[EnuValue]])</f>
        <v>1</v>
      </c>
      <c r="G56" s="44" t="str">
        <f xml:space="preserve"> "  " &amp; Tabelle7[[#This Row],[EnuValue]] &amp; " = " &amp; Tabelle7[[#This Row],[Wert]]</f>
        <v xml:space="preserve">  hvacATT_DIFFUSER = 3</v>
      </c>
      <c r="H56" s="44" t="str">
        <f>"  If Wert = " &amp; Tabelle7[[#This Row],[EnuValue]] &amp; " then Res = ""." &amp; Tabelle7[[#This Row],[EnuRohValue]] &amp; "."""</f>
        <v xml:space="preserve">  If Wert = hvacATT_DIFFUSER then Res = ".DIFFUSER."</v>
      </c>
      <c r="I56" s="44" t="str">
        <f>"  If wert = ""." &amp; Tabelle7[[#This Row],[EnuRohValue]] &amp; "."" Then Res = " &amp; Tabelle7[[#This Row],[EnuValue]]</f>
        <v xml:space="preserve">  If wert = ".DIFFUSER." Then Res = hvacATT_DIFFUSER</v>
      </c>
    </row>
    <row r="57" spans="2:9" x14ac:dyDescent="0.25">
      <c r="B57" s="44">
        <v>4</v>
      </c>
      <c r="C57" s="45" t="s">
        <v>1509</v>
      </c>
      <c r="D57" s="44" t="s">
        <v>3734</v>
      </c>
      <c r="E57" s="44" t="str">
        <f>VLOOKUP(Tabelle7[[#This Row],[EnumName]],Enum[[IFC-Name]:[Präfix]],5,FALSE)&amp;Tabelle7[[#This Row],[EnuRohValue]]</f>
        <v>hvacATT_EYEBALL</v>
      </c>
      <c r="F57" s="44">
        <f>COUNTIF(Tabelle7[EnuValue],Tabelle7[[#This Row],[EnuValue]])</f>
        <v>1</v>
      </c>
      <c r="G57" s="44" t="str">
        <f xml:space="preserve"> "  " &amp; Tabelle7[[#This Row],[EnuValue]] &amp; " = " &amp; Tabelle7[[#This Row],[Wert]]</f>
        <v xml:space="preserve">  hvacATT_EYEBALL = 4</v>
      </c>
      <c r="H57" s="44" t="str">
        <f>"  If Wert = " &amp; Tabelle7[[#This Row],[EnuValue]] &amp; " then Res = ""." &amp; Tabelle7[[#This Row],[EnuRohValue]] &amp; "."""</f>
        <v xml:space="preserve">  If Wert = hvacATT_EYEBALL then Res = ".EYEBALL."</v>
      </c>
      <c r="I57" s="44" t="str">
        <f>"  If wert = ""." &amp; Tabelle7[[#This Row],[EnuRohValue]] &amp; "."" Then Res = " &amp; Tabelle7[[#This Row],[EnuValue]]</f>
        <v xml:space="preserve">  If wert = ".EYEBALL." Then Res = hvacATT_EYEBALL</v>
      </c>
    </row>
    <row r="58" spans="2:9" x14ac:dyDescent="0.25">
      <c r="B58" s="44">
        <v>5</v>
      </c>
      <c r="C58" s="45" t="s">
        <v>1509</v>
      </c>
      <c r="D58" s="44" t="s">
        <v>3735</v>
      </c>
      <c r="E58" s="44" t="str">
        <f>VLOOKUP(Tabelle7[[#This Row],[EnumName]],Enum[[IFC-Name]:[Präfix]],5,FALSE)&amp;Tabelle7[[#This Row],[EnuRohValue]]</f>
        <v>hvacATT_IRIS</v>
      </c>
      <c r="F58" s="44">
        <f>COUNTIF(Tabelle7[EnuValue],Tabelle7[[#This Row],[EnuValue]])</f>
        <v>1</v>
      </c>
      <c r="G58" s="44" t="str">
        <f xml:space="preserve"> "  " &amp; Tabelle7[[#This Row],[EnuValue]] &amp; " = " &amp; Tabelle7[[#This Row],[Wert]]</f>
        <v xml:space="preserve">  hvacATT_IRIS = 5</v>
      </c>
      <c r="H58" s="44" t="str">
        <f>"  If Wert = " &amp; Tabelle7[[#This Row],[EnuValue]] &amp; " then Res = ""." &amp; Tabelle7[[#This Row],[EnuRohValue]] &amp; "."""</f>
        <v xml:space="preserve">  If Wert = hvacATT_IRIS then Res = ".IRIS."</v>
      </c>
      <c r="I58" s="44" t="str">
        <f>"  If wert = ""." &amp; Tabelle7[[#This Row],[EnuRohValue]] &amp; "."" Then Res = " &amp; Tabelle7[[#This Row],[EnuValue]]</f>
        <v xml:space="preserve">  If wert = ".IRIS." Then Res = hvacATT_IRIS</v>
      </c>
    </row>
    <row r="59" spans="2:9" x14ac:dyDescent="0.25">
      <c r="B59" s="44">
        <v>6</v>
      </c>
      <c r="C59" s="45" t="s">
        <v>1509</v>
      </c>
      <c r="D59" s="44" t="s">
        <v>3736</v>
      </c>
      <c r="E59" s="44" t="str">
        <f>VLOOKUP(Tabelle7[[#This Row],[EnumName]],Enum[[IFC-Name]:[Präfix]],5,FALSE)&amp;Tabelle7[[#This Row],[EnuRohValue]]</f>
        <v>hvacATT_LINEARGRILLE</v>
      </c>
      <c r="F59" s="44">
        <f>COUNTIF(Tabelle7[EnuValue],Tabelle7[[#This Row],[EnuValue]])</f>
        <v>1</v>
      </c>
      <c r="G59" s="44" t="str">
        <f xml:space="preserve"> "  " &amp; Tabelle7[[#This Row],[EnuValue]] &amp; " = " &amp; Tabelle7[[#This Row],[Wert]]</f>
        <v xml:space="preserve">  hvacATT_LINEARGRILLE = 6</v>
      </c>
      <c r="H59" s="44" t="str">
        <f>"  If Wert = " &amp; Tabelle7[[#This Row],[EnuValue]] &amp; " then Res = ""." &amp; Tabelle7[[#This Row],[EnuRohValue]] &amp; "."""</f>
        <v xml:space="preserve">  If Wert = hvacATT_LINEARGRILLE then Res = ".LINEARGRILLE."</v>
      </c>
      <c r="I59" s="44" t="str">
        <f>"  If wert = ""." &amp; Tabelle7[[#This Row],[EnuRohValue]] &amp; "."" Then Res = " &amp; Tabelle7[[#This Row],[EnuValue]]</f>
        <v xml:space="preserve">  If wert = ".LINEARGRILLE." Then Res = hvacATT_LINEARGRILLE</v>
      </c>
    </row>
    <row r="60" spans="2:9" x14ac:dyDescent="0.25">
      <c r="B60" s="44">
        <v>7</v>
      </c>
      <c r="C60" s="45" t="s">
        <v>1509</v>
      </c>
      <c r="D60" s="44" t="s">
        <v>3737</v>
      </c>
      <c r="E60" s="44" t="str">
        <f>VLOOKUP(Tabelle7[[#This Row],[EnumName]],Enum[[IFC-Name]:[Präfix]],5,FALSE)&amp;Tabelle7[[#This Row],[EnuRohValue]]</f>
        <v>hvacATT_LINEARDIFFUSER</v>
      </c>
      <c r="F60" s="44">
        <f>COUNTIF(Tabelle7[EnuValue],Tabelle7[[#This Row],[EnuValue]])</f>
        <v>1</v>
      </c>
      <c r="G60" s="44" t="str">
        <f xml:space="preserve"> "  " &amp; Tabelle7[[#This Row],[EnuValue]] &amp; " = " &amp; Tabelle7[[#This Row],[Wert]]</f>
        <v xml:space="preserve">  hvacATT_LINEARDIFFUSER = 7</v>
      </c>
      <c r="H60" s="44" t="str">
        <f>"  If Wert = " &amp; Tabelle7[[#This Row],[EnuValue]] &amp; " then Res = ""." &amp; Tabelle7[[#This Row],[EnuRohValue]] &amp; "."""</f>
        <v xml:space="preserve">  If Wert = hvacATT_LINEARDIFFUSER then Res = ".LINEARDIFFUSER."</v>
      </c>
      <c r="I60" s="44" t="str">
        <f>"  If wert = ""." &amp; Tabelle7[[#This Row],[EnuRohValue]] &amp; "."" Then Res = " &amp; Tabelle7[[#This Row],[EnuValue]]</f>
        <v xml:space="preserve">  If wert = ".LINEARDIFFUSER." Then Res = hvacATT_LINEARDIFFUSER</v>
      </c>
    </row>
    <row r="61" spans="2:9" x14ac:dyDescent="0.25">
      <c r="B61" s="44">
        <v>8</v>
      </c>
      <c r="C61" s="45" t="s">
        <v>1509</v>
      </c>
      <c r="D61" s="44" t="s">
        <v>3682</v>
      </c>
      <c r="E61" s="44" t="str">
        <f>VLOOKUP(Tabelle7[[#This Row],[EnumName]],Enum[[IFC-Name]:[Präfix]],5,FALSE)&amp;Tabelle7[[#This Row],[EnuRohValue]]</f>
        <v>hvacATT_USERDEFINED</v>
      </c>
      <c r="F61" s="44">
        <f>COUNTIF(Tabelle7[EnuValue],Tabelle7[[#This Row],[EnuValue]])</f>
        <v>1</v>
      </c>
      <c r="G61" s="44" t="str">
        <f xml:space="preserve"> "  " &amp; Tabelle7[[#This Row],[EnuValue]] &amp; " = " &amp; Tabelle7[[#This Row],[Wert]]</f>
        <v xml:space="preserve">  hvacATT_USERDEFINED = 8</v>
      </c>
      <c r="H61" s="44" t="str">
        <f>"  If Wert = " &amp; Tabelle7[[#This Row],[EnuValue]] &amp; " then Res = ""." &amp; Tabelle7[[#This Row],[EnuRohValue]] &amp; "."""</f>
        <v xml:space="preserve">  If Wert = hvacATT_USERDEFINED then Res = ".USERDEFINED."</v>
      </c>
      <c r="I61" s="44" t="str">
        <f>"  If wert = ""." &amp; Tabelle7[[#This Row],[EnuRohValue]] &amp; "."" Then Res = " &amp; Tabelle7[[#This Row],[EnuValue]]</f>
        <v xml:space="preserve">  If wert = ".USERDEFINED." Then Res = hvacATT_USERDEFINED</v>
      </c>
    </row>
    <row r="62" spans="2:9" x14ac:dyDescent="0.25">
      <c r="B62" s="44">
        <v>9</v>
      </c>
      <c r="C62" s="45" t="s">
        <v>1509</v>
      </c>
      <c r="D62" s="44" t="s">
        <v>3683</v>
      </c>
      <c r="E62" s="44" t="str">
        <f>VLOOKUP(Tabelle7[[#This Row],[EnumName]],Enum[[IFC-Name]:[Präfix]],5,FALSE)&amp;Tabelle7[[#This Row],[EnuRohValue]]</f>
        <v>hvacATT_NOTDEFINED</v>
      </c>
      <c r="F62" s="44">
        <f>COUNTIF(Tabelle7[EnuValue],Tabelle7[[#This Row],[EnuValue]])</f>
        <v>1</v>
      </c>
      <c r="G62" s="44" t="str">
        <f xml:space="preserve"> "  " &amp; Tabelle7[[#This Row],[EnuValue]] &amp; " = " &amp; Tabelle7[[#This Row],[Wert]]</f>
        <v xml:space="preserve">  hvacATT_NOTDEFINED = 9</v>
      </c>
      <c r="H62" s="44" t="str">
        <f>"  If Wert = " &amp; Tabelle7[[#This Row],[EnuValue]] &amp; " then Res = ""." &amp; Tabelle7[[#This Row],[EnuRohValue]] &amp; "."""</f>
        <v xml:space="preserve">  If Wert = hvacATT_NOTDEFINED then Res = ".NOTDEFINED."</v>
      </c>
      <c r="I62" s="44" t="str">
        <f>"  If wert = ""." &amp; Tabelle7[[#This Row],[EnuRohValue]] &amp; "."" Then Res = " &amp; Tabelle7[[#This Row],[EnuValue]]</f>
        <v xml:space="preserve">  If wert = ".NOTDEFINED." Then Res = hvacATT_NOTDEFINED</v>
      </c>
    </row>
    <row r="63" spans="2:9" x14ac:dyDescent="0.25">
      <c r="B63" s="44">
        <v>1</v>
      </c>
      <c r="C63" s="45" t="s">
        <v>1510</v>
      </c>
      <c r="D63" s="44" t="s">
        <v>3738</v>
      </c>
      <c r="E63" s="44" t="str">
        <f>VLOOKUP(Tabelle7[[#This Row],[EnumName]],Enum[[IFC-Name]:[Präfix]],5,FALSE)&amp;Tabelle7[[#This Row],[EnuRohValue]]</f>
        <v>hvacATART_FIXEDPLATECOUNTERFLOWEXCHANGER</v>
      </c>
      <c r="F63" s="44">
        <f>COUNTIF(Tabelle7[EnuValue],Tabelle7[[#This Row],[EnuValue]])</f>
        <v>1</v>
      </c>
      <c r="G63" s="44" t="str">
        <f xml:space="preserve"> "  " &amp; Tabelle7[[#This Row],[EnuValue]] &amp; " = " &amp; Tabelle7[[#This Row],[Wert]]</f>
        <v xml:space="preserve">  hvacATART_FIXEDPLATECOUNTERFLOWEXCHANGER = 1</v>
      </c>
      <c r="H63" s="44" t="str">
        <f>"  If Wert = " &amp; Tabelle7[[#This Row],[EnuValue]] &amp; " then Res = ""." &amp; Tabelle7[[#This Row],[EnuRohValue]] &amp; "."""</f>
        <v xml:space="preserve">  If Wert = hvacATART_FIXEDPLATECOUNTERFLOWEXCHANGER then Res = ".FIXEDPLATECOUNTERFLOWEXCHANGER."</v>
      </c>
      <c r="I63" s="44" t="str">
        <f>"  If wert = ""." &amp; Tabelle7[[#This Row],[EnuRohValue]] &amp; "."" Then Res = " &amp; Tabelle7[[#This Row],[EnuValue]]</f>
        <v xml:space="preserve">  If wert = ".FIXEDPLATECOUNTERFLOWEXCHANGER." Then Res = hvacATART_FIXEDPLATECOUNTERFLOWEXCHANGER</v>
      </c>
    </row>
    <row r="64" spans="2:9" x14ac:dyDescent="0.25">
      <c r="B64" s="44">
        <v>2</v>
      </c>
      <c r="C64" s="45" t="s">
        <v>1510</v>
      </c>
      <c r="D64" s="44" t="s">
        <v>3739</v>
      </c>
      <c r="E64" s="44" t="str">
        <f>VLOOKUP(Tabelle7[[#This Row],[EnumName]],Enum[[IFC-Name]:[Präfix]],5,FALSE)&amp;Tabelle7[[#This Row],[EnuRohValue]]</f>
        <v>hvacATART_FIXEDPLATECROSSFLOWEXCHANGER</v>
      </c>
      <c r="F64" s="44">
        <f>COUNTIF(Tabelle7[EnuValue],Tabelle7[[#This Row],[EnuValue]])</f>
        <v>1</v>
      </c>
      <c r="G64" s="44" t="str">
        <f xml:space="preserve"> "  " &amp; Tabelle7[[#This Row],[EnuValue]] &amp; " = " &amp; Tabelle7[[#This Row],[Wert]]</f>
        <v xml:space="preserve">  hvacATART_FIXEDPLATECROSSFLOWEXCHANGER = 2</v>
      </c>
      <c r="H64" s="44" t="str">
        <f>"  If Wert = " &amp; Tabelle7[[#This Row],[EnuValue]] &amp; " then Res = ""." &amp; Tabelle7[[#This Row],[EnuRohValue]] &amp; "."""</f>
        <v xml:space="preserve">  If Wert = hvacATART_FIXEDPLATECROSSFLOWEXCHANGER then Res = ".FIXEDPLATECROSSFLOWEXCHANGER."</v>
      </c>
      <c r="I64" s="44" t="str">
        <f>"  If wert = ""." &amp; Tabelle7[[#This Row],[EnuRohValue]] &amp; "."" Then Res = " &amp; Tabelle7[[#This Row],[EnuValue]]</f>
        <v xml:space="preserve">  If wert = ".FIXEDPLATECROSSFLOWEXCHANGER." Then Res = hvacATART_FIXEDPLATECROSSFLOWEXCHANGER</v>
      </c>
    </row>
    <row r="65" spans="2:9" x14ac:dyDescent="0.25">
      <c r="B65" s="44">
        <v>3</v>
      </c>
      <c r="C65" s="45" t="s">
        <v>1510</v>
      </c>
      <c r="D65" s="44" t="s">
        <v>3740</v>
      </c>
      <c r="E65" s="44" t="str">
        <f>VLOOKUP(Tabelle7[[#This Row],[EnumName]],Enum[[IFC-Name]:[Präfix]],5,FALSE)&amp;Tabelle7[[#This Row],[EnuRohValue]]</f>
        <v>hvacATART_FIXEDPLATEPARALLELFLOWEXCHANGER</v>
      </c>
      <c r="F65" s="44">
        <f>COUNTIF(Tabelle7[EnuValue],Tabelle7[[#This Row],[EnuValue]])</f>
        <v>1</v>
      </c>
      <c r="G65" s="44" t="str">
        <f xml:space="preserve"> "  " &amp; Tabelle7[[#This Row],[EnuValue]] &amp; " = " &amp; Tabelle7[[#This Row],[Wert]]</f>
        <v xml:space="preserve">  hvacATART_FIXEDPLATEPARALLELFLOWEXCHANGER = 3</v>
      </c>
      <c r="H65" s="44" t="str">
        <f>"  If Wert = " &amp; Tabelle7[[#This Row],[EnuValue]] &amp; " then Res = ""." &amp; Tabelle7[[#This Row],[EnuRohValue]] &amp; "."""</f>
        <v xml:space="preserve">  If Wert = hvacATART_FIXEDPLATEPARALLELFLOWEXCHANGER then Res = ".FIXEDPLATEPARALLELFLOWEXCHANGER."</v>
      </c>
      <c r="I65" s="44" t="str">
        <f>"  If wert = ""." &amp; Tabelle7[[#This Row],[EnuRohValue]] &amp; "."" Then Res = " &amp; Tabelle7[[#This Row],[EnuValue]]</f>
        <v xml:space="preserve">  If wert = ".FIXEDPLATEPARALLELFLOWEXCHANGER." Then Res = hvacATART_FIXEDPLATEPARALLELFLOWEXCHANGER</v>
      </c>
    </row>
    <row r="66" spans="2:9" x14ac:dyDescent="0.25">
      <c r="B66" s="44">
        <v>4</v>
      </c>
      <c r="C66" s="45" t="s">
        <v>1510</v>
      </c>
      <c r="D66" s="44" t="s">
        <v>3741</v>
      </c>
      <c r="E66" s="44" t="str">
        <f>VLOOKUP(Tabelle7[[#This Row],[EnumName]],Enum[[IFC-Name]:[Präfix]],5,FALSE)&amp;Tabelle7[[#This Row],[EnuRohValue]]</f>
        <v>hvacATART_ROTARYWHEEL</v>
      </c>
      <c r="F66" s="44">
        <f>COUNTIF(Tabelle7[EnuValue],Tabelle7[[#This Row],[EnuValue]])</f>
        <v>1</v>
      </c>
      <c r="G66" s="44" t="str">
        <f xml:space="preserve"> "  " &amp; Tabelle7[[#This Row],[EnuValue]] &amp; " = " &amp; Tabelle7[[#This Row],[Wert]]</f>
        <v xml:space="preserve">  hvacATART_ROTARYWHEEL = 4</v>
      </c>
      <c r="H66" s="44" t="str">
        <f>"  If Wert = " &amp; Tabelle7[[#This Row],[EnuValue]] &amp; " then Res = ""." &amp; Tabelle7[[#This Row],[EnuRohValue]] &amp; "."""</f>
        <v xml:space="preserve">  If Wert = hvacATART_ROTARYWHEEL then Res = ".ROTARYWHEEL."</v>
      </c>
      <c r="I66" s="44" t="str">
        <f>"  If wert = ""." &amp; Tabelle7[[#This Row],[EnuRohValue]] &amp; "."" Then Res = " &amp; Tabelle7[[#This Row],[EnuValue]]</f>
        <v xml:space="preserve">  If wert = ".ROTARYWHEEL." Then Res = hvacATART_ROTARYWHEEL</v>
      </c>
    </row>
    <row r="67" spans="2:9" x14ac:dyDescent="0.25">
      <c r="B67" s="44">
        <v>5</v>
      </c>
      <c r="C67" s="45" t="s">
        <v>1510</v>
      </c>
      <c r="D67" s="44" t="s">
        <v>3742</v>
      </c>
      <c r="E67" s="44" t="str">
        <f>VLOOKUP(Tabelle7[[#This Row],[EnumName]],Enum[[IFC-Name]:[Präfix]],5,FALSE)&amp;Tabelle7[[#This Row],[EnuRohValue]]</f>
        <v>hvacATART_RUNAROUNDCOILLOOP</v>
      </c>
      <c r="F67" s="44">
        <f>COUNTIF(Tabelle7[EnuValue],Tabelle7[[#This Row],[EnuValue]])</f>
        <v>1</v>
      </c>
      <c r="G67" s="44" t="str">
        <f xml:space="preserve"> "  " &amp; Tabelle7[[#This Row],[EnuValue]] &amp; " = " &amp; Tabelle7[[#This Row],[Wert]]</f>
        <v xml:space="preserve">  hvacATART_RUNAROUNDCOILLOOP = 5</v>
      </c>
      <c r="H67" s="44" t="str">
        <f>"  If Wert = " &amp; Tabelle7[[#This Row],[EnuValue]] &amp; " then Res = ""." &amp; Tabelle7[[#This Row],[EnuRohValue]] &amp; "."""</f>
        <v xml:space="preserve">  If Wert = hvacATART_RUNAROUNDCOILLOOP then Res = ".RUNAROUNDCOILLOOP."</v>
      </c>
      <c r="I67" s="44" t="str">
        <f>"  If wert = ""." &amp; Tabelle7[[#This Row],[EnuRohValue]] &amp; "."" Then Res = " &amp; Tabelle7[[#This Row],[EnuValue]]</f>
        <v xml:space="preserve">  If wert = ".RUNAROUNDCOILLOOP." Then Res = hvacATART_RUNAROUNDCOILLOOP</v>
      </c>
    </row>
    <row r="68" spans="2:9" x14ac:dyDescent="0.25">
      <c r="B68" s="44">
        <v>6</v>
      </c>
      <c r="C68" s="45" t="s">
        <v>1510</v>
      </c>
      <c r="D68" s="44" t="s">
        <v>3743</v>
      </c>
      <c r="E68" s="44" t="str">
        <f>VLOOKUP(Tabelle7[[#This Row],[EnumName]],Enum[[IFC-Name]:[Präfix]],5,FALSE)&amp;Tabelle7[[#This Row],[EnuRohValue]]</f>
        <v>hvacATART_HEATPIPE</v>
      </c>
      <c r="F68" s="44">
        <f>COUNTIF(Tabelle7[EnuValue],Tabelle7[[#This Row],[EnuValue]])</f>
        <v>1</v>
      </c>
      <c r="G68" s="44" t="str">
        <f xml:space="preserve"> "  " &amp; Tabelle7[[#This Row],[EnuValue]] &amp; " = " &amp; Tabelle7[[#This Row],[Wert]]</f>
        <v xml:space="preserve">  hvacATART_HEATPIPE = 6</v>
      </c>
      <c r="H68" s="44" t="str">
        <f>"  If Wert = " &amp; Tabelle7[[#This Row],[EnuValue]] &amp; " then Res = ""." &amp; Tabelle7[[#This Row],[EnuRohValue]] &amp; "."""</f>
        <v xml:space="preserve">  If Wert = hvacATART_HEATPIPE then Res = ".HEATPIPE."</v>
      </c>
      <c r="I68" s="44" t="str">
        <f>"  If wert = ""." &amp; Tabelle7[[#This Row],[EnuRohValue]] &amp; "."" Then Res = " &amp; Tabelle7[[#This Row],[EnuValue]]</f>
        <v xml:space="preserve">  If wert = ".HEATPIPE." Then Res = hvacATART_HEATPIPE</v>
      </c>
    </row>
    <row r="69" spans="2:9" x14ac:dyDescent="0.25">
      <c r="B69" s="44">
        <v>7</v>
      </c>
      <c r="C69" s="45" t="s">
        <v>1510</v>
      </c>
      <c r="D69" s="44" t="s">
        <v>3744</v>
      </c>
      <c r="E69" s="44" t="str">
        <f>VLOOKUP(Tabelle7[[#This Row],[EnumName]],Enum[[IFC-Name]:[Präfix]],5,FALSE)&amp;Tabelle7[[#This Row],[EnuRohValue]]</f>
        <v>hvacATART_TWINTOWERENTHALPYRECOVERYLOOPS</v>
      </c>
      <c r="F69" s="44">
        <f>COUNTIF(Tabelle7[EnuValue],Tabelle7[[#This Row],[EnuValue]])</f>
        <v>1</v>
      </c>
      <c r="G69" s="44" t="str">
        <f xml:space="preserve"> "  " &amp; Tabelle7[[#This Row],[EnuValue]] &amp; " = " &amp; Tabelle7[[#This Row],[Wert]]</f>
        <v xml:space="preserve">  hvacATART_TWINTOWERENTHALPYRECOVERYLOOPS = 7</v>
      </c>
      <c r="H69" s="44" t="str">
        <f>"  If Wert = " &amp; Tabelle7[[#This Row],[EnuValue]] &amp; " then Res = ""." &amp; Tabelle7[[#This Row],[EnuRohValue]] &amp; "."""</f>
        <v xml:space="preserve">  If Wert = hvacATART_TWINTOWERENTHALPYRECOVERYLOOPS then Res = ".TWINTOWERENTHALPYRECOVERYLOOPS."</v>
      </c>
      <c r="I69" s="44" t="str">
        <f>"  If wert = ""." &amp; Tabelle7[[#This Row],[EnuRohValue]] &amp; "."" Then Res = " &amp; Tabelle7[[#This Row],[EnuValue]]</f>
        <v xml:space="preserve">  If wert = ".TWINTOWERENTHALPYRECOVERYLOOPS." Then Res = hvacATART_TWINTOWERENTHALPYRECOVERYLOOPS</v>
      </c>
    </row>
    <row r="70" spans="2:9" x14ac:dyDescent="0.25">
      <c r="B70" s="44">
        <v>8</v>
      </c>
      <c r="C70" s="45" t="s">
        <v>1510</v>
      </c>
      <c r="D70" s="44" t="s">
        <v>3745</v>
      </c>
      <c r="E70" s="44" t="str">
        <f>VLOOKUP(Tabelle7[[#This Row],[EnumName]],Enum[[IFC-Name]:[Präfix]],5,FALSE)&amp;Tabelle7[[#This Row],[EnuRohValue]]</f>
        <v>hvacATART_THERMOSIPHONSEALEDTUBEHEATEXCHANGERS</v>
      </c>
      <c r="F70" s="44">
        <f>COUNTIF(Tabelle7[EnuValue],Tabelle7[[#This Row],[EnuValue]])</f>
        <v>1</v>
      </c>
      <c r="G70" s="44" t="str">
        <f xml:space="preserve"> "  " &amp; Tabelle7[[#This Row],[EnuValue]] &amp; " = " &amp; Tabelle7[[#This Row],[Wert]]</f>
        <v xml:space="preserve">  hvacATART_THERMOSIPHONSEALEDTUBEHEATEXCHANGERS = 8</v>
      </c>
      <c r="H70" s="44" t="str">
        <f>"  If Wert = " &amp; Tabelle7[[#This Row],[EnuValue]] &amp; " then Res = ""." &amp; Tabelle7[[#This Row],[EnuRohValue]] &amp; "."""</f>
        <v xml:space="preserve">  If Wert = hvacATART_THERMOSIPHONSEALEDTUBEHEATEXCHANGERS then Res = ".THERMOSIPHONSEALEDTUBEHEATEXCHANGERS."</v>
      </c>
      <c r="I70" s="44" t="str">
        <f>"  If wert = ""." &amp; Tabelle7[[#This Row],[EnuRohValue]] &amp; "."" Then Res = " &amp; Tabelle7[[#This Row],[EnuValue]]</f>
        <v xml:space="preserve">  If wert = ".THERMOSIPHONSEALEDTUBEHEATEXCHANGERS." Then Res = hvacATART_THERMOSIPHONSEALEDTUBEHEATEXCHANGERS</v>
      </c>
    </row>
    <row r="71" spans="2:9" x14ac:dyDescent="0.25">
      <c r="B71" s="44">
        <v>9</v>
      </c>
      <c r="C71" s="45" t="s">
        <v>1510</v>
      </c>
      <c r="D71" s="44" t="s">
        <v>3746</v>
      </c>
      <c r="E71" s="44" t="str">
        <f>VLOOKUP(Tabelle7[[#This Row],[EnumName]],Enum[[IFC-Name]:[Präfix]],5,FALSE)&amp;Tabelle7[[#This Row],[EnuRohValue]]</f>
        <v>hvacATART_THERMOSIPHONCOILTYPEHEATEXCHANGERS</v>
      </c>
      <c r="F71" s="44">
        <f>COUNTIF(Tabelle7[EnuValue],Tabelle7[[#This Row],[EnuValue]])</f>
        <v>1</v>
      </c>
      <c r="G71" s="44" t="str">
        <f xml:space="preserve"> "  " &amp; Tabelle7[[#This Row],[EnuValue]] &amp; " = " &amp; Tabelle7[[#This Row],[Wert]]</f>
        <v xml:space="preserve">  hvacATART_THERMOSIPHONCOILTYPEHEATEXCHANGERS = 9</v>
      </c>
      <c r="H71" s="44" t="str">
        <f>"  If Wert = " &amp; Tabelle7[[#This Row],[EnuValue]] &amp; " then Res = ""." &amp; Tabelle7[[#This Row],[EnuRohValue]] &amp; "."""</f>
        <v xml:space="preserve">  If Wert = hvacATART_THERMOSIPHONCOILTYPEHEATEXCHANGERS then Res = ".THERMOSIPHONCOILTYPEHEATEXCHANGERS."</v>
      </c>
      <c r="I71" s="44" t="str">
        <f>"  If wert = ""." &amp; Tabelle7[[#This Row],[EnuRohValue]] &amp; "."" Then Res = " &amp; Tabelle7[[#This Row],[EnuValue]]</f>
        <v xml:space="preserve">  If wert = ".THERMOSIPHONCOILTYPEHEATEXCHANGERS." Then Res = hvacATART_THERMOSIPHONCOILTYPEHEATEXCHANGERS</v>
      </c>
    </row>
    <row r="72" spans="2:9" x14ac:dyDescent="0.25">
      <c r="B72" s="44">
        <v>10</v>
      </c>
      <c r="C72" s="45" t="s">
        <v>1510</v>
      </c>
      <c r="D72" s="44" t="s">
        <v>3682</v>
      </c>
      <c r="E72" s="44" t="str">
        <f>VLOOKUP(Tabelle7[[#This Row],[EnumName]],Enum[[IFC-Name]:[Präfix]],5,FALSE)&amp;Tabelle7[[#This Row],[EnuRohValue]]</f>
        <v>hvacATART_USERDEFINED</v>
      </c>
      <c r="F72" s="44">
        <f>COUNTIF(Tabelle7[EnuValue],Tabelle7[[#This Row],[EnuValue]])</f>
        <v>1</v>
      </c>
      <c r="G72" s="44" t="str">
        <f xml:space="preserve"> "  " &amp; Tabelle7[[#This Row],[EnuValue]] &amp; " = " &amp; Tabelle7[[#This Row],[Wert]]</f>
        <v xml:space="preserve">  hvacATART_USERDEFINED = 10</v>
      </c>
      <c r="H72" s="44" t="str">
        <f>"  If Wert = " &amp; Tabelle7[[#This Row],[EnuValue]] &amp; " then Res = ""." &amp; Tabelle7[[#This Row],[EnuRohValue]] &amp; "."""</f>
        <v xml:space="preserve">  If Wert = hvacATART_USERDEFINED then Res = ".USERDEFINED."</v>
      </c>
      <c r="I72" s="44" t="str">
        <f>"  If wert = ""." &amp; Tabelle7[[#This Row],[EnuRohValue]] &amp; "."" Then Res = " &amp; Tabelle7[[#This Row],[EnuValue]]</f>
        <v xml:space="preserve">  If wert = ".USERDEFINED." Then Res = hvacATART_USERDEFINED</v>
      </c>
    </row>
    <row r="73" spans="2:9" x14ac:dyDescent="0.25">
      <c r="B73" s="44">
        <v>11</v>
      </c>
      <c r="C73" s="45" t="s">
        <v>1510</v>
      </c>
      <c r="D73" s="44" t="s">
        <v>3683</v>
      </c>
      <c r="E73" s="44" t="str">
        <f>VLOOKUP(Tabelle7[[#This Row],[EnumName]],Enum[[IFC-Name]:[Präfix]],5,FALSE)&amp;Tabelle7[[#This Row],[EnuRohValue]]</f>
        <v>hvacATART_NOTDEFINED</v>
      </c>
      <c r="F73" s="44">
        <f>COUNTIF(Tabelle7[EnuValue],Tabelle7[[#This Row],[EnuValue]])</f>
        <v>1</v>
      </c>
      <c r="G73" s="44" t="str">
        <f xml:space="preserve"> "  " &amp; Tabelle7[[#This Row],[EnuValue]] &amp; " = " &amp; Tabelle7[[#This Row],[Wert]]</f>
        <v xml:space="preserve">  hvacATART_NOTDEFINED = 11</v>
      </c>
      <c r="H73" s="44" t="str">
        <f>"  If Wert = " &amp; Tabelle7[[#This Row],[EnuValue]] &amp; " then Res = ""." &amp; Tabelle7[[#This Row],[EnuRohValue]] &amp; "."""</f>
        <v xml:space="preserve">  If Wert = hvacATART_NOTDEFINED then Res = ".NOTDEFINED."</v>
      </c>
      <c r="I73" s="44" t="str">
        <f>"  If wert = ""." &amp; Tabelle7[[#This Row],[EnuRohValue]] &amp; "."" Then Res = " &amp; Tabelle7[[#This Row],[EnuValue]]</f>
        <v xml:space="preserve">  If wert = ".NOTDEFINED." Then Res = hvacATART_NOTDEFINED</v>
      </c>
    </row>
    <row r="74" spans="2:9" x14ac:dyDescent="0.25">
      <c r="B74" s="44">
        <v>1</v>
      </c>
      <c r="C74" s="45" t="s">
        <v>1511</v>
      </c>
      <c r="D74" s="44" t="s">
        <v>3747</v>
      </c>
      <c r="E74" s="44" t="str">
        <f>VLOOKUP(Tabelle7[[#This Row],[EnumName]],Enum[[IFC-Name]:[Präfix]],5,FALSE)&amp;Tabelle7[[#This Row],[EnuRohValue]]</f>
        <v>bldALT_BELL</v>
      </c>
      <c r="F74" s="44">
        <f>COUNTIF(Tabelle7[EnuValue],Tabelle7[[#This Row],[EnuValue]])</f>
        <v>1</v>
      </c>
      <c r="G74" s="44" t="str">
        <f xml:space="preserve"> "  " &amp; Tabelle7[[#This Row],[EnuValue]] &amp; " = " &amp; Tabelle7[[#This Row],[Wert]]</f>
        <v xml:space="preserve">  bldALT_BELL = 1</v>
      </c>
      <c r="H74" s="44" t="str">
        <f>"  If Wert = " &amp; Tabelle7[[#This Row],[EnuValue]] &amp; " then Res = ""." &amp; Tabelle7[[#This Row],[EnuRohValue]] &amp; "."""</f>
        <v xml:space="preserve">  If Wert = bldALT_BELL then Res = ".BELL."</v>
      </c>
      <c r="I74" s="44" t="str">
        <f>"  If wert = ""." &amp; Tabelle7[[#This Row],[EnuRohValue]] &amp; "."" Then Res = " &amp; Tabelle7[[#This Row],[EnuValue]]</f>
        <v xml:space="preserve">  If wert = ".BELL." Then Res = bldALT_BELL</v>
      </c>
    </row>
    <row r="75" spans="2:9" x14ac:dyDescent="0.25">
      <c r="B75" s="44">
        <v>2</v>
      </c>
      <c r="C75" s="45" t="s">
        <v>1511</v>
      </c>
      <c r="D75" s="44" t="s">
        <v>3748</v>
      </c>
      <c r="E75" s="44" t="str">
        <f>VLOOKUP(Tabelle7[[#This Row],[EnumName]],Enum[[IFC-Name]:[Präfix]],5,FALSE)&amp;Tabelle7[[#This Row],[EnuRohValue]]</f>
        <v>bldALT_BREAKGLASSBUTTON</v>
      </c>
      <c r="F75" s="44">
        <f>COUNTIF(Tabelle7[EnuValue],Tabelle7[[#This Row],[EnuValue]])</f>
        <v>1</v>
      </c>
      <c r="G75" s="44" t="str">
        <f xml:space="preserve"> "  " &amp; Tabelle7[[#This Row],[EnuValue]] &amp; " = " &amp; Tabelle7[[#This Row],[Wert]]</f>
        <v xml:space="preserve">  bldALT_BREAKGLASSBUTTON = 2</v>
      </c>
      <c r="H75" s="44" t="str">
        <f>"  If Wert = " &amp; Tabelle7[[#This Row],[EnuValue]] &amp; " then Res = ""." &amp; Tabelle7[[#This Row],[EnuRohValue]] &amp; "."""</f>
        <v xml:space="preserve">  If Wert = bldALT_BREAKGLASSBUTTON then Res = ".BREAKGLASSBUTTON."</v>
      </c>
      <c r="I75" s="44" t="str">
        <f>"  If wert = ""." &amp; Tabelle7[[#This Row],[EnuRohValue]] &amp; "."" Then Res = " &amp; Tabelle7[[#This Row],[EnuValue]]</f>
        <v xml:space="preserve">  If wert = ".BREAKGLASSBUTTON." Then Res = bldALT_BREAKGLASSBUTTON</v>
      </c>
    </row>
    <row r="76" spans="2:9" x14ac:dyDescent="0.25">
      <c r="B76" s="44">
        <v>3</v>
      </c>
      <c r="C76" s="45" t="s">
        <v>1511</v>
      </c>
      <c r="D76" s="44" t="s">
        <v>3749</v>
      </c>
      <c r="E76" s="44" t="str">
        <f>VLOOKUP(Tabelle7[[#This Row],[EnumName]],Enum[[IFC-Name]:[Präfix]],5,FALSE)&amp;Tabelle7[[#This Row],[EnuRohValue]]</f>
        <v>bldALT_LIGHT</v>
      </c>
      <c r="F76" s="44">
        <f>COUNTIF(Tabelle7[EnuValue],Tabelle7[[#This Row],[EnuValue]])</f>
        <v>1</v>
      </c>
      <c r="G76" s="44" t="str">
        <f xml:space="preserve"> "  " &amp; Tabelle7[[#This Row],[EnuValue]] &amp; " = " &amp; Tabelle7[[#This Row],[Wert]]</f>
        <v xml:space="preserve">  bldALT_LIGHT = 3</v>
      </c>
      <c r="H76" s="44" t="str">
        <f>"  If Wert = " &amp; Tabelle7[[#This Row],[EnuValue]] &amp; " then Res = ""." &amp; Tabelle7[[#This Row],[EnuRohValue]] &amp; "."""</f>
        <v xml:space="preserve">  If Wert = bldALT_LIGHT then Res = ".LIGHT."</v>
      </c>
      <c r="I76" s="44" t="str">
        <f>"  If wert = ""." &amp; Tabelle7[[#This Row],[EnuRohValue]] &amp; "."" Then Res = " &amp; Tabelle7[[#This Row],[EnuValue]]</f>
        <v xml:space="preserve">  If wert = ".LIGHT." Then Res = bldALT_LIGHT</v>
      </c>
    </row>
    <row r="77" spans="2:9" x14ac:dyDescent="0.25">
      <c r="B77" s="44">
        <v>4</v>
      </c>
      <c r="C77" s="45" t="s">
        <v>1511</v>
      </c>
      <c r="D77" s="44" t="s">
        <v>3750</v>
      </c>
      <c r="E77" s="44" t="str">
        <f>VLOOKUP(Tabelle7[[#This Row],[EnumName]],Enum[[IFC-Name]:[Präfix]],5,FALSE)&amp;Tabelle7[[#This Row],[EnuRohValue]]</f>
        <v>bldALT_MANUALPULLBOX</v>
      </c>
      <c r="F77" s="44">
        <f>COUNTIF(Tabelle7[EnuValue],Tabelle7[[#This Row],[EnuValue]])</f>
        <v>1</v>
      </c>
      <c r="G77" s="44" t="str">
        <f xml:space="preserve"> "  " &amp; Tabelle7[[#This Row],[EnuValue]] &amp; " = " &amp; Tabelle7[[#This Row],[Wert]]</f>
        <v xml:space="preserve">  bldALT_MANUALPULLBOX = 4</v>
      </c>
      <c r="H77" s="44" t="str">
        <f>"  If Wert = " &amp; Tabelle7[[#This Row],[EnuValue]] &amp; " then Res = ""." &amp; Tabelle7[[#This Row],[EnuRohValue]] &amp; "."""</f>
        <v xml:space="preserve">  If Wert = bldALT_MANUALPULLBOX then Res = ".MANUALPULLBOX."</v>
      </c>
      <c r="I77" s="44" t="str">
        <f>"  If wert = ""." &amp; Tabelle7[[#This Row],[EnuRohValue]] &amp; "."" Then Res = " &amp; Tabelle7[[#This Row],[EnuValue]]</f>
        <v xml:space="preserve">  If wert = ".MANUALPULLBOX." Then Res = bldALT_MANUALPULLBOX</v>
      </c>
    </row>
    <row r="78" spans="2:9" x14ac:dyDescent="0.25">
      <c r="B78" s="44">
        <v>5</v>
      </c>
      <c r="C78" s="45" t="s">
        <v>1511</v>
      </c>
      <c r="D78" s="44" t="s">
        <v>3751</v>
      </c>
      <c r="E78" s="44" t="str">
        <f>VLOOKUP(Tabelle7[[#This Row],[EnumName]],Enum[[IFC-Name]:[Präfix]],5,FALSE)&amp;Tabelle7[[#This Row],[EnuRohValue]]</f>
        <v>bldALT_SIREN</v>
      </c>
      <c r="F78" s="44">
        <f>COUNTIF(Tabelle7[EnuValue],Tabelle7[[#This Row],[EnuValue]])</f>
        <v>1</v>
      </c>
      <c r="G78" s="44" t="str">
        <f xml:space="preserve"> "  " &amp; Tabelle7[[#This Row],[EnuValue]] &amp; " = " &amp; Tabelle7[[#This Row],[Wert]]</f>
        <v xml:space="preserve">  bldALT_SIREN = 5</v>
      </c>
      <c r="H78" s="44" t="str">
        <f>"  If Wert = " &amp; Tabelle7[[#This Row],[EnuValue]] &amp; " then Res = ""." &amp; Tabelle7[[#This Row],[EnuRohValue]] &amp; "."""</f>
        <v xml:space="preserve">  If Wert = bldALT_SIREN then Res = ".SIREN."</v>
      </c>
      <c r="I78" s="44" t="str">
        <f>"  If wert = ""." &amp; Tabelle7[[#This Row],[EnuRohValue]] &amp; "."" Then Res = " &amp; Tabelle7[[#This Row],[EnuValue]]</f>
        <v xml:space="preserve">  If wert = ".SIREN." Then Res = bldALT_SIREN</v>
      </c>
    </row>
    <row r="79" spans="2:9" x14ac:dyDescent="0.25">
      <c r="B79" s="44">
        <v>6</v>
      </c>
      <c r="C79" s="45" t="s">
        <v>1511</v>
      </c>
      <c r="D79" s="44" t="s">
        <v>3752</v>
      </c>
      <c r="E79" s="44" t="str">
        <f>VLOOKUP(Tabelle7[[#This Row],[EnumName]],Enum[[IFC-Name]:[Präfix]],5,FALSE)&amp;Tabelle7[[#This Row],[EnuRohValue]]</f>
        <v>bldALT_WHISTLE</v>
      </c>
      <c r="F79" s="44">
        <f>COUNTIF(Tabelle7[EnuValue],Tabelle7[[#This Row],[EnuValue]])</f>
        <v>1</v>
      </c>
      <c r="G79" s="44" t="str">
        <f xml:space="preserve"> "  " &amp; Tabelle7[[#This Row],[EnuValue]] &amp; " = " &amp; Tabelle7[[#This Row],[Wert]]</f>
        <v xml:space="preserve">  bldALT_WHISTLE = 6</v>
      </c>
      <c r="H79" s="44" t="str">
        <f>"  If Wert = " &amp; Tabelle7[[#This Row],[EnuValue]] &amp; " then Res = ""." &amp; Tabelle7[[#This Row],[EnuRohValue]] &amp; "."""</f>
        <v xml:space="preserve">  If Wert = bldALT_WHISTLE then Res = ".WHISTLE."</v>
      </c>
      <c r="I79" s="44" t="str">
        <f>"  If wert = ""." &amp; Tabelle7[[#This Row],[EnuRohValue]] &amp; "."" Then Res = " &amp; Tabelle7[[#This Row],[EnuValue]]</f>
        <v xml:space="preserve">  If wert = ".WHISTLE." Then Res = bldALT_WHISTLE</v>
      </c>
    </row>
    <row r="80" spans="2:9" x14ac:dyDescent="0.25">
      <c r="B80" s="44">
        <v>7</v>
      </c>
      <c r="C80" s="45" t="s">
        <v>1511</v>
      </c>
      <c r="D80" s="44" t="s">
        <v>3682</v>
      </c>
      <c r="E80" s="44" t="str">
        <f>VLOOKUP(Tabelle7[[#This Row],[EnumName]],Enum[[IFC-Name]:[Präfix]],5,FALSE)&amp;Tabelle7[[#This Row],[EnuRohValue]]</f>
        <v>bldALT_USERDEFINED</v>
      </c>
      <c r="F80" s="44">
        <f>COUNTIF(Tabelle7[EnuValue],Tabelle7[[#This Row],[EnuValue]])</f>
        <v>1</v>
      </c>
      <c r="G80" s="44" t="str">
        <f xml:space="preserve"> "  " &amp; Tabelle7[[#This Row],[EnuValue]] &amp; " = " &amp; Tabelle7[[#This Row],[Wert]]</f>
        <v xml:space="preserve">  bldALT_USERDEFINED = 7</v>
      </c>
      <c r="H80" s="44" t="str">
        <f>"  If Wert = " &amp; Tabelle7[[#This Row],[EnuValue]] &amp; " then Res = ""." &amp; Tabelle7[[#This Row],[EnuRohValue]] &amp; "."""</f>
        <v xml:space="preserve">  If Wert = bldALT_USERDEFINED then Res = ".USERDEFINED."</v>
      </c>
      <c r="I80" s="44" t="str">
        <f>"  If wert = ""." &amp; Tabelle7[[#This Row],[EnuRohValue]] &amp; "."" Then Res = " &amp; Tabelle7[[#This Row],[EnuValue]]</f>
        <v xml:space="preserve">  If wert = ".USERDEFINED." Then Res = bldALT_USERDEFINED</v>
      </c>
    </row>
    <row r="81" spans="2:9" x14ac:dyDescent="0.25">
      <c r="B81" s="44">
        <v>8</v>
      </c>
      <c r="C81" s="45" t="s">
        <v>1511</v>
      </c>
      <c r="D81" s="44" t="s">
        <v>3683</v>
      </c>
      <c r="E81" s="44" t="str">
        <f>VLOOKUP(Tabelle7[[#This Row],[EnumName]],Enum[[IFC-Name]:[Präfix]],5,FALSE)&amp;Tabelle7[[#This Row],[EnuRohValue]]</f>
        <v>bldALT_NOTDEFINED</v>
      </c>
      <c r="F81" s="44">
        <f>COUNTIF(Tabelle7[EnuValue],Tabelle7[[#This Row],[EnuValue]])</f>
        <v>1</v>
      </c>
      <c r="G81" s="44" t="str">
        <f xml:space="preserve"> "  " &amp; Tabelle7[[#This Row],[EnuValue]] &amp; " = " &amp; Tabelle7[[#This Row],[Wert]]</f>
        <v xml:space="preserve">  bldALT_NOTDEFINED = 8</v>
      </c>
      <c r="H81" s="44" t="str">
        <f>"  If Wert = " &amp; Tabelle7[[#This Row],[EnuValue]] &amp; " then Res = ""." &amp; Tabelle7[[#This Row],[EnuRohValue]] &amp; "."""</f>
        <v xml:space="preserve">  If Wert = bldALT_NOTDEFINED then Res = ".NOTDEFINED."</v>
      </c>
      <c r="I81" s="44" t="str">
        <f>"  If wert = ""." &amp; Tabelle7[[#This Row],[EnuRohValue]] &amp; "."" Then Res = " &amp; Tabelle7[[#This Row],[EnuValue]]</f>
        <v xml:space="preserve">  If wert = ".NOTDEFINED." Then Res = bldALT_NOTDEFINED</v>
      </c>
    </row>
    <row r="82" spans="2:9" x14ac:dyDescent="0.25">
      <c r="B82" s="44">
        <v>1</v>
      </c>
      <c r="C82" s="45" t="s">
        <v>1512</v>
      </c>
      <c r="D82" s="44" t="s">
        <v>3753</v>
      </c>
      <c r="E82" s="44" t="str">
        <f>VLOOKUP(Tabelle7[[#This Row],[EnumName]],Enum[[IFC-Name]:[Präfix]],5,FALSE)&amp;Tabelle7[[#This Row],[EnuRohValue]]</f>
        <v>stcAMT_IN_PLANE_LOADING_2D</v>
      </c>
      <c r="F82" s="44">
        <f>COUNTIF(Tabelle7[EnuValue],Tabelle7[[#This Row],[EnuValue]])</f>
        <v>1</v>
      </c>
      <c r="G82" s="44" t="str">
        <f xml:space="preserve"> "  " &amp; Tabelle7[[#This Row],[EnuValue]] &amp; " = " &amp; Tabelle7[[#This Row],[Wert]]</f>
        <v xml:space="preserve">  stcAMT_IN_PLANE_LOADING_2D = 1</v>
      </c>
      <c r="H82" s="44" t="str">
        <f>"  If Wert = " &amp; Tabelle7[[#This Row],[EnuValue]] &amp; " then Res = ""." &amp; Tabelle7[[#This Row],[EnuRohValue]] &amp; "."""</f>
        <v xml:space="preserve">  If Wert = stcAMT_IN_PLANE_LOADING_2D then Res = ".IN_PLANE_LOADING_2D."</v>
      </c>
      <c r="I82" s="44" t="str">
        <f>"  If wert = ""." &amp; Tabelle7[[#This Row],[EnuRohValue]] &amp; "."" Then Res = " &amp; Tabelle7[[#This Row],[EnuValue]]</f>
        <v xml:space="preserve">  If wert = ".IN_PLANE_LOADING_2D." Then Res = stcAMT_IN_PLANE_LOADING_2D</v>
      </c>
    </row>
    <row r="83" spans="2:9" x14ac:dyDescent="0.25">
      <c r="B83" s="44">
        <v>2</v>
      </c>
      <c r="C83" s="45" t="s">
        <v>1512</v>
      </c>
      <c r="D83" s="44" t="s">
        <v>3754</v>
      </c>
      <c r="E83" s="44" t="str">
        <f>VLOOKUP(Tabelle7[[#This Row],[EnumName]],Enum[[IFC-Name]:[Präfix]],5,FALSE)&amp;Tabelle7[[#This Row],[EnuRohValue]]</f>
        <v>stcAMT_OUT_PLANE_LOADING_2D</v>
      </c>
      <c r="F83" s="44">
        <f>COUNTIF(Tabelle7[EnuValue],Tabelle7[[#This Row],[EnuValue]])</f>
        <v>1</v>
      </c>
      <c r="G83" s="44" t="str">
        <f xml:space="preserve"> "  " &amp; Tabelle7[[#This Row],[EnuValue]] &amp; " = " &amp; Tabelle7[[#This Row],[Wert]]</f>
        <v xml:space="preserve">  stcAMT_OUT_PLANE_LOADING_2D = 2</v>
      </c>
      <c r="H83" s="44" t="str">
        <f>"  If Wert = " &amp; Tabelle7[[#This Row],[EnuValue]] &amp; " then Res = ""." &amp; Tabelle7[[#This Row],[EnuRohValue]] &amp; "."""</f>
        <v xml:space="preserve">  If Wert = stcAMT_OUT_PLANE_LOADING_2D then Res = ".OUT_PLANE_LOADING_2D."</v>
      </c>
      <c r="I83" s="44" t="str">
        <f>"  If wert = ""." &amp; Tabelle7[[#This Row],[EnuRohValue]] &amp; "."" Then Res = " &amp; Tabelle7[[#This Row],[EnuValue]]</f>
        <v xml:space="preserve">  If wert = ".OUT_PLANE_LOADING_2D." Then Res = stcAMT_OUT_PLANE_LOADING_2D</v>
      </c>
    </row>
    <row r="84" spans="2:9" x14ac:dyDescent="0.25">
      <c r="B84" s="44">
        <v>3</v>
      </c>
      <c r="C84" s="45" t="s">
        <v>1512</v>
      </c>
      <c r="D84" s="44" t="s">
        <v>3755</v>
      </c>
      <c r="E84" s="44" t="str">
        <f>VLOOKUP(Tabelle7[[#This Row],[EnumName]],Enum[[IFC-Name]:[Präfix]],5,FALSE)&amp;Tabelle7[[#This Row],[EnuRohValue]]</f>
        <v>stcAMT_LOADING_3D</v>
      </c>
      <c r="F84" s="44">
        <f>COUNTIF(Tabelle7[EnuValue],Tabelle7[[#This Row],[EnuValue]])</f>
        <v>1</v>
      </c>
      <c r="G84" s="44" t="str">
        <f xml:space="preserve"> "  " &amp; Tabelle7[[#This Row],[EnuValue]] &amp; " = " &amp; Tabelle7[[#This Row],[Wert]]</f>
        <v xml:space="preserve">  stcAMT_LOADING_3D = 3</v>
      </c>
      <c r="H84" s="44" t="str">
        <f>"  If Wert = " &amp; Tabelle7[[#This Row],[EnuValue]] &amp; " then Res = ""." &amp; Tabelle7[[#This Row],[EnuRohValue]] &amp; "."""</f>
        <v xml:space="preserve">  If Wert = stcAMT_LOADING_3D then Res = ".LOADING_3D."</v>
      </c>
      <c r="I84" s="44" t="str">
        <f>"  If wert = ""." &amp; Tabelle7[[#This Row],[EnuRohValue]] &amp; "."" Then Res = " &amp; Tabelle7[[#This Row],[EnuValue]]</f>
        <v xml:space="preserve">  If wert = ".LOADING_3D." Then Res = stcAMT_LOADING_3D</v>
      </c>
    </row>
    <row r="85" spans="2:9" x14ac:dyDescent="0.25">
      <c r="B85" s="44">
        <v>4</v>
      </c>
      <c r="C85" s="45" t="s">
        <v>1512</v>
      </c>
      <c r="D85" s="44" t="s">
        <v>3682</v>
      </c>
      <c r="E85" s="44" t="str">
        <f>VLOOKUP(Tabelle7[[#This Row],[EnumName]],Enum[[IFC-Name]:[Präfix]],5,FALSE)&amp;Tabelle7[[#This Row],[EnuRohValue]]</f>
        <v>stcAMT_USERDEFINED</v>
      </c>
      <c r="F85" s="44">
        <f>COUNTIF(Tabelle7[EnuValue],Tabelle7[[#This Row],[EnuValue]])</f>
        <v>1</v>
      </c>
      <c r="G85" s="44" t="str">
        <f xml:space="preserve"> "  " &amp; Tabelle7[[#This Row],[EnuValue]] &amp; " = " &amp; Tabelle7[[#This Row],[Wert]]</f>
        <v xml:space="preserve">  stcAMT_USERDEFINED = 4</v>
      </c>
      <c r="H85" s="44" t="str">
        <f>"  If Wert = " &amp; Tabelle7[[#This Row],[EnuValue]] &amp; " then Res = ""." &amp; Tabelle7[[#This Row],[EnuRohValue]] &amp; "."""</f>
        <v xml:space="preserve">  If Wert = stcAMT_USERDEFINED then Res = ".USERDEFINED."</v>
      </c>
      <c r="I85" s="44" t="str">
        <f>"  If wert = ""." &amp; Tabelle7[[#This Row],[EnuRohValue]] &amp; "."" Then Res = " &amp; Tabelle7[[#This Row],[EnuValue]]</f>
        <v xml:space="preserve">  If wert = ".USERDEFINED." Then Res = stcAMT_USERDEFINED</v>
      </c>
    </row>
    <row r="86" spans="2:9" x14ac:dyDescent="0.25">
      <c r="B86" s="44">
        <v>5</v>
      </c>
      <c r="C86" s="45" t="s">
        <v>1512</v>
      </c>
      <c r="D86" s="44" t="s">
        <v>3683</v>
      </c>
      <c r="E86" s="44" t="str">
        <f>VLOOKUP(Tabelle7[[#This Row],[EnumName]],Enum[[IFC-Name]:[Präfix]],5,FALSE)&amp;Tabelle7[[#This Row],[EnuRohValue]]</f>
        <v>stcAMT_NOTDEFINED</v>
      </c>
      <c r="F86" s="44">
        <f>COUNTIF(Tabelle7[EnuValue],Tabelle7[[#This Row],[EnuValue]])</f>
        <v>1</v>
      </c>
      <c r="G86" s="44" t="str">
        <f xml:space="preserve"> "  " &amp; Tabelle7[[#This Row],[EnuValue]] &amp; " = " &amp; Tabelle7[[#This Row],[Wert]]</f>
        <v xml:space="preserve">  stcAMT_NOTDEFINED = 5</v>
      </c>
      <c r="H86" s="44" t="str">
        <f>"  If Wert = " &amp; Tabelle7[[#This Row],[EnuValue]] &amp; " then Res = ""." &amp; Tabelle7[[#This Row],[EnuRohValue]] &amp; "."""</f>
        <v xml:space="preserve">  If Wert = stcAMT_NOTDEFINED then Res = ".NOTDEFINED."</v>
      </c>
      <c r="I86" s="44" t="str">
        <f>"  If wert = ""." &amp; Tabelle7[[#This Row],[EnuRohValue]] &amp; "."" Then Res = " &amp; Tabelle7[[#This Row],[EnuValue]]</f>
        <v xml:space="preserve">  If wert = ".NOTDEFINED." Then Res = stcAMT_NOTDEFINED</v>
      </c>
    </row>
    <row r="87" spans="2:9" x14ac:dyDescent="0.25">
      <c r="B87" s="44">
        <v>1</v>
      </c>
      <c r="C87" s="45" t="s">
        <v>1513</v>
      </c>
      <c r="D87" s="44" t="s">
        <v>3756</v>
      </c>
      <c r="E87" s="44" t="str">
        <f>VLOOKUP(Tabelle7[[#This Row],[EnumName]],Enum[[IFC-Name]:[Präfix]],5,FALSE)&amp;Tabelle7[[#This Row],[EnuRohValue]]</f>
        <v>stcATT_FIRST_ORDER_THEORY</v>
      </c>
      <c r="F87" s="44">
        <f>COUNTIF(Tabelle7[EnuValue],Tabelle7[[#This Row],[EnuValue]])</f>
        <v>1</v>
      </c>
      <c r="G87" s="44" t="str">
        <f xml:space="preserve"> "  " &amp; Tabelle7[[#This Row],[EnuValue]] &amp; " = " &amp; Tabelle7[[#This Row],[Wert]]</f>
        <v xml:space="preserve">  stcATT_FIRST_ORDER_THEORY = 1</v>
      </c>
      <c r="H87" s="44" t="str">
        <f>"  If Wert = " &amp; Tabelle7[[#This Row],[EnuValue]] &amp; " then Res = ""." &amp; Tabelle7[[#This Row],[EnuRohValue]] &amp; "."""</f>
        <v xml:space="preserve">  If Wert = stcATT_FIRST_ORDER_THEORY then Res = ".FIRST_ORDER_THEORY."</v>
      </c>
      <c r="I87" s="44" t="str">
        <f>"  If wert = ""." &amp; Tabelle7[[#This Row],[EnuRohValue]] &amp; "."" Then Res = " &amp; Tabelle7[[#This Row],[EnuValue]]</f>
        <v xml:space="preserve">  If wert = ".FIRST_ORDER_THEORY." Then Res = stcATT_FIRST_ORDER_THEORY</v>
      </c>
    </row>
    <row r="88" spans="2:9" x14ac:dyDescent="0.25">
      <c r="B88" s="44">
        <v>2</v>
      </c>
      <c r="C88" s="45" t="s">
        <v>1513</v>
      </c>
      <c r="D88" s="44" t="s">
        <v>3757</v>
      </c>
      <c r="E88" s="44" t="str">
        <f>VLOOKUP(Tabelle7[[#This Row],[EnumName]],Enum[[IFC-Name]:[Präfix]],5,FALSE)&amp;Tabelle7[[#This Row],[EnuRohValue]]</f>
        <v>stcATT_SECOND_ORDER_THEORY</v>
      </c>
      <c r="F88" s="44">
        <f>COUNTIF(Tabelle7[EnuValue],Tabelle7[[#This Row],[EnuValue]])</f>
        <v>1</v>
      </c>
      <c r="G88" s="44" t="str">
        <f xml:space="preserve"> "  " &amp; Tabelle7[[#This Row],[EnuValue]] &amp; " = " &amp; Tabelle7[[#This Row],[Wert]]</f>
        <v xml:space="preserve">  stcATT_SECOND_ORDER_THEORY = 2</v>
      </c>
      <c r="H88" s="44" t="str">
        <f>"  If Wert = " &amp; Tabelle7[[#This Row],[EnuValue]] &amp; " then Res = ""." &amp; Tabelle7[[#This Row],[EnuRohValue]] &amp; "."""</f>
        <v xml:space="preserve">  If Wert = stcATT_SECOND_ORDER_THEORY then Res = ".SECOND_ORDER_THEORY."</v>
      </c>
      <c r="I88" s="44" t="str">
        <f>"  If wert = ""." &amp; Tabelle7[[#This Row],[EnuRohValue]] &amp; "."" Then Res = " &amp; Tabelle7[[#This Row],[EnuValue]]</f>
        <v xml:space="preserve">  If wert = ".SECOND_ORDER_THEORY." Then Res = stcATT_SECOND_ORDER_THEORY</v>
      </c>
    </row>
    <row r="89" spans="2:9" x14ac:dyDescent="0.25">
      <c r="B89" s="44">
        <v>3</v>
      </c>
      <c r="C89" s="45" t="s">
        <v>1513</v>
      </c>
      <c r="D89" s="44" t="s">
        <v>3758</v>
      </c>
      <c r="E89" s="44" t="str">
        <f>VLOOKUP(Tabelle7[[#This Row],[EnumName]],Enum[[IFC-Name]:[Präfix]],5,FALSE)&amp;Tabelle7[[#This Row],[EnuRohValue]]</f>
        <v>stcATT_THIRD_ORDER_THEORY</v>
      </c>
      <c r="F89" s="44">
        <f>COUNTIF(Tabelle7[EnuValue],Tabelle7[[#This Row],[EnuValue]])</f>
        <v>1</v>
      </c>
      <c r="G89" s="44" t="str">
        <f xml:space="preserve"> "  " &amp; Tabelle7[[#This Row],[EnuValue]] &amp; " = " &amp; Tabelle7[[#This Row],[Wert]]</f>
        <v xml:space="preserve">  stcATT_THIRD_ORDER_THEORY = 3</v>
      </c>
      <c r="H89" s="44" t="str">
        <f>"  If Wert = " &amp; Tabelle7[[#This Row],[EnuValue]] &amp; " then Res = ""." &amp; Tabelle7[[#This Row],[EnuRohValue]] &amp; "."""</f>
        <v xml:space="preserve">  If Wert = stcATT_THIRD_ORDER_THEORY then Res = ".THIRD_ORDER_THEORY."</v>
      </c>
      <c r="I89" s="44" t="str">
        <f>"  If wert = ""." &amp; Tabelle7[[#This Row],[EnuRohValue]] &amp; "."" Then Res = " &amp; Tabelle7[[#This Row],[EnuValue]]</f>
        <v xml:space="preserve">  If wert = ".THIRD_ORDER_THEORY." Then Res = stcATT_THIRD_ORDER_THEORY</v>
      </c>
    </row>
    <row r="90" spans="2:9" x14ac:dyDescent="0.25">
      <c r="B90" s="44">
        <v>4</v>
      </c>
      <c r="C90" s="45" t="s">
        <v>1513</v>
      </c>
      <c r="D90" s="44" t="s">
        <v>3759</v>
      </c>
      <c r="E90" s="44" t="str">
        <f>VLOOKUP(Tabelle7[[#This Row],[EnumName]],Enum[[IFC-Name]:[Präfix]],5,FALSE)&amp;Tabelle7[[#This Row],[EnuRohValue]]</f>
        <v>stcATT_FULL_NONLINEAR_THEORY</v>
      </c>
      <c r="F90" s="44">
        <f>COUNTIF(Tabelle7[EnuValue],Tabelle7[[#This Row],[EnuValue]])</f>
        <v>1</v>
      </c>
      <c r="G90" s="44" t="str">
        <f xml:space="preserve"> "  " &amp; Tabelle7[[#This Row],[EnuValue]] &amp; " = " &amp; Tabelle7[[#This Row],[Wert]]</f>
        <v xml:space="preserve">  stcATT_FULL_NONLINEAR_THEORY = 4</v>
      </c>
      <c r="H90" s="44" t="str">
        <f>"  If Wert = " &amp; Tabelle7[[#This Row],[EnuValue]] &amp; " then Res = ""." &amp; Tabelle7[[#This Row],[EnuRohValue]] &amp; "."""</f>
        <v xml:space="preserve">  If Wert = stcATT_FULL_NONLINEAR_THEORY then Res = ".FULL_NONLINEAR_THEORY."</v>
      </c>
      <c r="I90" s="44" t="str">
        <f>"  If wert = ""." &amp; Tabelle7[[#This Row],[EnuRohValue]] &amp; "."" Then Res = " &amp; Tabelle7[[#This Row],[EnuValue]]</f>
        <v xml:space="preserve">  If wert = ".FULL_NONLINEAR_THEORY." Then Res = stcATT_FULL_NONLINEAR_THEORY</v>
      </c>
    </row>
    <row r="91" spans="2:9" x14ac:dyDescent="0.25">
      <c r="B91" s="44">
        <v>5</v>
      </c>
      <c r="C91" s="45" t="s">
        <v>1513</v>
      </c>
      <c r="D91" s="44" t="s">
        <v>3682</v>
      </c>
      <c r="E91" s="44" t="str">
        <f>VLOOKUP(Tabelle7[[#This Row],[EnumName]],Enum[[IFC-Name]:[Präfix]],5,FALSE)&amp;Tabelle7[[#This Row],[EnuRohValue]]</f>
        <v>stcATT_USERDEFINED</v>
      </c>
      <c r="F91" s="44">
        <f>COUNTIF(Tabelle7[EnuValue],Tabelle7[[#This Row],[EnuValue]])</f>
        <v>1</v>
      </c>
      <c r="G91" s="44" t="str">
        <f xml:space="preserve"> "  " &amp; Tabelle7[[#This Row],[EnuValue]] &amp; " = " &amp; Tabelle7[[#This Row],[Wert]]</f>
        <v xml:space="preserve">  stcATT_USERDEFINED = 5</v>
      </c>
      <c r="H91" s="44" t="str">
        <f>"  If Wert = " &amp; Tabelle7[[#This Row],[EnuValue]] &amp; " then Res = ""." &amp; Tabelle7[[#This Row],[EnuRohValue]] &amp; "."""</f>
        <v xml:space="preserve">  If Wert = stcATT_USERDEFINED then Res = ".USERDEFINED."</v>
      </c>
      <c r="I91" s="44" t="str">
        <f>"  If wert = ""." &amp; Tabelle7[[#This Row],[EnuRohValue]] &amp; "."" Then Res = " &amp; Tabelle7[[#This Row],[EnuValue]]</f>
        <v xml:space="preserve">  If wert = ".USERDEFINED." Then Res = stcATT_USERDEFINED</v>
      </c>
    </row>
    <row r="92" spans="2:9" x14ac:dyDescent="0.25">
      <c r="B92" s="44">
        <v>6</v>
      </c>
      <c r="C92" s="45" t="s">
        <v>1513</v>
      </c>
      <c r="D92" s="44" t="s">
        <v>3683</v>
      </c>
      <c r="E92" s="44" t="str">
        <f>VLOOKUP(Tabelle7[[#This Row],[EnumName]],Enum[[IFC-Name]:[Präfix]],5,FALSE)&amp;Tabelle7[[#This Row],[EnuRohValue]]</f>
        <v>stcATT_NOTDEFINED</v>
      </c>
      <c r="F92" s="44">
        <f>COUNTIF(Tabelle7[EnuValue],Tabelle7[[#This Row],[EnuValue]])</f>
        <v>1</v>
      </c>
      <c r="G92" s="44" t="str">
        <f xml:space="preserve"> "  " &amp; Tabelle7[[#This Row],[EnuValue]] &amp; " = " &amp; Tabelle7[[#This Row],[Wert]]</f>
        <v xml:space="preserve">  stcATT_NOTDEFINED = 6</v>
      </c>
      <c r="H92" s="44" t="str">
        <f>"  If Wert = " &amp; Tabelle7[[#This Row],[EnuValue]] &amp; " then Res = ""." &amp; Tabelle7[[#This Row],[EnuRohValue]] &amp; "."""</f>
        <v xml:space="preserve">  If Wert = stcATT_NOTDEFINED then Res = ".NOTDEFINED."</v>
      </c>
      <c r="I92" s="44" t="str">
        <f>"  If wert = ""." &amp; Tabelle7[[#This Row],[EnuRohValue]] &amp; "."" Then Res = " &amp; Tabelle7[[#This Row],[EnuValue]]</f>
        <v xml:space="preserve">  If wert = ".NOTDEFINED." Then Res = stcATT_NOTDEFINED</v>
      </c>
    </row>
    <row r="93" spans="2:9" x14ac:dyDescent="0.25">
      <c r="B93" s="44">
        <v>1</v>
      </c>
      <c r="C93" s="45" t="s">
        <v>1514</v>
      </c>
      <c r="D93" s="44" t="s">
        <v>3760</v>
      </c>
      <c r="E93" s="44" t="str">
        <f>VLOOKUP(Tabelle7[[#This Row],[EnumName]],Enum[[IFC-Name]:[Präfix]],5,FALSE)&amp;Tabelle7[[#This Row],[EnuRohValue]]</f>
        <v>cosAO_ADD</v>
      </c>
      <c r="F93" s="44">
        <f>COUNTIF(Tabelle7[EnuValue],Tabelle7[[#This Row],[EnuValue]])</f>
        <v>1</v>
      </c>
      <c r="G93" s="44" t="str">
        <f xml:space="preserve"> "  " &amp; Tabelle7[[#This Row],[EnuValue]] &amp; " = " &amp; Tabelle7[[#This Row],[Wert]]</f>
        <v xml:space="preserve">  cosAO_ADD = 1</v>
      </c>
      <c r="H93" s="44" t="str">
        <f>"  If Wert = " &amp; Tabelle7[[#This Row],[EnuValue]] &amp; " then Res = ""." &amp; Tabelle7[[#This Row],[EnuRohValue]] &amp; "."""</f>
        <v xml:space="preserve">  If Wert = cosAO_ADD then Res = ".ADD."</v>
      </c>
      <c r="I93" s="44" t="str">
        <f>"  If wert = ""." &amp; Tabelle7[[#This Row],[EnuRohValue]] &amp; "."" Then Res = " &amp; Tabelle7[[#This Row],[EnuValue]]</f>
        <v xml:space="preserve">  If wert = ".ADD." Then Res = cosAO_ADD</v>
      </c>
    </row>
    <row r="94" spans="2:9" x14ac:dyDescent="0.25">
      <c r="B94" s="44">
        <v>2</v>
      </c>
      <c r="C94" s="45" t="s">
        <v>1514</v>
      </c>
      <c r="D94" s="44" t="s">
        <v>3761</v>
      </c>
      <c r="E94" s="44" t="str">
        <f>VLOOKUP(Tabelle7[[#This Row],[EnumName]],Enum[[IFC-Name]:[Präfix]],5,FALSE)&amp;Tabelle7[[#This Row],[EnuRohValue]]</f>
        <v>cosAO_DIVIDE</v>
      </c>
      <c r="F94" s="44">
        <f>COUNTIF(Tabelle7[EnuValue],Tabelle7[[#This Row],[EnuValue]])</f>
        <v>1</v>
      </c>
      <c r="G94" s="44" t="str">
        <f xml:space="preserve"> "  " &amp; Tabelle7[[#This Row],[EnuValue]] &amp; " = " &amp; Tabelle7[[#This Row],[Wert]]</f>
        <v xml:space="preserve">  cosAO_DIVIDE = 2</v>
      </c>
      <c r="H94" s="44" t="str">
        <f>"  If Wert = " &amp; Tabelle7[[#This Row],[EnuValue]] &amp; " then Res = ""." &amp; Tabelle7[[#This Row],[EnuRohValue]] &amp; "."""</f>
        <v xml:space="preserve">  If Wert = cosAO_DIVIDE then Res = ".DIVIDE."</v>
      </c>
      <c r="I94" s="44" t="str">
        <f>"  If wert = ""." &amp; Tabelle7[[#This Row],[EnuRohValue]] &amp; "."" Then Res = " &amp; Tabelle7[[#This Row],[EnuValue]]</f>
        <v xml:space="preserve">  If wert = ".DIVIDE." Then Res = cosAO_DIVIDE</v>
      </c>
    </row>
    <row r="95" spans="2:9" x14ac:dyDescent="0.25">
      <c r="B95" s="44">
        <v>3</v>
      </c>
      <c r="C95" s="45" t="s">
        <v>1514</v>
      </c>
      <c r="D95" s="44" t="s">
        <v>3762</v>
      </c>
      <c r="E95" s="44" t="str">
        <f>VLOOKUP(Tabelle7[[#This Row],[EnumName]],Enum[[IFC-Name]:[Präfix]],5,FALSE)&amp;Tabelle7[[#This Row],[EnuRohValue]]</f>
        <v>cosAO_MULTIPLY</v>
      </c>
      <c r="F95" s="44">
        <f>COUNTIF(Tabelle7[EnuValue],Tabelle7[[#This Row],[EnuValue]])</f>
        <v>1</v>
      </c>
      <c r="G95" s="44" t="str">
        <f xml:space="preserve"> "  " &amp; Tabelle7[[#This Row],[EnuValue]] &amp; " = " &amp; Tabelle7[[#This Row],[Wert]]</f>
        <v xml:space="preserve">  cosAO_MULTIPLY = 3</v>
      </c>
      <c r="H95" s="44" t="str">
        <f>"  If Wert = " &amp; Tabelle7[[#This Row],[EnuValue]] &amp; " then Res = ""." &amp; Tabelle7[[#This Row],[EnuRohValue]] &amp; "."""</f>
        <v xml:space="preserve">  If Wert = cosAO_MULTIPLY then Res = ".MULTIPLY."</v>
      </c>
      <c r="I95" s="44" t="str">
        <f>"  If wert = ""." &amp; Tabelle7[[#This Row],[EnuRohValue]] &amp; "."" Then Res = " &amp; Tabelle7[[#This Row],[EnuValue]]</f>
        <v xml:space="preserve">  If wert = ".MULTIPLY." Then Res = cosAO_MULTIPLY</v>
      </c>
    </row>
    <row r="96" spans="2:9" x14ac:dyDescent="0.25">
      <c r="B96" s="44">
        <v>4</v>
      </c>
      <c r="C96" s="45" t="s">
        <v>1514</v>
      </c>
      <c r="D96" s="44" t="s">
        <v>3763</v>
      </c>
      <c r="E96" s="44" t="str">
        <f>VLOOKUP(Tabelle7[[#This Row],[EnumName]],Enum[[IFC-Name]:[Präfix]],5,FALSE)&amp;Tabelle7[[#This Row],[EnuRohValue]]</f>
        <v>cosAO_SUBTRACT</v>
      </c>
      <c r="F96" s="44">
        <f>COUNTIF(Tabelle7[EnuValue],Tabelle7[[#This Row],[EnuValue]])</f>
        <v>1</v>
      </c>
      <c r="G96" s="44" t="str">
        <f xml:space="preserve"> "  " &amp; Tabelle7[[#This Row],[EnuValue]] &amp; " = " &amp; Tabelle7[[#This Row],[Wert]]</f>
        <v xml:space="preserve">  cosAO_SUBTRACT = 4</v>
      </c>
      <c r="H96" s="44" t="str">
        <f>"  If Wert = " &amp; Tabelle7[[#This Row],[EnuValue]] &amp; " then Res = ""." &amp; Tabelle7[[#This Row],[EnuRohValue]] &amp; "."""</f>
        <v xml:space="preserve">  If Wert = cosAO_SUBTRACT then Res = ".SUBTRACT."</v>
      </c>
      <c r="I96" s="44" t="str">
        <f>"  If wert = ""." &amp; Tabelle7[[#This Row],[EnuRohValue]] &amp; "."" Then Res = " &amp; Tabelle7[[#This Row],[EnuValue]]</f>
        <v xml:space="preserve">  If wert = ".SUBTRACT." Then Res = cosAO_SUBTRACT</v>
      </c>
    </row>
    <row r="97" spans="2:9" x14ac:dyDescent="0.25">
      <c r="B97" s="44">
        <v>1</v>
      </c>
      <c r="C97" s="45" t="s">
        <v>1515</v>
      </c>
      <c r="D97" s="44" t="s">
        <v>3724</v>
      </c>
      <c r="E97" s="44" t="str">
        <f>VLOOKUP(Tabelle7[[#This Row],[EnumName]],Enum[[IFC-Name]:[Präfix]],5,FALSE)&amp;Tabelle7[[#This Row],[EnuRohValue]]</f>
        <v>pocAP_SITE</v>
      </c>
      <c r="F97" s="44">
        <f>COUNTIF(Tabelle7[EnuValue],Tabelle7[[#This Row],[EnuValue]])</f>
        <v>1</v>
      </c>
      <c r="G97" s="44" t="str">
        <f xml:space="preserve"> "  " &amp; Tabelle7[[#This Row],[EnuValue]] &amp; " = " &amp; Tabelle7[[#This Row],[Wert]]</f>
        <v xml:space="preserve">  pocAP_SITE = 1</v>
      </c>
      <c r="H97" s="44" t="str">
        <f>"  If Wert = " &amp; Tabelle7[[#This Row],[EnuValue]] &amp; " then Res = ""." &amp; Tabelle7[[#This Row],[EnuRohValue]] &amp; "."""</f>
        <v xml:space="preserve">  If Wert = pocAP_SITE then Res = ".SITE."</v>
      </c>
      <c r="I97" s="44" t="str">
        <f>"  If wert = ""." &amp; Tabelle7[[#This Row],[EnuRohValue]] &amp; "."" Then Res = " &amp; Tabelle7[[#This Row],[EnuValue]]</f>
        <v xml:space="preserve">  If wert = ".SITE." Then Res = pocAP_SITE</v>
      </c>
    </row>
    <row r="98" spans="2:9" x14ac:dyDescent="0.25">
      <c r="B98" s="44">
        <v>2</v>
      </c>
      <c r="C98" s="45" t="s">
        <v>1515</v>
      </c>
      <c r="D98" s="44" t="s">
        <v>3764</v>
      </c>
      <c r="E98" s="44" t="str">
        <f>VLOOKUP(Tabelle7[[#This Row],[EnumName]],Enum[[IFC-Name]:[Präfix]],5,FALSE)&amp;Tabelle7[[#This Row],[EnuRohValue]]</f>
        <v>pocAP_FACTORY</v>
      </c>
      <c r="F98" s="44">
        <f>COUNTIF(Tabelle7[EnuValue],Tabelle7[[#This Row],[EnuValue]])</f>
        <v>1</v>
      </c>
      <c r="G98" s="44" t="str">
        <f xml:space="preserve"> "  " &amp; Tabelle7[[#This Row],[EnuValue]] &amp; " = " &amp; Tabelle7[[#This Row],[Wert]]</f>
        <v xml:space="preserve">  pocAP_FACTORY = 2</v>
      </c>
      <c r="H98" s="44" t="str">
        <f>"  If Wert = " &amp; Tabelle7[[#This Row],[EnuValue]] &amp; " then Res = ""." &amp; Tabelle7[[#This Row],[EnuRohValue]] &amp; "."""</f>
        <v xml:space="preserve">  If Wert = pocAP_FACTORY then Res = ".FACTORY."</v>
      </c>
      <c r="I98" s="44" t="str">
        <f>"  If wert = ""." &amp; Tabelle7[[#This Row],[EnuRohValue]] &amp; "."" Then Res = " &amp; Tabelle7[[#This Row],[EnuValue]]</f>
        <v xml:space="preserve">  If wert = ".FACTORY." Then Res = pocAP_FACTORY</v>
      </c>
    </row>
    <row r="99" spans="2:9" x14ac:dyDescent="0.25">
      <c r="B99" s="44">
        <v>3</v>
      </c>
      <c r="C99" s="45" t="s">
        <v>1515</v>
      </c>
      <c r="D99" s="44" t="s">
        <v>3683</v>
      </c>
      <c r="E99" s="44" t="str">
        <f>VLOOKUP(Tabelle7[[#This Row],[EnumName]],Enum[[IFC-Name]:[Präfix]],5,FALSE)&amp;Tabelle7[[#This Row],[EnuRohValue]]</f>
        <v>pocAP_NOTDEFINED</v>
      </c>
      <c r="F99" s="44">
        <f>COUNTIF(Tabelle7[EnuValue],Tabelle7[[#This Row],[EnuValue]])</f>
        <v>1</v>
      </c>
      <c r="G99" s="44" t="str">
        <f xml:space="preserve"> "  " &amp; Tabelle7[[#This Row],[EnuValue]] &amp; " = " &amp; Tabelle7[[#This Row],[Wert]]</f>
        <v xml:space="preserve">  pocAP_NOTDEFINED = 3</v>
      </c>
      <c r="H99" s="44" t="str">
        <f>"  If Wert = " &amp; Tabelle7[[#This Row],[EnuValue]] &amp; " then Res = ""." &amp; Tabelle7[[#This Row],[EnuRohValue]] &amp; "."""</f>
        <v xml:space="preserve">  If Wert = pocAP_NOTDEFINED then Res = ".NOTDEFINED."</v>
      </c>
      <c r="I99" s="44" t="str">
        <f>"  If wert = ""." &amp; Tabelle7[[#This Row],[EnuRohValue]] &amp; "."" Then Res = " &amp; Tabelle7[[#This Row],[EnuValue]]</f>
        <v xml:space="preserve">  If wert = ".NOTDEFINED." Then Res = pocAP_NOTDEFINED</v>
      </c>
    </row>
    <row r="100" spans="2:9" x14ac:dyDescent="0.25">
      <c r="B100" s="44">
        <v>1</v>
      </c>
      <c r="C100" s="45" t="s">
        <v>1516</v>
      </c>
      <c r="D100" s="44" t="s">
        <v>3765</v>
      </c>
      <c r="E100" s="44" t="str">
        <f>VLOOKUP(Tabelle7[[#This Row],[EnumName]],Enum[[IFC-Name]:[Präfix]],5,FALSE)&amp;Tabelle7[[#This Row],[EnuRohValue]]</f>
        <v>geoBSCF_POLYLINE_FORM</v>
      </c>
      <c r="F100" s="44">
        <f>COUNTIF(Tabelle7[EnuValue],Tabelle7[[#This Row],[EnuValue]])</f>
        <v>1</v>
      </c>
      <c r="G100" s="44" t="str">
        <f xml:space="preserve"> "  " &amp; Tabelle7[[#This Row],[EnuValue]] &amp; " = " &amp; Tabelle7[[#This Row],[Wert]]</f>
        <v xml:space="preserve">  geoBSCF_POLYLINE_FORM = 1</v>
      </c>
      <c r="H100" s="44" t="str">
        <f>"  If Wert = " &amp; Tabelle7[[#This Row],[EnuValue]] &amp; " then Res = ""." &amp; Tabelle7[[#This Row],[EnuRohValue]] &amp; "."""</f>
        <v xml:space="preserve">  If Wert = geoBSCF_POLYLINE_FORM then Res = ".POLYLINE_FORM."</v>
      </c>
      <c r="I100" s="44" t="str">
        <f>"  If wert = ""." &amp; Tabelle7[[#This Row],[EnuRohValue]] &amp; "."" Then Res = " &amp; Tabelle7[[#This Row],[EnuValue]]</f>
        <v xml:space="preserve">  If wert = ".POLYLINE_FORM." Then Res = geoBSCF_POLYLINE_FORM</v>
      </c>
    </row>
    <row r="101" spans="2:9" x14ac:dyDescent="0.25">
      <c r="B101" s="44">
        <v>2</v>
      </c>
      <c r="C101" s="45" t="s">
        <v>1516</v>
      </c>
      <c r="D101" s="44" t="s">
        <v>3766</v>
      </c>
      <c r="E101" s="44" t="str">
        <f>VLOOKUP(Tabelle7[[#This Row],[EnumName]],Enum[[IFC-Name]:[Präfix]],5,FALSE)&amp;Tabelle7[[#This Row],[EnuRohValue]]</f>
        <v>geoBSCF_CIRCULAR_ARC</v>
      </c>
      <c r="F101" s="44">
        <f>COUNTIF(Tabelle7[EnuValue],Tabelle7[[#This Row],[EnuValue]])</f>
        <v>1</v>
      </c>
      <c r="G101" s="44" t="str">
        <f xml:space="preserve"> "  " &amp; Tabelle7[[#This Row],[EnuValue]] &amp; " = " &amp; Tabelle7[[#This Row],[Wert]]</f>
        <v xml:space="preserve">  geoBSCF_CIRCULAR_ARC = 2</v>
      </c>
      <c r="H101" s="44" t="str">
        <f>"  If Wert = " &amp; Tabelle7[[#This Row],[EnuValue]] &amp; " then Res = ""." &amp; Tabelle7[[#This Row],[EnuRohValue]] &amp; "."""</f>
        <v xml:space="preserve">  If Wert = geoBSCF_CIRCULAR_ARC then Res = ".CIRCULAR_ARC."</v>
      </c>
      <c r="I101" s="44" t="str">
        <f>"  If wert = ""." &amp; Tabelle7[[#This Row],[EnuRohValue]] &amp; "."" Then Res = " &amp; Tabelle7[[#This Row],[EnuValue]]</f>
        <v xml:space="preserve">  If wert = ".CIRCULAR_ARC." Then Res = geoBSCF_CIRCULAR_ARC</v>
      </c>
    </row>
    <row r="102" spans="2:9" x14ac:dyDescent="0.25">
      <c r="B102" s="44">
        <v>3</v>
      </c>
      <c r="C102" s="45" t="s">
        <v>1516</v>
      </c>
      <c r="D102" s="44" t="s">
        <v>3767</v>
      </c>
      <c r="E102" s="44" t="str">
        <f>VLOOKUP(Tabelle7[[#This Row],[EnumName]],Enum[[IFC-Name]:[Präfix]],5,FALSE)&amp;Tabelle7[[#This Row],[EnuRohValue]]</f>
        <v>geoBSCF_ELLIPTIC_ARC</v>
      </c>
      <c r="F102" s="44">
        <f>COUNTIF(Tabelle7[EnuValue],Tabelle7[[#This Row],[EnuValue]])</f>
        <v>1</v>
      </c>
      <c r="G102" s="44" t="str">
        <f xml:space="preserve"> "  " &amp; Tabelle7[[#This Row],[EnuValue]] &amp; " = " &amp; Tabelle7[[#This Row],[Wert]]</f>
        <v xml:space="preserve">  geoBSCF_ELLIPTIC_ARC = 3</v>
      </c>
      <c r="H102" s="44" t="str">
        <f>"  If Wert = " &amp; Tabelle7[[#This Row],[EnuValue]] &amp; " then Res = ""." &amp; Tabelle7[[#This Row],[EnuRohValue]] &amp; "."""</f>
        <v xml:space="preserve">  If Wert = geoBSCF_ELLIPTIC_ARC then Res = ".ELLIPTIC_ARC."</v>
      </c>
      <c r="I102" s="44" t="str">
        <f>"  If wert = ""." &amp; Tabelle7[[#This Row],[EnuRohValue]] &amp; "."" Then Res = " &amp; Tabelle7[[#This Row],[EnuValue]]</f>
        <v xml:space="preserve">  If wert = ".ELLIPTIC_ARC." Then Res = geoBSCF_ELLIPTIC_ARC</v>
      </c>
    </row>
    <row r="103" spans="2:9" x14ac:dyDescent="0.25">
      <c r="B103" s="44">
        <v>4</v>
      </c>
      <c r="C103" s="45" t="s">
        <v>1516</v>
      </c>
      <c r="D103" s="44" t="s">
        <v>3768</v>
      </c>
      <c r="E103" s="44" t="str">
        <f>VLOOKUP(Tabelle7[[#This Row],[EnumName]],Enum[[IFC-Name]:[Präfix]],5,FALSE)&amp;Tabelle7[[#This Row],[EnuRohValue]]</f>
        <v>geoBSCF_PARABOLIC_ARC</v>
      </c>
      <c r="F103" s="44">
        <f>COUNTIF(Tabelle7[EnuValue],Tabelle7[[#This Row],[EnuValue]])</f>
        <v>1</v>
      </c>
      <c r="G103" s="44" t="str">
        <f xml:space="preserve"> "  " &amp; Tabelle7[[#This Row],[EnuValue]] &amp; " = " &amp; Tabelle7[[#This Row],[Wert]]</f>
        <v xml:space="preserve">  geoBSCF_PARABOLIC_ARC = 4</v>
      </c>
      <c r="H103" s="44" t="str">
        <f>"  If Wert = " &amp; Tabelle7[[#This Row],[EnuValue]] &amp; " then Res = ""." &amp; Tabelle7[[#This Row],[EnuRohValue]] &amp; "."""</f>
        <v xml:space="preserve">  If Wert = geoBSCF_PARABOLIC_ARC then Res = ".PARABOLIC_ARC."</v>
      </c>
      <c r="I103" s="44" t="str">
        <f>"  If wert = ""." &amp; Tabelle7[[#This Row],[EnuRohValue]] &amp; "."" Then Res = " &amp; Tabelle7[[#This Row],[EnuValue]]</f>
        <v xml:space="preserve">  If wert = ".PARABOLIC_ARC." Then Res = geoBSCF_PARABOLIC_ARC</v>
      </c>
    </row>
    <row r="104" spans="2:9" x14ac:dyDescent="0.25">
      <c r="B104" s="44">
        <v>5</v>
      </c>
      <c r="C104" s="45" t="s">
        <v>1516</v>
      </c>
      <c r="D104" s="44" t="s">
        <v>3769</v>
      </c>
      <c r="E104" s="44" t="str">
        <f>VLOOKUP(Tabelle7[[#This Row],[EnumName]],Enum[[IFC-Name]:[Präfix]],5,FALSE)&amp;Tabelle7[[#This Row],[EnuRohValue]]</f>
        <v>geoBSCF_HYPERBOLIC_ARC</v>
      </c>
      <c r="F104" s="44">
        <f>COUNTIF(Tabelle7[EnuValue],Tabelle7[[#This Row],[EnuValue]])</f>
        <v>1</v>
      </c>
      <c r="G104" s="44" t="str">
        <f xml:space="preserve"> "  " &amp; Tabelle7[[#This Row],[EnuValue]] &amp; " = " &amp; Tabelle7[[#This Row],[Wert]]</f>
        <v xml:space="preserve">  geoBSCF_HYPERBOLIC_ARC = 5</v>
      </c>
      <c r="H104" s="44" t="str">
        <f>"  If Wert = " &amp; Tabelle7[[#This Row],[EnuValue]] &amp; " then Res = ""." &amp; Tabelle7[[#This Row],[EnuRohValue]] &amp; "."""</f>
        <v xml:space="preserve">  If Wert = geoBSCF_HYPERBOLIC_ARC then Res = ".HYPERBOLIC_ARC."</v>
      </c>
      <c r="I104" s="44" t="str">
        <f>"  If wert = ""." &amp; Tabelle7[[#This Row],[EnuRohValue]] &amp; "."" Then Res = " &amp; Tabelle7[[#This Row],[EnuValue]]</f>
        <v xml:space="preserve">  If wert = ".HYPERBOLIC_ARC." Then Res = geoBSCF_HYPERBOLIC_ARC</v>
      </c>
    </row>
    <row r="105" spans="2:9" x14ac:dyDescent="0.25">
      <c r="B105" s="44">
        <v>6</v>
      </c>
      <c r="C105" s="45" t="s">
        <v>1516</v>
      </c>
      <c r="D105" s="44" t="s">
        <v>3770</v>
      </c>
      <c r="E105" s="44" t="str">
        <f>VLOOKUP(Tabelle7[[#This Row],[EnumName]],Enum[[IFC-Name]:[Präfix]],5,FALSE)&amp;Tabelle7[[#This Row],[EnuRohValue]]</f>
        <v>geoBSCF_UNSPECIFIED</v>
      </c>
      <c r="F105" s="44">
        <f>COUNTIF(Tabelle7[EnuValue],Tabelle7[[#This Row],[EnuValue]])</f>
        <v>1</v>
      </c>
      <c r="G105" s="44" t="str">
        <f xml:space="preserve"> "  " &amp; Tabelle7[[#This Row],[EnuValue]] &amp; " = " &amp; Tabelle7[[#This Row],[Wert]]</f>
        <v xml:space="preserve">  geoBSCF_UNSPECIFIED = 6</v>
      </c>
      <c r="H105" s="44" t="str">
        <f>"  If Wert = " &amp; Tabelle7[[#This Row],[EnuValue]] &amp; " then Res = ""." &amp; Tabelle7[[#This Row],[EnuRohValue]] &amp; "."""</f>
        <v xml:space="preserve">  If Wert = geoBSCF_UNSPECIFIED then Res = ".UNSPECIFIED."</v>
      </c>
      <c r="I105" s="44" t="str">
        <f>"  If wert = ""." &amp; Tabelle7[[#This Row],[EnuRohValue]] &amp; "."" Then Res = " &amp; Tabelle7[[#This Row],[EnuValue]]</f>
        <v xml:space="preserve">  If wert = ".UNSPECIFIED." Then Res = geoBSCF_UNSPECIFIED</v>
      </c>
    </row>
    <row r="106" spans="2:9" x14ac:dyDescent="0.25">
      <c r="B106" s="44">
        <v>1</v>
      </c>
      <c r="C106" s="45" t="s">
        <v>1517</v>
      </c>
      <c r="D106" s="44" t="s">
        <v>3771</v>
      </c>
      <c r="E106" s="44" t="str">
        <f>VLOOKUP(Tabelle7[[#This Row],[EnumName]],Enum[[IFC-Name]:[Präfix]],5,FALSE)&amp;Tabelle7[[#This Row],[EnuRohValue]]</f>
        <v>sbeBT_BEAM</v>
      </c>
      <c r="F106" s="44">
        <f>COUNTIF(Tabelle7[EnuValue],Tabelle7[[#This Row],[EnuValue]])</f>
        <v>1</v>
      </c>
      <c r="G106" s="44" t="str">
        <f xml:space="preserve"> "  " &amp; Tabelle7[[#This Row],[EnuValue]] &amp; " = " &amp; Tabelle7[[#This Row],[Wert]]</f>
        <v xml:space="preserve">  sbeBT_BEAM = 1</v>
      </c>
      <c r="H106" s="44" t="str">
        <f>"  If Wert = " &amp; Tabelle7[[#This Row],[EnuValue]] &amp; " then Res = ""." &amp; Tabelle7[[#This Row],[EnuRohValue]] &amp; "."""</f>
        <v xml:space="preserve">  If Wert = sbeBT_BEAM then Res = ".BEAM."</v>
      </c>
      <c r="I106" s="44" t="str">
        <f>"  If wert = ""." &amp; Tabelle7[[#This Row],[EnuRohValue]] &amp; "."" Then Res = " &amp; Tabelle7[[#This Row],[EnuValue]]</f>
        <v xml:space="preserve">  If wert = ".BEAM." Then Res = sbeBT_BEAM</v>
      </c>
    </row>
    <row r="107" spans="2:9" x14ac:dyDescent="0.25">
      <c r="B107" s="44">
        <v>2</v>
      </c>
      <c r="C107" s="45" t="s">
        <v>1517</v>
      </c>
      <c r="D107" s="44" t="s">
        <v>3772</v>
      </c>
      <c r="E107" s="44" t="str">
        <f>VLOOKUP(Tabelle7[[#This Row],[EnumName]],Enum[[IFC-Name]:[Präfix]],5,FALSE)&amp;Tabelle7[[#This Row],[EnuRohValue]]</f>
        <v>sbeBT_JOIST</v>
      </c>
      <c r="F107" s="44">
        <f>COUNTIF(Tabelle7[EnuValue],Tabelle7[[#This Row],[EnuValue]])</f>
        <v>1</v>
      </c>
      <c r="G107" s="44" t="str">
        <f xml:space="preserve"> "  " &amp; Tabelle7[[#This Row],[EnuValue]] &amp; " = " &amp; Tabelle7[[#This Row],[Wert]]</f>
        <v xml:space="preserve">  sbeBT_JOIST = 2</v>
      </c>
      <c r="H107" s="44" t="str">
        <f>"  If Wert = " &amp; Tabelle7[[#This Row],[EnuValue]] &amp; " then Res = ""." &amp; Tabelle7[[#This Row],[EnuRohValue]] &amp; "."""</f>
        <v xml:space="preserve">  If Wert = sbeBT_JOIST then Res = ".JOIST."</v>
      </c>
      <c r="I107" s="44" t="str">
        <f>"  If wert = ""." &amp; Tabelle7[[#This Row],[EnuRohValue]] &amp; "."" Then Res = " &amp; Tabelle7[[#This Row],[EnuValue]]</f>
        <v xml:space="preserve">  If wert = ".JOIST." Then Res = sbeBT_JOIST</v>
      </c>
    </row>
    <row r="108" spans="2:9" x14ac:dyDescent="0.25">
      <c r="B108" s="44">
        <v>3</v>
      </c>
      <c r="C108" s="45" t="s">
        <v>1517</v>
      </c>
      <c r="D108" s="44" t="s">
        <v>3773</v>
      </c>
      <c r="E108" s="44" t="str">
        <f>VLOOKUP(Tabelle7[[#This Row],[EnumName]],Enum[[IFC-Name]:[Präfix]],5,FALSE)&amp;Tabelle7[[#This Row],[EnuRohValue]]</f>
        <v>sbeBT_LINTEL</v>
      </c>
      <c r="F108" s="44">
        <f>COUNTIF(Tabelle7[EnuValue],Tabelle7[[#This Row],[EnuValue]])</f>
        <v>1</v>
      </c>
      <c r="G108" s="44" t="str">
        <f xml:space="preserve"> "  " &amp; Tabelle7[[#This Row],[EnuValue]] &amp; " = " &amp; Tabelle7[[#This Row],[Wert]]</f>
        <v xml:space="preserve">  sbeBT_LINTEL = 3</v>
      </c>
      <c r="H108" s="44" t="str">
        <f>"  If Wert = " &amp; Tabelle7[[#This Row],[EnuValue]] &amp; " then Res = ""." &amp; Tabelle7[[#This Row],[EnuRohValue]] &amp; "."""</f>
        <v xml:space="preserve">  If Wert = sbeBT_LINTEL then Res = ".LINTEL."</v>
      </c>
      <c r="I108" s="44" t="str">
        <f>"  If wert = ""." &amp; Tabelle7[[#This Row],[EnuRohValue]] &amp; "."" Then Res = " &amp; Tabelle7[[#This Row],[EnuValue]]</f>
        <v xml:space="preserve">  If wert = ".LINTEL." Then Res = sbeBT_LINTEL</v>
      </c>
    </row>
    <row r="109" spans="2:9" x14ac:dyDescent="0.25">
      <c r="B109" s="44">
        <v>4</v>
      </c>
      <c r="C109" s="45" t="s">
        <v>1517</v>
      </c>
      <c r="D109" s="44" t="s">
        <v>3774</v>
      </c>
      <c r="E109" s="44" t="str">
        <f>VLOOKUP(Tabelle7[[#This Row],[EnumName]],Enum[[IFC-Name]:[Präfix]],5,FALSE)&amp;Tabelle7[[#This Row],[EnuRohValue]]</f>
        <v>sbeBT_T_BEAM</v>
      </c>
      <c r="F109" s="44">
        <f>COUNTIF(Tabelle7[EnuValue],Tabelle7[[#This Row],[EnuValue]])</f>
        <v>1</v>
      </c>
      <c r="G109" s="44" t="str">
        <f xml:space="preserve"> "  " &amp; Tabelle7[[#This Row],[EnuValue]] &amp; " = " &amp; Tabelle7[[#This Row],[Wert]]</f>
        <v xml:space="preserve">  sbeBT_T_BEAM = 4</v>
      </c>
      <c r="H109" s="44" t="str">
        <f>"  If Wert = " &amp; Tabelle7[[#This Row],[EnuValue]] &amp; " then Res = ""." &amp; Tabelle7[[#This Row],[EnuRohValue]] &amp; "."""</f>
        <v xml:space="preserve">  If Wert = sbeBT_T_BEAM then Res = ".T_BEAM."</v>
      </c>
      <c r="I109" s="44" t="str">
        <f>"  If wert = ""." &amp; Tabelle7[[#This Row],[EnuRohValue]] &amp; "."" Then Res = " &amp; Tabelle7[[#This Row],[EnuValue]]</f>
        <v xml:space="preserve">  If wert = ".T_BEAM." Then Res = sbeBT_T_BEAM</v>
      </c>
    </row>
    <row r="110" spans="2:9" x14ac:dyDescent="0.25">
      <c r="B110" s="44">
        <v>5</v>
      </c>
      <c r="C110" s="45" t="s">
        <v>1517</v>
      </c>
      <c r="D110" s="44" t="s">
        <v>3682</v>
      </c>
      <c r="E110" s="44" t="str">
        <f>VLOOKUP(Tabelle7[[#This Row],[EnumName]],Enum[[IFC-Name]:[Präfix]],5,FALSE)&amp;Tabelle7[[#This Row],[EnuRohValue]]</f>
        <v>sbeBT_USERDEFINED</v>
      </c>
      <c r="F110" s="44">
        <f>COUNTIF(Tabelle7[EnuValue],Tabelle7[[#This Row],[EnuValue]])</f>
        <v>1</v>
      </c>
      <c r="G110" s="44" t="str">
        <f xml:space="preserve"> "  " &amp; Tabelle7[[#This Row],[EnuValue]] &amp; " = " &amp; Tabelle7[[#This Row],[Wert]]</f>
        <v xml:space="preserve">  sbeBT_USERDEFINED = 5</v>
      </c>
      <c r="H110" s="44" t="str">
        <f>"  If Wert = " &amp; Tabelle7[[#This Row],[EnuValue]] &amp; " then Res = ""." &amp; Tabelle7[[#This Row],[EnuRohValue]] &amp; "."""</f>
        <v xml:space="preserve">  If Wert = sbeBT_USERDEFINED then Res = ".USERDEFINED."</v>
      </c>
      <c r="I110" s="44" t="str">
        <f>"  If wert = ""." &amp; Tabelle7[[#This Row],[EnuRohValue]] &amp; "."" Then Res = " &amp; Tabelle7[[#This Row],[EnuValue]]</f>
        <v xml:space="preserve">  If wert = ".USERDEFINED." Then Res = sbeBT_USERDEFINED</v>
      </c>
    </row>
    <row r="111" spans="2:9" x14ac:dyDescent="0.25">
      <c r="B111" s="44">
        <v>6</v>
      </c>
      <c r="C111" s="45" t="s">
        <v>1517</v>
      </c>
      <c r="D111" s="44" t="s">
        <v>3683</v>
      </c>
      <c r="E111" s="44" t="str">
        <f>VLOOKUP(Tabelle7[[#This Row],[EnumName]],Enum[[IFC-Name]:[Präfix]],5,FALSE)&amp;Tabelle7[[#This Row],[EnuRohValue]]</f>
        <v>sbeBT_NOTDEFINED</v>
      </c>
      <c r="F111" s="44">
        <f>COUNTIF(Tabelle7[EnuValue],Tabelle7[[#This Row],[EnuValue]])</f>
        <v>1</v>
      </c>
      <c r="G111" s="44" t="str">
        <f xml:space="preserve"> "  " &amp; Tabelle7[[#This Row],[EnuValue]] &amp; " = " &amp; Tabelle7[[#This Row],[Wert]]</f>
        <v xml:space="preserve">  sbeBT_NOTDEFINED = 6</v>
      </c>
      <c r="H111" s="44" t="str">
        <f>"  If Wert = " &amp; Tabelle7[[#This Row],[EnuValue]] &amp; " then Res = ""." &amp; Tabelle7[[#This Row],[EnuRohValue]] &amp; "."""</f>
        <v xml:space="preserve">  If Wert = sbeBT_NOTDEFINED then Res = ".NOTDEFINED."</v>
      </c>
      <c r="I111" s="44" t="str">
        <f>"  If wert = ""." &amp; Tabelle7[[#This Row],[EnuRohValue]] &amp; "."" Then Res = " &amp; Tabelle7[[#This Row],[EnuValue]]</f>
        <v xml:space="preserve">  If wert = ".NOTDEFINED." Then Res = sbeBT_NOTDEFINED</v>
      </c>
    </row>
    <row r="112" spans="2:9" x14ac:dyDescent="0.25">
      <c r="B112" s="44">
        <v>1</v>
      </c>
      <c r="C112" s="45" t="s">
        <v>1518</v>
      </c>
      <c r="D112" s="44" t="s">
        <v>3775</v>
      </c>
      <c r="E112" s="44" t="str">
        <f>VLOOKUP(Tabelle7[[#This Row],[EnumName]],Enum[[IFC-Name]:[Präfix]],5,FALSE)&amp;Tabelle7[[#This Row],[EnuRohValue]]</f>
        <v>cstB_GREATERTHAN</v>
      </c>
      <c r="F112" s="44">
        <f>COUNTIF(Tabelle7[EnuValue],Tabelle7[[#This Row],[EnuValue]])</f>
        <v>1</v>
      </c>
      <c r="G112" s="44" t="str">
        <f xml:space="preserve"> "  " &amp; Tabelle7[[#This Row],[EnuValue]] &amp; " = " &amp; Tabelle7[[#This Row],[Wert]]</f>
        <v xml:space="preserve">  cstB_GREATERTHAN = 1</v>
      </c>
      <c r="H112" s="44" t="str">
        <f>"  If Wert = " &amp; Tabelle7[[#This Row],[EnuValue]] &amp; " then Res = ""." &amp; Tabelle7[[#This Row],[EnuRohValue]] &amp; "."""</f>
        <v xml:space="preserve">  If Wert = cstB_GREATERTHAN then Res = ".GREATERTHAN."</v>
      </c>
      <c r="I112" s="44" t="str">
        <f>"  If wert = ""." &amp; Tabelle7[[#This Row],[EnuRohValue]] &amp; "."" Then Res = " &amp; Tabelle7[[#This Row],[EnuValue]]</f>
        <v xml:space="preserve">  If wert = ".GREATERTHAN." Then Res = cstB_GREATERTHAN</v>
      </c>
    </row>
    <row r="113" spans="2:9" x14ac:dyDescent="0.25">
      <c r="B113" s="44">
        <v>2</v>
      </c>
      <c r="C113" s="45" t="s">
        <v>1518</v>
      </c>
      <c r="D113" s="44" t="s">
        <v>3776</v>
      </c>
      <c r="E113" s="44" t="str">
        <f>VLOOKUP(Tabelle7[[#This Row],[EnumName]],Enum[[IFC-Name]:[Präfix]],5,FALSE)&amp;Tabelle7[[#This Row],[EnuRohValue]]</f>
        <v>cstB_GREATERTHANOREQUALTO</v>
      </c>
      <c r="F113" s="44">
        <f>COUNTIF(Tabelle7[EnuValue],Tabelle7[[#This Row],[EnuValue]])</f>
        <v>1</v>
      </c>
      <c r="G113" s="44" t="str">
        <f xml:space="preserve"> "  " &amp; Tabelle7[[#This Row],[EnuValue]] &amp; " = " &amp; Tabelle7[[#This Row],[Wert]]</f>
        <v xml:space="preserve">  cstB_GREATERTHANOREQUALTO = 2</v>
      </c>
      <c r="H113" s="44" t="str">
        <f>"  If Wert = " &amp; Tabelle7[[#This Row],[EnuValue]] &amp; " then Res = ""." &amp; Tabelle7[[#This Row],[EnuRohValue]] &amp; "."""</f>
        <v xml:space="preserve">  If Wert = cstB_GREATERTHANOREQUALTO then Res = ".GREATERTHANOREQUALTO."</v>
      </c>
      <c r="I113" s="44" t="str">
        <f>"  If wert = ""." &amp; Tabelle7[[#This Row],[EnuRohValue]] &amp; "."" Then Res = " &amp; Tabelle7[[#This Row],[EnuValue]]</f>
        <v xml:space="preserve">  If wert = ".GREATERTHANOREQUALTO." Then Res = cstB_GREATERTHANOREQUALTO</v>
      </c>
    </row>
    <row r="114" spans="2:9" x14ac:dyDescent="0.25">
      <c r="B114" s="44">
        <v>3</v>
      </c>
      <c r="C114" s="45" t="s">
        <v>1518</v>
      </c>
      <c r="D114" s="44" t="s">
        <v>3777</v>
      </c>
      <c r="E114" s="44" t="str">
        <f>VLOOKUP(Tabelle7[[#This Row],[EnumName]],Enum[[IFC-Name]:[Präfix]],5,FALSE)&amp;Tabelle7[[#This Row],[EnuRohValue]]</f>
        <v>cstB_LESSTHAN</v>
      </c>
      <c r="F114" s="44">
        <f>COUNTIF(Tabelle7[EnuValue],Tabelle7[[#This Row],[EnuValue]])</f>
        <v>1</v>
      </c>
      <c r="G114" s="44" t="str">
        <f xml:space="preserve"> "  " &amp; Tabelle7[[#This Row],[EnuValue]] &amp; " = " &amp; Tabelle7[[#This Row],[Wert]]</f>
        <v xml:space="preserve">  cstB_LESSTHAN = 3</v>
      </c>
      <c r="H114" s="44" t="str">
        <f>"  If Wert = " &amp; Tabelle7[[#This Row],[EnuValue]] &amp; " then Res = ""." &amp; Tabelle7[[#This Row],[EnuRohValue]] &amp; "."""</f>
        <v xml:space="preserve">  If Wert = cstB_LESSTHAN then Res = ".LESSTHAN."</v>
      </c>
      <c r="I114" s="44" t="str">
        <f>"  If wert = ""." &amp; Tabelle7[[#This Row],[EnuRohValue]] &amp; "."" Then Res = " &amp; Tabelle7[[#This Row],[EnuValue]]</f>
        <v xml:space="preserve">  If wert = ".LESSTHAN." Then Res = cstB_LESSTHAN</v>
      </c>
    </row>
    <row r="115" spans="2:9" x14ac:dyDescent="0.25">
      <c r="B115" s="44">
        <v>4</v>
      </c>
      <c r="C115" s="45" t="s">
        <v>1518</v>
      </c>
      <c r="D115" s="44" t="s">
        <v>3778</v>
      </c>
      <c r="E115" s="44" t="str">
        <f>VLOOKUP(Tabelle7[[#This Row],[EnumName]],Enum[[IFC-Name]:[Präfix]],5,FALSE)&amp;Tabelle7[[#This Row],[EnuRohValue]]</f>
        <v>cstB_LESSTHANOREQUALTO</v>
      </c>
      <c r="F115" s="44">
        <f>COUNTIF(Tabelle7[EnuValue],Tabelle7[[#This Row],[EnuValue]])</f>
        <v>1</v>
      </c>
      <c r="G115" s="44" t="str">
        <f xml:space="preserve"> "  " &amp; Tabelle7[[#This Row],[EnuValue]] &amp; " = " &amp; Tabelle7[[#This Row],[Wert]]</f>
        <v xml:space="preserve">  cstB_LESSTHANOREQUALTO = 4</v>
      </c>
      <c r="H115" s="44" t="str">
        <f>"  If Wert = " &amp; Tabelle7[[#This Row],[EnuValue]] &amp; " then Res = ""." &amp; Tabelle7[[#This Row],[EnuRohValue]] &amp; "."""</f>
        <v xml:space="preserve">  If Wert = cstB_LESSTHANOREQUALTO then Res = ".LESSTHANOREQUALTO."</v>
      </c>
      <c r="I115" s="44" t="str">
        <f>"  If wert = ""." &amp; Tabelle7[[#This Row],[EnuRohValue]] &amp; "."" Then Res = " &amp; Tabelle7[[#This Row],[EnuValue]]</f>
        <v xml:space="preserve">  If wert = ".LESSTHANOREQUALTO." Then Res = cstB_LESSTHANOREQUALTO</v>
      </c>
    </row>
    <row r="116" spans="2:9" x14ac:dyDescent="0.25">
      <c r="B116" s="44">
        <v>5</v>
      </c>
      <c r="C116" s="45" t="s">
        <v>1518</v>
      </c>
      <c r="D116" s="44" t="s">
        <v>3779</v>
      </c>
      <c r="E116" s="44" t="str">
        <f>VLOOKUP(Tabelle7[[#This Row],[EnumName]],Enum[[IFC-Name]:[Präfix]],5,FALSE)&amp;Tabelle7[[#This Row],[EnuRohValue]]</f>
        <v>cstB_EQUALTO</v>
      </c>
      <c r="F116" s="44">
        <f>COUNTIF(Tabelle7[EnuValue],Tabelle7[[#This Row],[EnuValue]])</f>
        <v>1</v>
      </c>
      <c r="G116" s="44" t="str">
        <f xml:space="preserve"> "  " &amp; Tabelle7[[#This Row],[EnuValue]] &amp; " = " &amp; Tabelle7[[#This Row],[Wert]]</f>
        <v xml:space="preserve">  cstB_EQUALTO = 5</v>
      </c>
      <c r="H116" s="44" t="str">
        <f>"  If Wert = " &amp; Tabelle7[[#This Row],[EnuValue]] &amp; " then Res = ""." &amp; Tabelle7[[#This Row],[EnuRohValue]] &amp; "."""</f>
        <v xml:space="preserve">  If Wert = cstB_EQUALTO then Res = ".EQUALTO."</v>
      </c>
      <c r="I116" s="44" t="str">
        <f>"  If wert = ""." &amp; Tabelle7[[#This Row],[EnuRohValue]] &amp; "."" Then Res = " &amp; Tabelle7[[#This Row],[EnuValue]]</f>
        <v xml:space="preserve">  If wert = ".EQUALTO." Then Res = cstB_EQUALTO</v>
      </c>
    </row>
    <row r="117" spans="2:9" x14ac:dyDescent="0.25">
      <c r="B117" s="44">
        <v>6</v>
      </c>
      <c r="C117" s="45" t="s">
        <v>1518</v>
      </c>
      <c r="D117" s="44" t="s">
        <v>3780</v>
      </c>
      <c r="E117" s="44" t="str">
        <f>VLOOKUP(Tabelle7[[#This Row],[EnumName]],Enum[[IFC-Name]:[Präfix]],5,FALSE)&amp;Tabelle7[[#This Row],[EnuRohValue]]</f>
        <v>cstB_NOTEQUALTO</v>
      </c>
      <c r="F117" s="44">
        <f>COUNTIF(Tabelle7[EnuValue],Tabelle7[[#This Row],[EnuValue]])</f>
        <v>1</v>
      </c>
      <c r="G117" s="44" t="str">
        <f xml:space="preserve"> "  " &amp; Tabelle7[[#This Row],[EnuValue]] &amp; " = " &amp; Tabelle7[[#This Row],[Wert]]</f>
        <v xml:space="preserve">  cstB_NOTEQUALTO = 6</v>
      </c>
      <c r="H117" s="44" t="str">
        <f>"  If Wert = " &amp; Tabelle7[[#This Row],[EnuValue]] &amp; " then Res = ""." &amp; Tabelle7[[#This Row],[EnuRohValue]] &amp; "."""</f>
        <v xml:space="preserve">  If Wert = cstB_NOTEQUALTO then Res = ".NOTEQUALTO."</v>
      </c>
      <c r="I117" s="44" t="str">
        <f>"  If wert = ""." &amp; Tabelle7[[#This Row],[EnuRohValue]] &amp; "."" Then Res = " &amp; Tabelle7[[#This Row],[EnuValue]]</f>
        <v xml:space="preserve">  If wert = ".NOTEQUALTO." Then Res = cstB_NOTEQUALTO</v>
      </c>
    </row>
    <row r="118" spans="2:9" x14ac:dyDescent="0.25">
      <c r="B118" s="44">
        <v>1</v>
      </c>
      <c r="C118" s="45" t="s">
        <v>1519</v>
      </c>
      <c r="D118" s="44" t="s">
        <v>3781</v>
      </c>
      <c r="E118" s="44" t="str">
        <f>VLOOKUP(Tabelle7[[#This Row],[EnumName]],Enum[[IFC-Name]:[Präfix]],5,FALSE)&amp;Tabelle7[[#This Row],[EnuRohValue]]</f>
        <v>hvacBT_WATER</v>
      </c>
      <c r="F118" s="44">
        <f>COUNTIF(Tabelle7[EnuValue],Tabelle7[[#This Row],[EnuValue]])</f>
        <v>1</v>
      </c>
      <c r="G118" s="44" t="str">
        <f xml:space="preserve"> "  " &amp; Tabelle7[[#This Row],[EnuValue]] &amp; " = " &amp; Tabelle7[[#This Row],[Wert]]</f>
        <v xml:space="preserve">  hvacBT_WATER = 1</v>
      </c>
      <c r="H118" s="44" t="str">
        <f>"  If Wert = " &amp; Tabelle7[[#This Row],[EnuValue]] &amp; " then Res = ""." &amp; Tabelle7[[#This Row],[EnuRohValue]] &amp; "."""</f>
        <v xml:space="preserve">  If Wert = hvacBT_WATER then Res = ".WATER."</v>
      </c>
      <c r="I118" s="44" t="str">
        <f>"  If wert = ""." &amp; Tabelle7[[#This Row],[EnuRohValue]] &amp; "."" Then Res = " &amp; Tabelle7[[#This Row],[EnuValue]]</f>
        <v xml:space="preserve">  If wert = ".WATER." Then Res = hvacBT_WATER</v>
      </c>
    </row>
    <row r="119" spans="2:9" x14ac:dyDescent="0.25">
      <c r="B119" s="44">
        <v>2</v>
      </c>
      <c r="C119" s="45" t="s">
        <v>1519</v>
      </c>
      <c r="D119" s="44" t="s">
        <v>3782</v>
      </c>
      <c r="E119" s="44" t="str">
        <f>VLOOKUP(Tabelle7[[#This Row],[EnumName]],Enum[[IFC-Name]:[Präfix]],5,FALSE)&amp;Tabelle7[[#This Row],[EnuRohValue]]</f>
        <v>hvacBT_STEAM</v>
      </c>
      <c r="F119" s="44">
        <f>COUNTIF(Tabelle7[EnuValue],Tabelle7[[#This Row],[EnuValue]])</f>
        <v>1</v>
      </c>
      <c r="G119" s="44" t="str">
        <f xml:space="preserve"> "  " &amp; Tabelle7[[#This Row],[EnuValue]] &amp; " = " &amp; Tabelle7[[#This Row],[Wert]]</f>
        <v xml:space="preserve">  hvacBT_STEAM = 2</v>
      </c>
      <c r="H119" s="44" t="str">
        <f>"  If Wert = " &amp; Tabelle7[[#This Row],[EnuValue]] &amp; " then Res = ""." &amp; Tabelle7[[#This Row],[EnuRohValue]] &amp; "."""</f>
        <v xml:space="preserve">  If Wert = hvacBT_STEAM then Res = ".STEAM."</v>
      </c>
      <c r="I119" s="44" t="str">
        <f>"  If wert = ""." &amp; Tabelle7[[#This Row],[EnuRohValue]] &amp; "."" Then Res = " &amp; Tabelle7[[#This Row],[EnuValue]]</f>
        <v xml:space="preserve">  If wert = ".STEAM." Then Res = hvacBT_STEAM</v>
      </c>
    </row>
    <row r="120" spans="2:9" x14ac:dyDescent="0.25">
      <c r="B120" s="44">
        <v>3</v>
      </c>
      <c r="C120" s="45" t="s">
        <v>1519</v>
      </c>
      <c r="D120" s="44" t="s">
        <v>3682</v>
      </c>
      <c r="E120" s="44" t="str">
        <f>VLOOKUP(Tabelle7[[#This Row],[EnumName]],Enum[[IFC-Name]:[Präfix]],5,FALSE)&amp;Tabelle7[[#This Row],[EnuRohValue]]</f>
        <v>hvacBT_USERDEFINED</v>
      </c>
      <c r="F120" s="44">
        <f>COUNTIF(Tabelle7[EnuValue],Tabelle7[[#This Row],[EnuValue]])</f>
        <v>1</v>
      </c>
      <c r="G120" s="44" t="str">
        <f xml:space="preserve"> "  " &amp; Tabelle7[[#This Row],[EnuValue]] &amp; " = " &amp; Tabelle7[[#This Row],[Wert]]</f>
        <v xml:space="preserve">  hvacBT_USERDEFINED = 3</v>
      </c>
      <c r="H120" s="44" t="str">
        <f>"  If Wert = " &amp; Tabelle7[[#This Row],[EnuValue]] &amp; " then Res = ""." &amp; Tabelle7[[#This Row],[EnuRohValue]] &amp; "."""</f>
        <v xml:space="preserve">  If Wert = hvacBT_USERDEFINED then Res = ".USERDEFINED."</v>
      </c>
      <c r="I120" s="44" t="str">
        <f>"  If wert = ""." &amp; Tabelle7[[#This Row],[EnuRohValue]] &amp; "."" Then Res = " &amp; Tabelle7[[#This Row],[EnuValue]]</f>
        <v xml:space="preserve">  If wert = ".USERDEFINED." Then Res = hvacBT_USERDEFINED</v>
      </c>
    </row>
    <row r="121" spans="2:9" x14ac:dyDescent="0.25">
      <c r="B121" s="44">
        <v>4</v>
      </c>
      <c r="C121" s="45" t="s">
        <v>1519</v>
      </c>
      <c r="D121" s="44" t="s">
        <v>3683</v>
      </c>
      <c r="E121" s="44" t="str">
        <f>VLOOKUP(Tabelle7[[#This Row],[EnumName]],Enum[[IFC-Name]:[Präfix]],5,FALSE)&amp;Tabelle7[[#This Row],[EnuRohValue]]</f>
        <v>hvacBT_NOTDEFINED</v>
      </c>
      <c r="F121" s="44">
        <f>COUNTIF(Tabelle7[EnuValue],Tabelle7[[#This Row],[EnuValue]])</f>
        <v>1</v>
      </c>
      <c r="G121" s="44" t="str">
        <f xml:space="preserve"> "  " &amp; Tabelle7[[#This Row],[EnuValue]] &amp; " = " &amp; Tabelle7[[#This Row],[Wert]]</f>
        <v xml:space="preserve">  hvacBT_NOTDEFINED = 4</v>
      </c>
      <c r="H121" s="44" t="str">
        <f>"  If Wert = " &amp; Tabelle7[[#This Row],[EnuValue]] &amp; " then Res = ""." &amp; Tabelle7[[#This Row],[EnuRohValue]] &amp; "."""</f>
        <v xml:space="preserve">  If Wert = hvacBT_NOTDEFINED then Res = ".NOTDEFINED."</v>
      </c>
      <c r="I121" s="44" t="str">
        <f>"  If wert = ""." &amp; Tabelle7[[#This Row],[EnuRohValue]] &amp; "."" Then Res = " &amp; Tabelle7[[#This Row],[EnuValue]]</f>
        <v xml:space="preserve">  If wert = ".NOTDEFINED." Then Res = hvacBT_NOTDEFINED</v>
      </c>
    </row>
    <row r="122" spans="2:9" x14ac:dyDescent="0.25">
      <c r="B122" s="44">
        <v>1</v>
      </c>
      <c r="C122" s="45" t="s">
        <v>1520</v>
      </c>
      <c r="D122" s="44" t="s">
        <v>3783</v>
      </c>
      <c r="E122" s="44" t="str">
        <f>VLOOKUP(Tabelle7[[#This Row],[EnumName]],Enum[[IFC-Name]:[Präfix]],5,FALSE)&amp;Tabelle7[[#This Row],[EnuRohValue]]</f>
        <v>gmmBO_UNION</v>
      </c>
      <c r="F122" s="44">
        <f>COUNTIF(Tabelle7[EnuValue],Tabelle7[[#This Row],[EnuValue]])</f>
        <v>1</v>
      </c>
      <c r="G122" s="44" t="str">
        <f xml:space="preserve"> "  " &amp; Tabelle7[[#This Row],[EnuValue]] &amp; " = " &amp; Tabelle7[[#This Row],[Wert]]</f>
        <v xml:space="preserve">  gmmBO_UNION = 1</v>
      </c>
      <c r="H122" s="44" t="str">
        <f>"  If Wert = " &amp; Tabelle7[[#This Row],[EnuValue]] &amp; " then Res = ""." &amp; Tabelle7[[#This Row],[EnuRohValue]] &amp; "."""</f>
        <v xml:space="preserve">  If Wert = gmmBO_UNION then Res = ".UNION."</v>
      </c>
      <c r="I122" s="44" t="str">
        <f>"  If wert = ""." &amp; Tabelle7[[#This Row],[EnuRohValue]] &amp; "."" Then Res = " &amp; Tabelle7[[#This Row],[EnuValue]]</f>
        <v xml:space="preserve">  If wert = ".UNION." Then Res = gmmBO_UNION</v>
      </c>
    </row>
    <row r="123" spans="2:9" x14ac:dyDescent="0.25">
      <c r="B123" s="44">
        <v>2</v>
      </c>
      <c r="C123" s="45" t="s">
        <v>1520</v>
      </c>
      <c r="D123" s="44" t="s">
        <v>3784</v>
      </c>
      <c r="E123" s="44" t="str">
        <f>VLOOKUP(Tabelle7[[#This Row],[EnumName]],Enum[[IFC-Name]:[Präfix]],5,FALSE)&amp;Tabelle7[[#This Row],[EnuRohValue]]</f>
        <v>gmmBO_INTERSECTION</v>
      </c>
      <c r="F123" s="44">
        <f>COUNTIF(Tabelle7[EnuValue],Tabelle7[[#This Row],[EnuValue]])</f>
        <v>1</v>
      </c>
      <c r="G123" s="44" t="str">
        <f xml:space="preserve"> "  " &amp; Tabelle7[[#This Row],[EnuValue]] &amp; " = " &amp; Tabelle7[[#This Row],[Wert]]</f>
        <v xml:space="preserve">  gmmBO_INTERSECTION = 2</v>
      </c>
      <c r="H123" s="44" t="str">
        <f>"  If Wert = " &amp; Tabelle7[[#This Row],[EnuValue]] &amp; " then Res = ""." &amp; Tabelle7[[#This Row],[EnuRohValue]] &amp; "."""</f>
        <v xml:space="preserve">  If Wert = gmmBO_INTERSECTION then Res = ".INTERSECTION."</v>
      </c>
      <c r="I123" s="44" t="str">
        <f>"  If wert = ""." &amp; Tabelle7[[#This Row],[EnuRohValue]] &amp; "."" Then Res = " &amp; Tabelle7[[#This Row],[EnuValue]]</f>
        <v xml:space="preserve">  If wert = ".INTERSECTION." Then Res = gmmBO_INTERSECTION</v>
      </c>
    </row>
    <row r="124" spans="2:9" x14ac:dyDescent="0.25">
      <c r="B124" s="44">
        <v>3</v>
      </c>
      <c r="C124" s="45" t="s">
        <v>1520</v>
      </c>
      <c r="D124" s="44" t="s">
        <v>3785</v>
      </c>
      <c r="E124" s="44" t="str">
        <f>VLOOKUP(Tabelle7[[#This Row],[EnumName]],Enum[[IFC-Name]:[Präfix]],5,FALSE)&amp;Tabelle7[[#This Row],[EnuRohValue]]</f>
        <v>gmmBO_DIFFERENCE</v>
      </c>
      <c r="F124" s="44">
        <f>COUNTIF(Tabelle7[EnuValue],Tabelle7[[#This Row],[EnuValue]])</f>
        <v>1</v>
      </c>
      <c r="G124" s="44" t="str">
        <f xml:space="preserve"> "  " &amp; Tabelle7[[#This Row],[EnuValue]] &amp; " = " &amp; Tabelle7[[#This Row],[Wert]]</f>
        <v xml:space="preserve">  gmmBO_DIFFERENCE = 3</v>
      </c>
      <c r="H124" s="44" t="str">
        <f>"  If Wert = " &amp; Tabelle7[[#This Row],[EnuValue]] &amp; " then Res = ""." &amp; Tabelle7[[#This Row],[EnuRohValue]] &amp; "."""</f>
        <v xml:space="preserve">  If Wert = gmmBO_DIFFERENCE then Res = ".DIFFERENCE."</v>
      </c>
      <c r="I124" s="44" t="str">
        <f>"  If wert = ""." &amp; Tabelle7[[#This Row],[EnuRohValue]] &amp; "."" Then Res = " &amp; Tabelle7[[#This Row],[EnuValue]]</f>
        <v xml:space="preserve">  If wert = ".DIFFERENCE." Then Res = gmmBO_DIFFERENCE</v>
      </c>
    </row>
    <row r="125" spans="2:9" x14ac:dyDescent="0.25">
      <c r="B125" s="44">
        <v>1</v>
      </c>
      <c r="C125" s="45" t="s">
        <v>1521</v>
      </c>
      <c r="D125" s="44" t="s">
        <v>3682</v>
      </c>
      <c r="E125" s="44" t="str">
        <f>VLOOKUP(Tabelle7[[#This Row],[EnumName]],Enum[[IFC-Name]:[Präfix]],5,FALSE)&amp;Tabelle7[[#This Row],[EnuRohValue]]</f>
        <v>pocBEPT_USERDEFINED</v>
      </c>
      <c r="F125" s="44">
        <f>COUNTIF(Tabelle7[EnuValue],Tabelle7[[#This Row],[EnuValue]])</f>
        <v>1</v>
      </c>
      <c r="G125" s="44" t="str">
        <f xml:space="preserve"> "  " &amp; Tabelle7[[#This Row],[EnuValue]] &amp; " = " &amp; Tabelle7[[#This Row],[Wert]]</f>
        <v xml:space="preserve">  pocBEPT_USERDEFINED = 1</v>
      </c>
      <c r="H125" s="44" t="str">
        <f>"  If Wert = " &amp; Tabelle7[[#This Row],[EnuValue]] &amp; " then Res = ""." &amp; Tabelle7[[#This Row],[EnuRohValue]] &amp; "."""</f>
        <v xml:space="preserve">  If Wert = pocBEPT_USERDEFINED then Res = ".USERDEFINED."</v>
      </c>
      <c r="I125" s="44" t="str">
        <f>"  If wert = ""." &amp; Tabelle7[[#This Row],[EnuRohValue]] &amp; "."" Then Res = " &amp; Tabelle7[[#This Row],[EnuValue]]</f>
        <v xml:space="preserve">  If wert = ".USERDEFINED." Then Res = pocBEPT_USERDEFINED</v>
      </c>
    </row>
    <row r="126" spans="2:9" x14ac:dyDescent="0.25">
      <c r="B126" s="44">
        <v>2</v>
      </c>
      <c r="C126" s="45" t="s">
        <v>1521</v>
      </c>
      <c r="D126" s="44" t="s">
        <v>3683</v>
      </c>
      <c r="E126" s="44" t="str">
        <f>VLOOKUP(Tabelle7[[#This Row],[EnumName]],Enum[[IFC-Name]:[Präfix]],5,FALSE)&amp;Tabelle7[[#This Row],[EnuRohValue]]</f>
        <v>pocBEPT_NOTDEFINED</v>
      </c>
      <c r="F126" s="44">
        <f>COUNTIF(Tabelle7[EnuValue],Tabelle7[[#This Row],[EnuValue]])</f>
        <v>1</v>
      </c>
      <c r="G126" s="44" t="str">
        <f xml:space="preserve"> "  " &amp; Tabelle7[[#This Row],[EnuValue]] &amp; " = " &amp; Tabelle7[[#This Row],[Wert]]</f>
        <v xml:space="preserve">  pocBEPT_NOTDEFINED = 2</v>
      </c>
      <c r="H126" s="44" t="str">
        <f>"  If Wert = " &amp; Tabelle7[[#This Row],[EnuValue]] &amp; " then Res = ""." &amp; Tabelle7[[#This Row],[EnuRohValue]] &amp; "."""</f>
        <v xml:space="preserve">  If Wert = pocBEPT_NOTDEFINED then Res = ".NOTDEFINED."</v>
      </c>
      <c r="I126" s="44" t="str">
        <f>"  If wert = ""." &amp; Tabelle7[[#This Row],[EnuRohValue]] &amp; "."" Then Res = " &amp; Tabelle7[[#This Row],[EnuValue]]</f>
        <v xml:space="preserve">  If wert = ".NOTDEFINED." Then Res = pocBEPT_NOTDEFINED</v>
      </c>
    </row>
    <row r="127" spans="2:9" x14ac:dyDescent="0.25">
      <c r="B127" s="44">
        <v>1</v>
      </c>
      <c r="C127" s="45" t="s">
        <v>1522</v>
      </c>
      <c r="D127" s="44" t="s">
        <v>3786</v>
      </c>
      <c r="E127" s="44" t="str">
        <f>VLOOKUP(Tabelle7[[#This Row],[EnumName]],Enum[[IFC-Name]:[Präfix]],5,FALSE)&amp;Tabelle7[[#This Row],[EnuRohValue]]</f>
        <v>eleCCFT_BEND</v>
      </c>
      <c r="F127" s="44">
        <f>COUNTIF(Tabelle7[EnuValue],Tabelle7[[#This Row],[EnuValue]])</f>
        <v>1</v>
      </c>
      <c r="G127" s="44" t="str">
        <f xml:space="preserve"> "  " &amp; Tabelle7[[#This Row],[EnuValue]] &amp; " = " &amp; Tabelle7[[#This Row],[Wert]]</f>
        <v xml:space="preserve">  eleCCFT_BEND = 1</v>
      </c>
      <c r="H127" s="44" t="str">
        <f>"  If Wert = " &amp; Tabelle7[[#This Row],[EnuValue]] &amp; " then Res = ""." &amp; Tabelle7[[#This Row],[EnuRohValue]] &amp; "."""</f>
        <v xml:space="preserve">  If Wert = eleCCFT_BEND then Res = ".BEND."</v>
      </c>
      <c r="I127" s="44" t="str">
        <f>"  If wert = ""." &amp; Tabelle7[[#This Row],[EnuRohValue]] &amp; "."" Then Res = " &amp; Tabelle7[[#This Row],[EnuValue]]</f>
        <v xml:space="preserve">  If wert = ".BEND." Then Res = eleCCFT_BEND</v>
      </c>
    </row>
    <row r="128" spans="2:9" x14ac:dyDescent="0.25">
      <c r="B128" s="44">
        <v>2</v>
      </c>
      <c r="C128" s="45" t="s">
        <v>1522</v>
      </c>
      <c r="D128" s="44" t="s">
        <v>3787</v>
      </c>
      <c r="E128" s="44" t="str">
        <f>VLOOKUP(Tabelle7[[#This Row],[EnumName]],Enum[[IFC-Name]:[Präfix]],5,FALSE)&amp;Tabelle7[[#This Row],[EnuRohValue]]</f>
        <v>eleCCFT_CROSS</v>
      </c>
      <c r="F128" s="44">
        <f>COUNTIF(Tabelle7[EnuValue],Tabelle7[[#This Row],[EnuValue]])</f>
        <v>1</v>
      </c>
      <c r="G128" s="44" t="str">
        <f xml:space="preserve"> "  " &amp; Tabelle7[[#This Row],[EnuValue]] &amp; " = " &amp; Tabelle7[[#This Row],[Wert]]</f>
        <v xml:space="preserve">  eleCCFT_CROSS = 2</v>
      </c>
      <c r="H128" s="44" t="str">
        <f>"  If Wert = " &amp; Tabelle7[[#This Row],[EnuValue]] &amp; " then Res = ""." &amp; Tabelle7[[#This Row],[EnuRohValue]] &amp; "."""</f>
        <v xml:space="preserve">  If Wert = eleCCFT_CROSS then Res = ".CROSS."</v>
      </c>
      <c r="I128" s="44" t="str">
        <f>"  If wert = ""." &amp; Tabelle7[[#This Row],[EnuRohValue]] &amp; "."" Then Res = " &amp; Tabelle7[[#This Row],[EnuValue]]</f>
        <v xml:space="preserve">  If wert = ".CROSS." Then Res = eleCCFT_CROSS</v>
      </c>
    </row>
    <row r="129" spans="2:9" x14ac:dyDescent="0.25">
      <c r="B129" s="44">
        <v>3</v>
      </c>
      <c r="C129" s="45" t="s">
        <v>1522</v>
      </c>
      <c r="D129" s="44" t="s">
        <v>3788</v>
      </c>
      <c r="E129" s="44" t="str">
        <f>VLOOKUP(Tabelle7[[#This Row],[EnumName]],Enum[[IFC-Name]:[Präfix]],5,FALSE)&amp;Tabelle7[[#This Row],[EnuRohValue]]</f>
        <v>eleCCFT_REDUCER</v>
      </c>
      <c r="F129" s="44">
        <f>COUNTIF(Tabelle7[EnuValue],Tabelle7[[#This Row],[EnuValue]])</f>
        <v>1</v>
      </c>
      <c r="G129" s="44" t="str">
        <f xml:space="preserve"> "  " &amp; Tabelle7[[#This Row],[EnuValue]] &amp; " = " &amp; Tabelle7[[#This Row],[Wert]]</f>
        <v xml:space="preserve">  eleCCFT_REDUCER = 3</v>
      </c>
      <c r="H129" s="44" t="str">
        <f>"  If Wert = " &amp; Tabelle7[[#This Row],[EnuValue]] &amp; " then Res = ""." &amp; Tabelle7[[#This Row],[EnuRohValue]] &amp; "."""</f>
        <v xml:space="preserve">  If Wert = eleCCFT_REDUCER then Res = ".REDUCER."</v>
      </c>
      <c r="I129" s="44" t="str">
        <f>"  If wert = ""." &amp; Tabelle7[[#This Row],[EnuRohValue]] &amp; "."" Then Res = " &amp; Tabelle7[[#This Row],[EnuValue]]</f>
        <v xml:space="preserve">  If wert = ".REDUCER." Then Res = eleCCFT_REDUCER</v>
      </c>
    </row>
    <row r="130" spans="2:9" x14ac:dyDescent="0.25">
      <c r="B130" s="44">
        <v>4</v>
      </c>
      <c r="C130" s="45" t="s">
        <v>1522</v>
      </c>
      <c r="D130" s="44" t="s">
        <v>3789</v>
      </c>
      <c r="E130" s="44" t="str">
        <f>VLOOKUP(Tabelle7[[#This Row],[EnumName]],Enum[[IFC-Name]:[Präfix]],5,FALSE)&amp;Tabelle7[[#This Row],[EnuRohValue]]</f>
        <v>eleCCFT_TEE</v>
      </c>
      <c r="F130" s="44">
        <f>COUNTIF(Tabelle7[EnuValue],Tabelle7[[#This Row],[EnuValue]])</f>
        <v>1</v>
      </c>
      <c r="G130" s="44" t="str">
        <f xml:space="preserve"> "  " &amp; Tabelle7[[#This Row],[EnuValue]] &amp; " = " &amp; Tabelle7[[#This Row],[Wert]]</f>
        <v xml:space="preserve">  eleCCFT_TEE = 4</v>
      </c>
      <c r="H130" s="44" t="str">
        <f>"  If Wert = " &amp; Tabelle7[[#This Row],[EnuValue]] &amp; " then Res = ""." &amp; Tabelle7[[#This Row],[EnuRohValue]] &amp; "."""</f>
        <v xml:space="preserve">  If Wert = eleCCFT_TEE then Res = ".TEE."</v>
      </c>
      <c r="I130" s="44" t="str">
        <f>"  If wert = ""." &amp; Tabelle7[[#This Row],[EnuRohValue]] &amp; "."" Then Res = " &amp; Tabelle7[[#This Row],[EnuValue]]</f>
        <v xml:space="preserve">  If wert = ".TEE." Then Res = eleCCFT_TEE</v>
      </c>
    </row>
    <row r="131" spans="2:9" x14ac:dyDescent="0.25">
      <c r="B131" s="44">
        <v>5</v>
      </c>
      <c r="C131" s="45" t="s">
        <v>1522</v>
      </c>
      <c r="D131" s="44" t="s">
        <v>3682</v>
      </c>
      <c r="E131" s="44" t="str">
        <f>VLOOKUP(Tabelle7[[#This Row],[EnumName]],Enum[[IFC-Name]:[Präfix]],5,FALSE)&amp;Tabelle7[[#This Row],[EnuRohValue]]</f>
        <v>eleCCFT_USERDEFINED</v>
      </c>
      <c r="F131" s="44">
        <f>COUNTIF(Tabelle7[EnuValue],Tabelle7[[#This Row],[EnuValue]])</f>
        <v>1</v>
      </c>
      <c r="G131" s="44" t="str">
        <f xml:space="preserve"> "  " &amp; Tabelle7[[#This Row],[EnuValue]] &amp; " = " &amp; Tabelle7[[#This Row],[Wert]]</f>
        <v xml:space="preserve">  eleCCFT_USERDEFINED = 5</v>
      </c>
      <c r="H131" s="44" t="str">
        <f>"  If Wert = " &amp; Tabelle7[[#This Row],[EnuValue]] &amp; " then Res = ""." &amp; Tabelle7[[#This Row],[EnuRohValue]] &amp; "."""</f>
        <v xml:space="preserve">  If Wert = eleCCFT_USERDEFINED then Res = ".USERDEFINED."</v>
      </c>
      <c r="I131" s="44" t="str">
        <f>"  If wert = ""." &amp; Tabelle7[[#This Row],[EnuRohValue]] &amp; "."" Then Res = " &amp; Tabelle7[[#This Row],[EnuValue]]</f>
        <v xml:space="preserve">  If wert = ".USERDEFINED." Then Res = eleCCFT_USERDEFINED</v>
      </c>
    </row>
    <row r="132" spans="2:9" x14ac:dyDescent="0.25">
      <c r="B132" s="44">
        <v>6</v>
      </c>
      <c r="C132" s="45" t="s">
        <v>1522</v>
      </c>
      <c r="D132" s="44" t="s">
        <v>3683</v>
      </c>
      <c r="E132" s="44" t="str">
        <f>VLOOKUP(Tabelle7[[#This Row],[EnumName]],Enum[[IFC-Name]:[Präfix]],5,FALSE)&amp;Tabelle7[[#This Row],[EnuRohValue]]</f>
        <v>eleCCFT_NOTDEFINED</v>
      </c>
      <c r="F132" s="44">
        <f>COUNTIF(Tabelle7[EnuValue],Tabelle7[[#This Row],[EnuValue]])</f>
        <v>1</v>
      </c>
      <c r="G132" s="44" t="str">
        <f xml:space="preserve"> "  " &amp; Tabelle7[[#This Row],[EnuValue]] &amp; " = " &amp; Tabelle7[[#This Row],[Wert]]</f>
        <v xml:space="preserve">  eleCCFT_NOTDEFINED = 6</v>
      </c>
      <c r="H132" s="44" t="str">
        <f>"  If Wert = " &amp; Tabelle7[[#This Row],[EnuValue]] &amp; " then Res = ""." &amp; Tabelle7[[#This Row],[EnuRohValue]] &amp; "."""</f>
        <v xml:space="preserve">  If Wert = eleCCFT_NOTDEFINED then Res = ".NOTDEFINED."</v>
      </c>
      <c r="I132" s="44" t="str">
        <f>"  If wert = ""." &amp; Tabelle7[[#This Row],[EnuRohValue]] &amp; "."" Then Res = " &amp; Tabelle7[[#This Row],[EnuValue]]</f>
        <v xml:space="preserve">  If wert = ".NOTDEFINED." Then Res = eleCCFT_NOTDEFINED</v>
      </c>
    </row>
    <row r="133" spans="2:9" x14ac:dyDescent="0.25">
      <c r="B133" s="44">
        <v>1</v>
      </c>
      <c r="C133" s="45" t="s">
        <v>1523</v>
      </c>
      <c r="D133" s="44" t="s">
        <v>3790</v>
      </c>
      <c r="E133" s="44" t="str">
        <f>VLOOKUP(Tabelle7[[#This Row],[EnumName]],Enum[[IFC-Name]:[Präfix]],5,FALSE)&amp;Tabelle7[[#This Row],[EnuRohValue]]</f>
        <v>eleCCST_CABLELADDERSEGMENT</v>
      </c>
      <c r="F133" s="44">
        <f>COUNTIF(Tabelle7[EnuValue],Tabelle7[[#This Row],[EnuValue]])</f>
        <v>1</v>
      </c>
      <c r="G133" s="44" t="str">
        <f xml:space="preserve"> "  " &amp; Tabelle7[[#This Row],[EnuValue]] &amp; " = " &amp; Tabelle7[[#This Row],[Wert]]</f>
        <v xml:space="preserve">  eleCCST_CABLELADDERSEGMENT = 1</v>
      </c>
      <c r="H133" s="44" t="str">
        <f>"  If Wert = " &amp; Tabelle7[[#This Row],[EnuValue]] &amp; " then Res = ""." &amp; Tabelle7[[#This Row],[EnuRohValue]] &amp; "."""</f>
        <v xml:space="preserve">  If Wert = eleCCST_CABLELADDERSEGMENT then Res = ".CABLELADDERSEGMENT."</v>
      </c>
      <c r="I133" s="44" t="str">
        <f>"  If wert = ""." &amp; Tabelle7[[#This Row],[EnuRohValue]] &amp; "."" Then Res = " &amp; Tabelle7[[#This Row],[EnuValue]]</f>
        <v xml:space="preserve">  If wert = ".CABLELADDERSEGMENT." Then Res = eleCCST_CABLELADDERSEGMENT</v>
      </c>
    </row>
    <row r="134" spans="2:9" x14ac:dyDescent="0.25">
      <c r="B134" s="44">
        <v>2</v>
      </c>
      <c r="C134" s="45" t="s">
        <v>1523</v>
      </c>
      <c r="D134" s="44" t="s">
        <v>3791</v>
      </c>
      <c r="E134" s="44" t="str">
        <f>VLOOKUP(Tabelle7[[#This Row],[EnumName]],Enum[[IFC-Name]:[Präfix]],5,FALSE)&amp;Tabelle7[[#This Row],[EnuRohValue]]</f>
        <v>eleCCST_CABLETRAYSEGMENT</v>
      </c>
      <c r="F134" s="44">
        <f>COUNTIF(Tabelle7[EnuValue],Tabelle7[[#This Row],[EnuValue]])</f>
        <v>1</v>
      </c>
      <c r="G134" s="44" t="str">
        <f xml:space="preserve"> "  " &amp; Tabelle7[[#This Row],[EnuValue]] &amp; " = " &amp; Tabelle7[[#This Row],[Wert]]</f>
        <v xml:space="preserve">  eleCCST_CABLETRAYSEGMENT = 2</v>
      </c>
      <c r="H134" s="44" t="str">
        <f>"  If Wert = " &amp; Tabelle7[[#This Row],[EnuValue]] &amp; " then Res = ""." &amp; Tabelle7[[#This Row],[EnuRohValue]] &amp; "."""</f>
        <v xml:space="preserve">  If Wert = eleCCST_CABLETRAYSEGMENT then Res = ".CABLETRAYSEGMENT."</v>
      </c>
      <c r="I134" s="44" t="str">
        <f>"  If wert = ""." &amp; Tabelle7[[#This Row],[EnuRohValue]] &amp; "."" Then Res = " &amp; Tabelle7[[#This Row],[EnuValue]]</f>
        <v xml:space="preserve">  If wert = ".CABLETRAYSEGMENT." Then Res = eleCCST_CABLETRAYSEGMENT</v>
      </c>
    </row>
    <row r="135" spans="2:9" x14ac:dyDescent="0.25">
      <c r="B135" s="44">
        <v>3</v>
      </c>
      <c r="C135" s="45" t="s">
        <v>1523</v>
      </c>
      <c r="D135" s="44" t="s">
        <v>3792</v>
      </c>
      <c r="E135" s="44" t="str">
        <f>VLOOKUP(Tabelle7[[#This Row],[EnumName]],Enum[[IFC-Name]:[Präfix]],5,FALSE)&amp;Tabelle7[[#This Row],[EnuRohValue]]</f>
        <v>eleCCST_CABLETRUNKINGSEGMENT</v>
      </c>
      <c r="F135" s="44">
        <f>COUNTIF(Tabelle7[EnuValue],Tabelle7[[#This Row],[EnuValue]])</f>
        <v>1</v>
      </c>
      <c r="G135" s="44" t="str">
        <f xml:space="preserve"> "  " &amp; Tabelle7[[#This Row],[EnuValue]] &amp; " = " &amp; Tabelle7[[#This Row],[Wert]]</f>
        <v xml:space="preserve">  eleCCST_CABLETRUNKINGSEGMENT = 3</v>
      </c>
      <c r="H135" s="44" t="str">
        <f>"  If Wert = " &amp; Tabelle7[[#This Row],[EnuValue]] &amp; " then Res = ""." &amp; Tabelle7[[#This Row],[EnuRohValue]] &amp; "."""</f>
        <v xml:space="preserve">  If Wert = eleCCST_CABLETRUNKINGSEGMENT then Res = ".CABLETRUNKINGSEGMENT."</v>
      </c>
      <c r="I135" s="44" t="str">
        <f>"  If wert = ""." &amp; Tabelle7[[#This Row],[EnuRohValue]] &amp; "."" Then Res = " &amp; Tabelle7[[#This Row],[EnuValue]]</f>
        <v xml:space="preserve">  If wert = ".CABLETRUNKINGSEGMENT." Then Res = eleCCST_CABLETRUNKINGSEGMENT</v>
      </c>
    </row>
    <row r="136" spans="2:9" x14ac:dyDescent="0.25">
      <c r="B136" s="44">
        <v>4</v>
      </c>
      <c r="C136" s="45" t="s">
        <v>1523</v>
      </c>
      <c r="D136" s="44" t="s">
        <v>3793</v>
      </c>
      <c r="E136" s="44" t="str">
        <f>VLOOKUP(Tabelle7[[#This Row],[EnumName]],Enum[[IFC-Name]:[Präfix]],5,FALSE)&amp;Tabelle7[[#This Row],[EnuRohValue]]</f>
        <v>eleCCST_CONDUITSEGMENT</v>
      </c>
      <c r="F136" s="44">
        <f>COUNTIF(Tabelle7[EnuValue],Tabelle7[[#This Row],[EnuValue]])</f>
        <v>1</v>
      </c>
      <c r="G136" s="44" t="str">
        <f xml:space="preserve"> "  " &amp; Tabelle7[[#This Row],[EnuValue]] &amp; " = " &amp; Tabelle7[[#This Row],[Wert]]</f>
        <v xml:space="preserve">  eleCCST_CONDUITSEGMENT = 4</v>
      </c>
      <c r="H136" s="44" t="str">
        <f>"  If Wert = " &amp; Tabelle7[[#This Row],[EnuValue]] &amp; " then Res = ""." &amp; Tabelle7[[#This Row],[EnuRohValue]] &amp; "."""</f>
        <v xml:space="preserve">  If Wert = eleCCST_CONDUITSEGMENT then Res = ".CONDUITSEGMENT."</v>
      </c>
      <c r="I136" s="44" t="str">
        <f>"  If wert = ""." &amp; Tabelle7[[#This Row],[EnuRohValue]] &amp; "."" Then Res = " &amp; Tabelle7[[#This Row],[EnuValue]]</f>
        <v xml:space="preserve">  If wert = ".CONDUITSEGMENT." Then Res = eleCCST_CONDUITSEGMENT</v>
      </c>
    </row>
    <row r="137" spans="2:9" x14ac:dyDescent="0.25">
      <c r="B137" s="44">
        <v>5</v>
      </c>
      <c r="C137" s="45" t="s">
        <v>1523</v>
      </c>
      <c r="D137" s="44" t="s">
        <v>3682</v>
      </c>
      <c r="E137" s="44" t="str">
        <f>VLOOKUP(Tabelle7[[#This Row],[EnumName]],Enum[[IFC-Name]:[Präfix]],5,FALSE)&amp;Tabelle7[[#This Row],[EnuRohValue]]</f>
        <v>eleCCST_USERDEFINED</v>
      </c>
      <c r="F137" s="44">
        <f>COUNTIF(Tabelle7[EnuValue],Tabelle7[[#This Row],[EnuValue]])</f>
        <v>1</v>
      </c>
      <c r="G137" s="44" t="str">
        <f xml:space="preserve"> "  " &amp; Tabelle7[[#This Row],[EnuValue]] &amp; " = " &amp; Tabelle7[[#This Row],[Wert]]</f>
        <v xml:space="preserve">  eleCCST_USERDEFINED = 5</v>
      </c>
      <c r="H137" s="44" t="str">
        <f>"  If Wert = " &amp; Tabelle7[[#This Row],[EnuValue]] &amp; " then Res = ""." &amp; Tabelle7[[#This Row],[EnuRohValue]] &amp; "."""</f>
        <v xml:space="preserve">  If Wert = eleCCST_USERDEFINED then Res = ".USERDEFINED."</v>
      </c>
      <c r="I137" s="44" t="str">
        <f>"  If wert = ""." &amp; Tabelle7[[#This Row],[EnuRohValue]] &amp; "."" Then Res = " &amp; Tabelle7[[#This Row],[EnuValue]]</f>
        <v xml:space="preserve">  If wert = ".USERDEFINED." Then Res = eleCCST_USERDEFINED</v>
      </c>
    </row>
    <row r="138" spans="2:9" x14ac:dyDescent="0.25">
      <c r="B138" s="44">
        <v>6</v>
      </c>
      <c r="C138" s="45" t="s">
        <v>1523</v>
      </c>
      <c r="D138" s="44" t="s">
        <v>3683</v>
      </c>
      <c r="E138" s="44" t="str">
        <f>VLOOKUP(Tabelle7[[#This Row],[EnumName]],Enum[[IFC-Name]:[Präfix]],5,FALSE)&amp;Tabelle7[[#This Row],[EnuRohValue]]</f>
        <v>eleCCST_NOTDEFINED</v>
      </c>
      <c r="F138" s="44">
        <f>COUNTIF(Tabelle7[EnuValue],Tabelle7[[#This Row],[EnuValue]])</f>
        <v>1</v>
      </c>
      <c r="G138" s="44" t="str">
        <f xml:space="preserve"> "  " &amp; Tabelle7[[#This Row],[EnuValue]] &amp; " = " &amp; Tabelle7[[#This Row],[Wert]]</f>
        <v xml:space="preserve">  eleCCST_NOTDEFINED = 6</v>
      </c>
      <c r="H138" s="44" t="str">
        <f>"  If Wert = " &amp; Tabelle7[[#This Row],[EnuValue]] &amp; " then Res = ""." &amp; Tabelle7[[#This Row],[EnuRohValue]] &amp; "."""</f>
        <v xml:space="preserve">  If Wert = eleCCST_NOTDEFINED then Res = ".NOTDEFINED."</v>
      </c>
      <c r="I138" s="44" t="str">
        <f>"  If wert = ""." &amp; Tabelle7[[#This Row],[EnuRohValue]] &amp; "."" Then Res = " &amp; Tabelle7[[#This Row],[EnuValue]]</f>
        <v xml:space="preserve">  If wert = ".NOTDEFINED." Then Res = eleCCST_NOTDEFINED</v>
      </c>
    </row>
    <row r="139" spans="2:9" x14ac:dyDescent="0.25">
      <c r="B139" s="44">
        <v>1</v>
      </c>
      <c r="C139" s="45" t="s">
        <v>1524</v>
      </c>
      <c r="D139" s="44" t="s">
        <v>3794</v>
      </c>
      <c r="E139" s="44" t="str">
        <f>VLOOKUP(Tabelle7[[#This Row],[EnumName]],Enum[[IFC-Name]:[Präfix]],5,FALSE)&amp;Tabelle7[[#This Row],[EnuRohValue]]</f>
        <v>eleCST_CABLESEGMENT</v>
      </c>
      <c r="F139" s="44">
        <f>COUNTIF(Tabelle7[EnuValue],Tabelle7[[#This Row],[EnuValue]])</f>
        <v>1</v>
      </c>
      <c r="G139" s="44" t="str">
        <f xml:space="preserve"> "  " &amp; Tabelle7[[#This Row],[EnuValue]] &amp; " = " &amp; Tabelle7[[#This Row],[Wert]]</f>
        <v xml:space="preserve">  eleCST_CABLESEGMENT = 1</v>
      </c>
      <c r="H139" s="44" t="str">
        <f>"  If Wert = " &amp; Tabelle7[[#This Row],[EnuValue]] &amp; " then Res = ""." &amp; Tabelle7[[#This Row],[EnuRohValue]] &amp; "."""</f>
        <v xml:space="preserve">  If Wert = eleCST_CABLESEGMENT then Res = ".CABLESEGMENT."</v>
      </c>
      <c r="I139" s="44" t="str">
        <f>"  If wert = ""." &amp; Tabelle7[[#This Row],[EnuRohValue]] &amp; "."" Then Res = " &amp; Tabelle7[[#This Row],[EnuValue]]</f>
        <v xml:space="preserve">  If wert = ".CABLESEGMENT." Then Res = eleCST_CABLESEGMENT</v>
      </c>
    </row>
    <row r="140" spans="2:9" x14ac:dyDescent="0.25">
      <c r="B140" s="44">
        <v>2</v>
      </c>
      <c r="C140" s="45" t="s">
        <v>1524</v>
      </c>
      <c r="D140" s="44" t="s">
        <v>3795</v>
      </c>
      <c r="E140" s="44" t="str">
        <f>VLOOKUP(Tabelle7[[#This Row],[EnumName]],Enum[[IFC-Name]:[Präfix]],5,FALSE)&amp;Tabelle7[[#This Row],[EnuRohValue]]</f>
        <v>eleCST_CONDUCTORSEGMENT</v>
      </c>
      <c r="F140" s="44">
        <f>COUNTIF(Tabelle7[EnuValue],Tabelle7[[#This Row],[EnuValue]])</f>
        <v>1</v>
      </c>
      <c r="G140" s="44" t="str">
        <f xml:space="preserve"> "  " &amp; Tabelle7[[#This Row],[EnuValue]] &amp; " = " &amp; Tabelle7[[#This Row],[Wert]]</f>
        <v xml:space="preserve">  eleCST_CONDUCTORSEGMENT = 2</v>
      </c>
      <c r="H140" s="44" t="str">
        <f>"  If Wert = " &amp; Tabelle7[[#This Row],[EnuValue]] &amp; " then Res = ""." &amp; Tabelle7[[#This Row],[EnuRohValue]] &amp; "."""</f>
        <v xml:space="preserve">  If Wert = eleCST_CONDUCTORSEGMENT then Res = ".CONDUCTORSEGMENT."</v>
      </c>
      <c r="I140" s="44" t="str">
        <f>"  If wert = ""." &amp; Tabelle7[[#This Row],[EnuRohValue]] &amp; "."" Then Res = " &amp; Tabelle7[[#This Row],[EnuValue]]</f>
        <v xml:space="preserve">  If wert = ".CONDUCTORSEGMENT." Then Res = eleCST_CONDUCTORSEGMENT</v>
      </c>
    </row>
    <row r="141" spans="2:9" x14ac:dyDescent="0.25">
      <c r="B141" s="44">
        <v>3</v>
      </c>
      <c r="C141" s="45" t="s">
        <v>1524</v>
      </c>
      <c r="D141" s="44" t="s">
        <v>3682</v>
      </c>
      <c r="E141" s="44" t="str">
        <f>VLOOKUP(Tabelle7[[#This Row],[EnumName]],Enum[[IFC-Name]:[Präfix]],5,FALSE)&amp;Tabelle7[[#This Row],[EnuRohValue]]</f>
        <v>eleCST_USERDEFINED</v>
      </c>
      <c r="F141" s="44">
        <f>COUNTIF(Tabelle7[EnuValue],Tabelle7[[#This Row],[EnuValue]])</f>
        <v>1</v>
      </c>
      <c r="G141" s="44" t="str">
        <f xml:space="preserve"> "  " &amp; Tabelle7[[#This Row],[EnuValue]] &amp; " = " &amp; Tabelle7[[#This Row],[Wert]]</f>
        <v xml:space="preserve">  eleCST_USERDEFINED = 3</v>
      </c>
      <c r="H141" s="44" t="str">
        <f>"  If Wert = " &amp; Tabelle7[[#This Row],[EnuValue]] &amp; " then Res = ""." &amp; Tabelle7[[#This Row],[EnuRohValue]] &amp; "."""</f>
        <v xml:space="preserve">  If Wert = eleCST_USERDEFINED then Res = ".USERDEFINED."</v>
      </c>
      <c r="I141" s="44" t="str">
        <f>"  If wert = ""." &amp; Tabelle7[[#This Row],[EnuRohValue]] &amp; "."" Then Res = " &amp; Tabelle7[[#This Row],[EnuValue]]</f>
        <v xml:space="preserve">  If wert = ".USERDEFINED." Then Res = eleCST_USERDEFINED</v>
      </c>
    </row>
    <row r="142" spans="2:9" x14ac:dyDescent="0.25">
      <c r="B142" s="44">
        <v>4</v>
      </c>
      <c r="C142" s="45" t="s">
        <v>1524</v>
      </c>
      <c r="D142" s="44" t="s">
        <v>3683</v>
      </c>
      <c r="E142" s="44" t="str">
        <f>VLOOKUP(Tabelle7[[#This Row],[EnumName]],Enum[[IFC-Name]:[Präfix]],5,FALSE)&amp;Tabelle7[[#This Row],[EnuRohValue]]</f>
        <v>eleCST_NOTDEFINED</v>
      </c>
      <c r="F142" s="44">
        <f>COUNTIF(Tabelle7[EnuValue],Tabelle7[[#This Row],[EnuValue]])</f>
        <v>1</v>
      </c>
      <c r="G142" s="44" t="str">
        <f xml:space="preserve"> "  " &amp; Tabelle7[[#This Row],[EnuValue]] &amp; " = " &amp; Tabelle7[[#This Row],[Wert]]</f>
        <v xml:space="preserve">  eleCST_NOTDEFINED = 4</v>
      </c>
      <c r="H142" s="44" t="str">
        <f>"  If Wert = " &amp; Tabelle7[[#This Row],[EnuValue]] &amp; " then Res = ""." &amp; Tabelle7[[#This Row],[EnuRohValue]] &amp; "."""</f>
        <v xml:space="preserve">  If Wert = eleCST_NOTDEFINED then Res = ".NOTDEFINED."</v>
      </c>
      <c r="I142" s="44" t="str">
        <f>"  If wert = ""." &amp; Tabelle7[[#This Row],[EnuRohValue]] &amp; "."" Then Res = " &amp; Tabelle7[[#This Row],[EnuValue]]</f>
        <v xml:space="preserve">  If wert = ".NOTDEFINED." Then Res = eleCST_NOTDEFINED</v>
      </c>
    </row>
    <row r="143" spans="2:9" x14ac:dyDescent="0.25">
      <c r="B143" s="44">
        <v>1</v>
      </c>
      <c r="C143" s="45" t="s">
        <v>1525</v>
      </c>
      <c r="D143" s="44" t="s">
        <v>3796</v>
      </c>
      <c r="E143" s="44" t="str">
        <f>VLOOKUP(Tabelle7[[#This Row],[EnumName]],Enum[[IFC-Name]:[Präfix]],5,FALSE)&amp;Tabelle7[[#This Row],[EnuRohValue]]</f>
        <v>utlAC_NOCHANGE</v>
      </c>
      <c r="F143" s="44">
        <f>COUNTIF(Tabelle7[EnuValue],Tabelle7[[#This Row],[EnuValue]])</f>
        <v>1</v>
      </c>
      <c r="G143" s="44" t="str">
        <f xml:space="preserve"> "  " &amp; Tabelle7[[#This Row],[EnuValue]] &amp; " = " &amp; Tabelle7[[#This Row],[Wert]]</f>
        <v xml:space="preserve">  utlAC_NOCHANGE = 1</v>
      </c>
      <c r="H143" s="44" t="str">
        <f>"  If Wert = " &amp; Tabelle7[[#This Row],[EnuValue]] &amp; " then Res = ""." &amp; Tabelle7[[#This Row],[EnuRohValue]] &amp; "."""</f>
        <v xml:space="preserve">  If Wert = utlAC_NOCHANGE then Res = ".NOCHANGE."</v>
      </c>
      <c r="I143" s="44" t="str">
        <f>"  If wert = ""." &amp; Tabelle7[[#This Row],[EnuRohValue]] &amp; "."" Then Res = " &amp; Tabelle7[[#This Row],[EnuValue]]</f>
        <v xml:space="preserve">  If wert = ".NOCHANGE." Then Res = utlAC_NOCHANGE</v>
      </c>
    </row>
    <row r="144" spans="2:9" x14ac:dyDescent="0.25">
      <c r="B144" s="44">
        <v>2</v>
      </c>
      <c r="C144" s="45" t="s">
        <v>1525</v>
      </c>
      <c r="D144" s="44" t="s">
        <v>3797</v>
      </c>
      <c r="E144" s="44" t="str">
        <f>VLOOKUP(Tabelle7[[#This Row],[EnumName]],Enum[[IFC-Name]:[Präfix]],5,FALSE)&amp;Tabelle7[[#This Row],[EnuRohValue]]</f>
        <v>utlAC_MODIFIED</v>
      </c>
      <c r="F144" s="44">
        <f>COUNTIF(Tabelle7[EnuValue],Tabelle7[[#This Row],[EnuValue]])</f>
        <v>1</v>
      </c>
      <c r="G144" s="44" t="str">
        <f xml:space="preserve"> "  " &amp; Tabelle7[[#This Row],[EnuValue]] &amp; " = " &amp; Tabelle7[[#This Row],[Wert]]</f>
        <v xml:space="preserve">  utlAC_MODIFIED = 2</v>
      </c>
      <c r="H144" s="44" t="str">
        <f>"  If Wert = " &amp; Tabelle7[[#This Row],[EnuValue]] &amp; " then Res = ""." &amp; Tabelle7[[#This Row],[EnuRohValue]] &amp; "."""</f>
        <v xml:space="preserve">  If Wert = utlAC_MODIFIED then Res = ".MODIFIED."</v>
      </c>
      <c r="I144" s="44" t="str">
        <f>"  If wert = ""." &amp; Tabelle7[[#This Row],[EnuRohValue]] &amp; "."" Then Res = " &amp; Tabelle7[[#This Row],[EnuValue]]</f>
        <v xml:space="preserve">  If wert = ".MODIFIED." Then Res = utlAC_MODIFIED</v>
      </c>
    </row>
    <row r="145" spans="2:9" x14ac:dyDescent="0.25">
      <c r="B145" s="44">
        <v>3</v>
      </c>
      <c r="C145" s="45" t="s">
        <v>1525</v>
      </c>
      <c r="D145" s="44" t="s">
        <v>3798</v>
      </c>
      <c r="E145" s="44" t="str">
        <f>VLOOKUP(Tabelle7[[#This Row],[EnumName]],Enum[[IFC-Name]:[Präfix]],5,FALSE)&amp;Tabelle7[[#This Row],[EnuRohValue]]</f>
        <v>utlAC_ADDED</v>
      </c>
      <c r="F145" s="44">
        <f>COUNTIF(Tabelle7[EnuValue],Tabelle7[[#This Row],[EnuValue]])</f>
        <v>1</v>
      </c>
      <c r="G145" s="44" t="str">
        <f xml:space="preserve"> "  " &amp; Tabelle7[[#This Row],[EnuValue]] &amp; " = " &amp; Tabelle7[[#This Row],[Wert]]</f>
        <v xml:space="preserve">  utlAC_ADDED = 3</v>
      </c>
      <c r="H145" s="44" t="str">
        <f>"  If Wert = " &amp; Tabelle7[[#This Row],[EnuValue]] &amp; " then Res = ""." &amp; Tabelle7[[#This Row],[EnuRohValue]] &amp; "."""</f>
        <v xml:space="preserve">  If Wert = utlAC_ADDED then Res = ".ADDED."</v>
      </c>
      <c r="I145" s="44" t="str">
        <f>"  If wert = ""." &amp; Tabelle7[[#This Row],[EnuRohValue]] &amp; "."" Then Res = " &amp; Tabelle7[[#This Row],[EnuValue]]</f>
        <v xml:space="preserve">  If wert = ".ADDED." Then Res = utlAC_ADDED</v>
      </c>
    </row>
    <row r="146" spans="2:9" x14ac:dyDescent="0.25">
      <c r="B146" s="44">
        <v>4</v>
      </c>
      <c r="C146" s="45" t="s">
        <v>1525</v>
      </c>
      <c r="D146" s="44" t="s">
        <v>3799</v>
      </c>
      <c r="E146" s="44" t="str">
        <f>VLOOKUP(Tabelle7[[#This Row],[EnumName]],Enum[[IFC-Name]:[Präfix]],5,FALSE)&amp;Tabelle7[[#This Row],[EnuRohValue]]</f>
        <v>utlAC_DELETED</v>
      </c>
      <c r="F146" s="44">
        <f>COUNTIF(Tabelle7[EnuValue],Tabelle7[[#This Row],[EnuValue]])</f>
        <v>1</v>
      </c>
      <c r="G146" s="44" t="str">
        <f xml:space="preserve"> "  " &amp; Tabelle7[[#This Row],[EnuValue]] &amp; " = " &amp; Tabelle7[[#This Row],[Wert]]</f>
        <v xml:space="preserve">  utlAC_DELETED = 4</v>
      </c>
      <c r="H146" s="44" t="str">
        <f>"  If Wert = " &amp; Tabelle7[[#This Row],[EnuValue]] &amp; " then Res = ""." &amp; Tabelle7[[#This Row],[EnuRohValue]] &amp; "."""</f>
        <v xml:space="preserve">  If Wert = utlAC_DELETED then Res = ".DELETED."</v>
      </c>
      <c r="I146" s="44" t="str">
        <f>"  If wert = ""." &amp; Tabelle7[[#This Row],[EnuRohValue]] &amp; "."" Then Res = " &amp; Tabelle7[[#This Row],[EnuValue]]</f>
        <v xml:space="preserve">  If wert = ".DELETED." Then Res = utlAC_DELETED</v>
      </c>
    </row>
    <row r="147" spans="2:9" x14ac:dyDescent="0.25">
      <c r="B147" s="44">
        <v>5</v>
      </c>
      <c r="C147" s="45" t="s">
        <v>1525</v>
      </c>
      <c r="D147" s="44" t="s">
        <v>3800</v>
      </c>
      <c r="E147" s="44" t="str">
        <f>VLOOKUP(Tabelle7[[#This Row],[EnumName]],Enum[[IFC-Name]:[Präfix]],5,FALSE)&amp;Tabelle7[[#This Row],[EnuRohValue]]</f>
        <v>utlAC_MODIFIEDADDED</v>
      </c>
      <c r="F147" s="44">
        <f>COUNTIF(Tabelle7[EnuValue],Tabelle7[[#This Row],[EnuValue]])</f>
        <v>1</v>
      </c>
      <c r="G147" s="44" t="str">
        <f xml:space="preserve"> "  " &amp; Tabelle7[[#This Row],[EnuValue]] &amp; " = " &amp; Tabelle7[[#This Row],[Wert]]</f>
        <v xml:space="preserve">  utlAC_MODIFIEDADDED = 5</v>
      </c>
      <c r="H147" s="44" t="str">
        <f>"  If Wert = " &amp; Tabelle7[[#This Row],[EnuValue]] &amp; " then Res = ""." &amp; Tabelle7[[#This Row],[EnuRohValue]] &amp; "."""</f>
        <v xml:space="preserve">  If Wert = utlAC_MODIFIEDADDED then Res = ".MODIFIEDADDED."</v>
      </c>
      <c r="I147" s="44" t="str">
        <f>"  If wert = ""." &amp; Tabelle7[[#This Row],[EnuRohValue]] &amp; "."" Then Res = " &amp; Tabelle7[[#This Row],[EnuValue]]</f>
        <v xml:space="preserve">  If wert = ".MODIFIEDADDED." Then Res = utlAC_MODIFIEDADDED</v>
      </c>
    </row>
    <row r="148" spans="2:9" x14ac:dyDescent="0.25">
      <c r="B148" s="44">
        <v>6</v>
      </c>
      <c r="C148" s="45" t="s">
        <v>1525</v>
      </c>
      <c r="D148" s="44" t="s">
        <v>3801</v>
      </c>
      <c r="E148" s="44" t="str">
        <f>VLOOKUP(Tabelle7[[#This Row],[EnumName]],Enum[[IFC-Name]:[Präfix]],5,FALSE)&amp;Tabelle7[[#This Row],[EnuRohValue]]</f>
        <v>utlAC_MODIFIEDDELETED</v>
      </c>
      <c r="F148" s="44">
        <f>COUNTIF(Tabelle7[EnuValue],Tabelle7[[#This Row],[EnuValue]])</f>
        <v>1</v>
      </c>
      <c r="G148" s="44" t="str">
        <f xml:space="preserve"> "  " &amp; Tabelle7[[#This Row],[EnuValue]] &amp; " = " &amp; Tabelle7[[#This Row],[Wert]]</f>
        <v xml:space="preserve">  utlAC_MODIFIEDDELETED = 6</v>
      </c>
      <c r="H148" s="44" t="str">
        <f>"  If Wert = " &amp; Tabelle7[[#This Row],[EnuValue]] &amp; " then Res = ""." &amp; Tabelle7[[#This Row],[EnuRohValue]] &amp; "."""</f>
        <v xml:space="preserve">  If Wert = utlAC_MODIFIEDDELETED then Res = ".MODIFIEDDELETED."</v>
      </c>
      <c r="I148" s="44" t="str">
        <f>"  If wert = ""." &amp; Tabelle7[[#This Row],[EnuRohValue]] &amp; "."" Then Res = " &amp; Tabelle7[[#This Row],[EnuValue]]</f>
        <v xml:space="preserve">  If wert = ".MODIFIEDDELETED." Then Res = utlAC_MODIFIEDDELETED</v>
      </c>
    </row>
    <row r="149" spans="2:9" x14ac:dyDescent="0.25">
      <c r="B149" s="44">
        <v>1</v>
      </c>
      <c r="C149" s="45" t="s">
        <v>1526</v>
      </c>
      <c r="D149" s="44" t="s">
        <v>3802</v>
      </c>
      <c r="E149" s="44" t="str">
        <f>VLOOKUP(Tabelle7[[#This Row],[EnumName]],Enum[[IFC-Name]:[Präfix]],5,FALSE)&amp;Tabelle7[[#This Row],[EnuRohValue]]</f>
        <v>hvacChiT_AIRCOOLED</v>
      </c>
      <c r="F149" s="44">
        <f>COUNTIF(Tabelle7[EnuValue],Tabelle7[[#This Row],[EnuValue]])</f>
        <v>1</v>
      </c>
      <c r="G149" s="44" t="str">
        <f xml:space="preserve"> "  " &amp; Tabelle7[[#This Row],[EnuValue]] &amp; " = " &amp; Tabelle7[[#This Row],[Wert]]</f>
        <v xml:space="preserve">  hvacChiT_AIRCOOLED = 1</v>
      </c>
      <c r="H149" s="44" t="str">
        <f>"  If Wert = " &amp; Tabelle7[[#This Row],[EnuValue]] &amp; " then Res = ""." &amp; Tabelle7[[#This Row],[EnuRohValue]] &amp; "."""</f>
        <v xml:space="preserve">  If Wert = hvacChiT_AIRCOOLED then Res = ".AIRCOOLED."</v>
      </c>
      <c r="I149" s="44" t="str">
        <f>"  If wert = ""." &amp; Tabelle7[[#This Row],[EnuRohValue]] &amp; "."" Then Res = " &amp; Tabelle7[[#This Row],[EnuValue]]</f>
        <v xml:space="preserve">  If wert = ".AIRCOOLED." Then Res = hvacChiT_AIRCOOLED</v>
      </c>
    </row>
    <row r="150" spans="2:9" x14ac:dyDescent="0.25">
      <c r="B150" s="44">
        <v>2</v>
      </c>
      <c r="C150" s="45" t="s">
        <v>1526</v>
      </c>
      <c r="D150" s="44" t="s">
        <v>3803</v>
      </c>
      <c r="E150" s="44" t="str">
        <f>VLOOKUP(Tabelle7[[#This Row],[EnumName]],Enum[[IFC-Name]:[Präfix]],5,FALSE)&amp;Tabelle7[[#This Row],[EnuRohValue]]</f>
        <v>hvacChiT_WATERCOOLED</v>
      </c>
      <c r="F150" s="44">
        <f>COUNTIF(Tabelle7[EnuValue],Tabelle7[[#This Row],[EnuValue]])</f>
        <v>1</v>
      </c>
      <c r="G150" s="44" t="str">
        <f xml:space="preserve"> "  " &amp; Tabelle7[[#This Row],[EnuValue]] &amp; " = " &amp; Tabelle7[[#This Row],[Wert]]</f>
        <v xml:space="preserve">  hvacChiT_WATERCOOLED = 2</v>
      </c>
      <c r="H150" s="44" t="str">
        <f>"  If Wert = " &amp; Tabelle7[[#This Row],[EnuValue]] &amp; " then Res = ""." &amp; Tabelle7[[#This Row],[EnuRohValue]] &amp; "."""</f>
        <v xml:space="preserve">  If Wert = hvacChiT_WATERCOOLED then Res = ".WATERCOOLED."</v>
      </c>
      <c r="I150" s="44" t="str">
        <f>"  If wert = ""." &amp; Tabelle7[[#This Row],[EnuRohValue]] &amp; "."" Then Res = " &amp; Tabelle7[[#This Row],[EnuValue]]</f>
        <v xml:space="preserve">  If wert = ".WATERCOOLED." Then Res = hvacChiT_WATERCOOLED</v>
      </c>
    </row>
    <row r="151" spans="2:9" x14ac:dyDescent="0.25">
      <c r="B151" s="44">
        <v>3</v>
      </c>
      <c r="C151" s="45" t="s">
        <v>1526</v>
      </c>
      <c r="D151" s="44" t="s">
        <v>3804</v>
      </c>
      <c r="E151" s="44" t="str">
        <f>VLOOKUP(Tabelle7[[#This Row],[EnumName]],Enum[[IFC-Name]:[Präfix]],5,FALSE)&amp;Tabelle7[[#This Row],[EnuRohValue]]</f>
        <v>hvacChiT_HEATRECOVERY</v>
      </c>
      <c r="F151" s="44">
        <f>COUNTIF(Tabelle7[EnuValue],Tabelle7[[#This Row],[EnuValue]])</f>
        <v>1</v>
      </c>
      <c r="G151" s="44" t="str">
        <f xml:space="preserve"> "  " &amp; Tabelle7[[#This Row],[EnuValue]] &amp; " = " &amp; Tabelle7[[#This Row],[Wert]]</f>
        <v xml:space="preserve">  hvacChiT_HEATRECOVERY = 3</v>
      </c>
      <c r="H151" s="44" t="str">
        <f>"  If Wert = " &amp; Tabelle7[[#This Row],[EnuValue]] &amp; " then Res = ""." &amp; Tabelle7[[#This Row],[EnuRohValue]] &amp; "."""</f>
        <v xml:space="preserve">  If Wert = hvacChiT_HEATRECOVERY then Res = ".HEATRECOVERY."</v>
      </c>
      <c r="I151" s="44" t="str">
        <f>"  If wert = ""." &amp; Tabelle7[[#This Row],[EnuRohValue]] &amp; "."" Then Res = " &amp; Tabelle7[[#This Row],[EnuValue]]</f>
        <v xml:space="preserve">  If wert = ".HEATRECOVERY." Then Res = hvacChiT_HEATRECOVERY</v>
      </c>
    </row>
    <row r="152" spans="2:9" x14ac:dyDescent="0.25">
      <c r="B152" s="44">
        <v>4</v>
      </c>
      <c r="C152" s="45" t="s">
        <v>1526</v>
      </c>
      <c r="D152" s="44" t="s">
        <v>3682</v>
      </c>
      <c r="E152" s="44" t="str">
        <f>VLOOKUP(Tabelle7[[#This Row],[EnumName]],Enum[[IFC-Name]:[Präfix]],5,FALSE)&amp;Tabelle7[[#This Row],[EnuRohValue]]</f>
        <v>hvacChiT_USERDEFINED</v>
      </c>
      <c r="F152" s="44">
        <f>COUNTIF(Tabelle7[EnuValue],Tabelle7[[#This Row],[EnuValue]])</f>
        <v>1</v>
      </c>
      <c r="G152" s="44" t="str">
        <f xml:space="preserve"> "  " &amp; Tabelle7[[#This Row],[EnuValue]] &amp; " = " &amp; Tabelle7[[#This Row],[Wert]]</f>
        <v xml:space="preserve">  hvacChiT_USERDEFINED = 4</v>
      </c>
      <c r="H152" s="44" t="str">
        <f>"  If Wert = " &amp; Tabelle7[[#This Row],[EnuValue]] &amp; " then Res = ""." &amp; Tabelle7[[#This Row],[EnuRohValue]] &amp; "."""</f>
        <v xml:space="preserve">  If Wert = hvacChiT_USERDEFINED then Res = ".USERDEFINED."</v>
      </c>
      <c r="I152" s="44" t="str">
        <f>"  If wert = ""." &amp; Tabelle7[[#This Row],[EnuRohValue]] &amp; "."" Then Res = " &amp; Tabelle7[[#This Row],[EnuValue]]</f>
        <v xml:space="preserve">  If wert = ".USERDEFINED." Then Res = hvacChiT_USERDEFINED</v>
      </c>
    </row>
    <row r="153" spans="2:9" x14ac:dyDescent="0.25">
      <c r="B153" s="44">
        <v>5</v>
      </c>
      <c r="C153" s="45" t="s">
        <v>1526</v>
      </c>
      <c r="D153" s="44" t="s">
        <v>3683</v>
      </c>
      <c r="E153" s="44" t="str">
        <f>VLOOKUP(Tabelle7[[#This Row],[EnumName]],Enum[[IFC-Name]:[Präfix]],5,FALSE)&amp;Tabelle7[[#This Row],[EnuRohValue]]</f>
        <v>hvacChiT_NOTDEFINED</v>
      </c>
      <c r="F153" s="44">
        <f>COUNTIF(Tabelle7[EnuValue],Tabelle7[[#This Row],[EnuValue]])</f>
        <v>1</v>
      </c>
      <c r="G153" s="44" t="str">
        <f xml:space="preserve"> "  " &amp; Tabelle7[[#This Row],[EnuValue]] &amp; " = " &amp; Tabelle7[[#This Row],[Wert]]</f>
        <v xml:space="preserve">  hvacChiT_NOTDEFINED = 5</v>
      </c>
      <c r="H153" s="44" t="str">
        <f>"  If Wert = " &amp; Tabelle7[[#This Row],[EnuValue]] &amp; " then Res = ""." &amp; Tabelle7[[#This Row],[EnuRohValue]] &amp; "."""</f>
        <v xml:space="preserve">  If Wert = hvacChiT_NOTDEFINED then Res = ".NOTDEFINED."</v>
      </c>
      <c r="I153" s="44" t="str">
        <f>"  If wert = ""." &amp; Tabelle7[[#This Row],[EnuRohValue]] &amp; "."" Then Res = " &amp; Tabelle7[[#This Row],[EnuValue]]</f>
        <v xml:space="preserve">  If wert = ".NOTDEFINED." Then Res = hvacChiT_NOTDEFINED</v>
      </c>
    </row>
    <row r="154" spans="2:9" x14ac:dyDescent="0.25">
      <c r="B154" s="44">
        <v>1</v>
      </c>
      <c r="C154" s="45" t="s">
        <v>1527</v>
      </c>
      <c r="D154" s="44" t="s">
        <v>3805</v>
      </c>
      <c r="E154" s="44" t="str">
        <f>VLOOKUP(Tabelle7[[#This Row],[EnumName]],Enum[[IFC-Name]:[Präfix]],5,FALSE)&amp;Tabelle7[[#This Row],[EnuRohValue]]</f>
        <v>hvacCoiT_DXCOOLINGCOIL</v>
      </c>
      <c r="F154" s="44">
        <f>COUNTIF(Tabelle7[EnuValue],Tabelle7[[#This Row],[EnuValue]])</f>
        <v>1</v>
      </c>
      <c r="G154" s="44" t="str">
        <f xml:space="preserve"> "  " &amp; Tabelle7[[#This Row],[EnuValue]] &amp; " = " &amp; Tabelle7[[#This Row],[Wert]]</f>
        <v xml:space="preserve">  hvacCoiT_DXCOOLINGCOIL = 1</v>
      </c>
      <c r="H154" s="44" t="str">
        <f>"  If Wert = " &amp; Tabelle7[[#This Row],[EnuValue]] &amp; " then Res = ""." &amp; Tabelle7[[#This Row],[EnuRohValue]] &amp; "."""</f>
        <v xml:space="preserve">  If Wert = hvacCoiT_DXCOOLINGCOIL then Res = ".DXCOOLINGCOIL."</v>
      </c>
      <c r="I154" s="44" t="str">
        <f>"  If wert = ""." &amp; Tabelle7[[#This Row],[EnuRohValue]] &amp; "."" Then Res = " &amp; Tabelle7[[#This Row],[EnuValue]]</f>
        <v xml:space="preserve">  If wert = ".DXCOOLINGCOIL." Then Res = hvacCoiT_DXCOOLINGCOIL</v>
      </c>
    </row>
    <row r="155" spans="2:9" x14ac:dyDescent="0.25">
      <c r="B155" s="44">
        <v>2</v>
      </c>
      <c r="C155" s="45" t="s">
        <v>1527</v>
      </c>
      <c r="D155" s="44" t="s">
        <v>3806</v>
      </c>
      <c r="E155" s="44" t="str">
        <f>VLOOKUP(Tabelle7[[#This Row],[EnumName]],Enum[[IFC-Name]:[Präfix]],5,FALSE)&amp;Tabelle7[[#This Row],[EnuRohValue]]</f>
        <v>hvacCoiT_WATERCOOLINGCOIL</v>
      </c>
      <c r="F155" s="44">
        <f>COUNTIF(Tabelle7[EnuValue],Tabelle7[[#This Row],[EnuValue]])</f>
        <v>1</v>
      </c>
      <c r="G155" s="44" t="str">
        <f xml:space="preserve"> "  " &amp; Tabelle7[[#This Row],[EnuValue]] &amp; " = " &amp; Tabelle7[[#This Row],[Wert]]</f>
        <v xml:space="preserve">  hvacCoiT_WATERCOOLINGCOIL = 2</v>
      </c>
      <c r="H155" s="44" t="str">
        <f>"  If Wert = " &amp; Tabelle7[[#This Row],[EnuValue]] &amp; " then Res = ""." &amp; Tabelle7[[#This Row],[EnuRohValue]] &amp; "."""</f>
        <v xml:space="preserve">  If Wert = hvacCoiT_WATERCOOLINGCOIL then Res = ".WATERCOOLINGCOIL."</v>
      </c>
      <c r="I155" s="44" t="str">
        <f>"  If wert = ""." &amp; Tabelle7[[#This Row],[EnuRohValue]] &amp; "."" Then Res = " &amp; Tabelle7[[#This Row],[EnuValue]]</f>
        <v xml:space="preserve">  If wert = ".WATERCOOLINGCOIL." Then Res = hvacCoiT_WATERCOOLINGCOIL</v>
      </c>
    </row>
    <row r="156" spans="2:9" x14ac:dyDescent="0.25">
      <c r="B156" s="44">
        <v>3</v>
      </c>
      <c r="C156" s="45" t="s">
        <v>1527</v>
      </c>
      <c r="D156" s="44" t="s">
        <v>3807</v>
      </c>
      <c r="E156" s="44" t="str">
        <f>VLOOKUP(Tabelle7[[#This Row],[EnumName]],Enum[[IFC-Name]:[Präfix]],5,FALSE)&amp;Tabelle7[[#This Row],[EnuRohValue]]</f>
        <v>hvacCoiT_STEAMHEATINGCOIL</v>
      </c>
      <c r="F156" s="44">
        <f>COUNTIF(Tabelle7[EnuValue],Tabelle7[[#This Row],[EnuValue]])</f>
        <v>1</v>
      </c>
      <c r="G156" s="44" t="str">
        <f xml:space="preserve"> "  " &amp; Tabelle7[[#This Row],[EnuValue]] &amp; " = " &amp; Tabelle7[[#This Row],[Wert]]</f>
        <v xml:space="preserve">  hvacCoiT_STEAMHEATINGCOIL = 3</v>
      </c>
      <c r="H156" s="44" t="str">
        <f>"  If Wert = " &amp; Tabelle7[[#This Row],[EnuValue]] &amp; " then Res = ""." &amp; Tabelle7[[#This Row],[EnuRohValue]] &amp; "."""</f>
        <v xml:space="preserve">  If Wert = hvacCoiT_STEAMHEATINGCOIL then Res = ".STEAMHEATINGCOIL."</v>
      </c>
      <c r="I156" s="44" t="str">
        <f>"  If wert = ""." &amp; Tabelle7[[#This Row],[EnuRohValue]] &amp; "."" Then Res = " &amp; Tabelle7[[#This Row],[EnuValue]]</f>
        <v xml:space="preserve">  If wert = ".STEAMHEATINGCOIL." Then Res = hvacCoiT_STEAMHEATINGCOIL</v>
      </c>
    </row>
    <row r="157" spans="2:9" x14ac:dyDescent="0.25">
      <c r="B157" s="44">
        <v>4</v>
      </c>
      <c r="C157" s="45" t="s">
        <v>1527</v>
      </c>
      <c r="D157" s="44" t="s">
        <v>3808</v>
      </c>
      <c r="E157" s="44" t="str">
        <f>VLOOKUP(Tabelle7[[#This Row],[EnumName]],Enum[[IFC-Name]:[Präfix]],5,FALSE)&amp;Tabelle7[[#This Row],[EnuRohValue]]</f>
        <v>hvacCoiT_WATERHEATINGCOIL</v>
      </c>
      <c r="F157" s="44">
        <f>COUNTIF(Tabelle7[EnuValue],Tabelle7[[#This Row],[EnuValue]])</f>
        <v>1</v>
      </c>
      <c r="G157" s="44" t="str">
        <f xml:space="preserve"> "  " &amp; Tabelle7[[#This Row],[EnuValue]] &amp; " = " &amp; Tabelle7[[#This Row],[Wert]]</f>
        <v xml:space="preserve">  hvacCoiT_WATERHEATINGCOIL = 4</v>
      </c>
      <c r="H157" s="44" t="str">
        <f>"  If Wert = " &amp; Tabelle7[[#This Row],[EnuValue]] &amp; " then Res = ""." &amp; Tabelle7[[#This Row],[EnuRohValue]] &amp; "."""</f>
        <v xml:space="preserve">  If Wert = hvacCoiT_WATERHEATINGCOIL then Res = ".WATERHEATINGCOIL."</v>
      </c>
      <c r="I157" s="44" t="str">
        <f>"  If wert = ""." &amp; Tabelle7[[#This Row],[EnuRohValue]] &amp; "."" Then Res = " &amp; Tabelle7[[#This Row],[EnuValue]]</f>
        <v xml:space="preserve">  If wert = ".WATERHEATINGCOIL." Then Res = hvacCoiT_WATERHEATINGCOIL</v>
      </c>
    </row>
    <row r="158" spans="2:9" x14ac:dyDescent="0.25">
      <c r="B158" s="44">
        <v>5</v>
      </c>
      <c r="C158" s="45" t="s">
        <v>1527</v>
      </c>
      <c r="D158" s="44" t="s">
        <v>3809</v>
      </c>
      <c r="E158" s="44" t="str">
        <f>VLOOKUP(Tabelle7[[#This Row],[EnumName]],Enum[[IFC-Name]:[Präfix]],5,FALSE)&amp;Tabelle7[[#This Row],[EnuRohValue]]</f>
        <v>hvacCoiT_ELECTRICHEATINGCOIL</v>
      </c>
      <c r="F158" s="44">
        <f>COUNTIF(Tabelle7[EnuValue],Tabelle7[[#This Row],[EnuValue]])</f>
        <v>1</v>
      </c>
      <c r="G158" s="44" t="str">
        <f xml:space="preserve"> "  " &amp; Tabelle7[[#This Row],[EnuValue]] &amp; " = " &amp; Tabelle7[[#This Row],[Wert]]</f>
        <v xml:space="preserve">  hvacCoiT_ELECTRICHEATINGCOIL = 5</v>
      </c>
      <c r="H158" s="44" t="str">
        <f>"  If Wert = " &amp; Tabelle7[[#This Row],[EnuValue]] &amp; " then Res = ""." &amp; Tabelle7[[#This Row],[EnuRohValue]] &amp; "."""</f>
        <v xml:space="preserve">  If Wert = hvacCoiT_ELECTRICHEATINGCOIL then Res = ".ELECTRICHEATINGCOIL."</v>
      </c>
      <c r="I158" s="44" t="str">
        <f>"  If wert = ""." &amp; Tabelle7[[#This Row],[EnuRohValue]] &amp; "."" Then Res = " &amp; Tabelle7[[#This Row],[EnuValue]]</f>
        <v xml:space="preserve">  If wert = ".ELECTRICHEATINGCOIL." Then Res = hvacCoiT_ELECTRICHEATINGCOIL</v>
      </c>
    </row>
    <row r="159" spans="2:9" x14ac:dyDescent="0.25">
      <c r="B159" s="44">
        <v>6</v>
      </c>
      <c r="C159" s="45" t="s">
        <v>1527</v>
      </c>
      <c r="D159" s="44" t="s">
        <v>3810</v>
      </c>
      <c r="E159" s="44" t="str">
        <f>VLOOKUP(Tabelle7[[#This Row],[EnumName]],Enum[[IFC-Name]:[Präfix]],5,FALSE)&amp;Tabelle7[[#This Row],[EnuRohValue]]</f>
        <v>hvacCoiT_GASHEATINGCOIL</v>
      </c>
      <c r="F159" s="44">
        <f>COUNTIF(Tabelle7[EnuValue],Tabelle7[[#This Row],[EnuValue]])</f>
        <v>1</v>
      </c>
      <c r="G159" s="44" t="str">
        <f xml:space="preserve"> "  " &amp; Tabelle7[[#This Row],[EnuValue]] &amp; " = " &amp; Tabelle7[[#This Row],[Wert]]</f>
        <v xml:space="preserve">  hvacCoiT_GASHEATINGCOIL = 6</v>
      </c>
      <c r="H159" s="44" t="str">
        <f>"  If Wert = " &amp; Tabelle7[[#This Row],[EnuValue]] &amp; " then Res = ""." &amp; Tabelle7[[#This Row],[EnuRohValue]] &amp; "."""</f>
        <v xml:space="preserve">  If Wert = hvacCoiT_GASHEATINGCOIL then Res = ".GASHEATINGCOIL."</v>
      </c>
      <c r="I159" s="44" t="str">
        <f>"  If wert = ""." &amp; Tabelle7[[#This Row],[EnuRohValue]] &amp; "."" Then Res = " &amp; Tabelle7[[#This Row],[EnuValue]]</f>
        <v xml:space="preserve">  If wert = ".GASHEATINGCOIL." Then Res = hvacCoiT_GASHEATINGCOIL</v>
      </c>
    </row>
    <row r="160" spans="2:9" x14ac:dyDescent="0.25">
      <c r="B160" s="44">
        <v>7</v>
      </c>
      <c r="C160" s="45" t="s">
        <v>1527</v>
      </c>
      <c r="D160" s="44" t="s">
        <v>3682</v>
      </c>
      <c r="E160" s="44" t="str">
        <f>VLOOKUP(Tabelle7[[#This Row],[EnumName]],Enum[[IFC-Name]:[Präfix]],5,FALSE)&amp;Tabelle7[[#This Row],[EnuRohValue]]</f>
        <v>hvacCoiT_USERDEFINED</v>
      </c>
      <c r="F160" s="44">
        <f>COUNTIF(Tabelle7[EnuValue],Tabelle7[[#This Row],[EnuValue]])</f>
        <v>1</v>
      </c>
      <c r="G160" s="44" t="str">
        <f xml:space="preserve"> "  " &amp; Tabelle7[[#This Row],[EnuValue]] &amp; " = " &amp; Tabelle7[[#This Row],[Wert]]</f>
        <v xml:space="preserve">  hvacCoiT_USERDEFINED = 7</v>
      </c>
      <c r="H160" s="44" t="str">
        <f>"  If Wert = " &amp; Tabelle7[[#This Row],[EnuValue]] &amp; " then Res = ""." &amp; Tabelle7[[#This Row],[EnuRohValue]] &amp; "."""</f>
        <v xml:space="preserve">  If Wert = hvacCoiT_USERDEFINED then Res = ".USERDEFINED."</v>
      </c>
      <c r="I160" s="44" t="str">
        <f>"  If wert = ""." &amp; Tabelle7[[#This Row],[EnuRohValue]] &amp; "."" Then Res = " &amp; Tabelle7[[#This Row],[EnuValue]]</f>
        <v xml:space="preserve">  If wert = ".USERDEFINED." Then Res = hvacCoiT_USERDEFINED</v>
      </c>
    </row>
    <row r="161" spans="2:9" x14ac:dyDescent="0.25">
      <c r="B161" s="44">
        <v>8</v>
      </c>
      <c r="C161" s="45" t="s">
        <v>1527</v>
      </c>
      <c r="D161" s="44" t="s">
        <v>3683</v>
      </c>
      <c r="E161" s="44" t="str">
        <f>VLOOKUP(Tabelle7[[#This Row],[EnumName]],Enum[[IFC-Name]:[Präfix]],5,FALSE)&amp;Tabelle7[[#This Row],[EnuRohValue]]</f>
        <v>hvacCoiT_NOTDEFINED</v>
      </c>
      <c r="F161" s="44">
        <f>COUNTIF(Tabelle7[EnuValue],Tabelle7[[#This Row],[EnuValue]])</f>
        <v>1</v>
      </c>
      <c r="G161" s="44" t="str">
        <f xml:space="preserve"> "  " &amp; Tabelle7[[#This Row],[EnuValue]] &amp; " = " &amp; Tabelle7[[#This Row],[Wert]]</f>
        <v xml:space="preserve">  hvacCoiT_NOTDEFINED = 8</v>
      </c>
      <c r="H161" s="44" t="str">
        <f>"  If Wert = " &amp; Tabelle7[[#This Row],[EnuValue]] &amp; " then Res = ""." &amp; Tabelle7[[#This Row],[EnuRohValue]] &amp; "."""</f>
        <v xml:space="preserve">  If Wert = hvacCoiT_NOTDEFINED then Res = ".NOTDEFINED."</v>
      </c>
      <c r="I161" s="44" t="str">
        <f>"  If wert = ""." &amp; Tabelle7[[#This Row],[EnuRohValue]] &amp; "."" Then Res = " &amp; Tabelle7[[#This Row],[EnuValue]]</f>
        <v xml:space="preserve">  If wert = ".NOTDEFINED." Then Res = hvacCoiT_NOTDEFINED</v>
      </c>
    </row>
    <row r="162" spans="2:9" x14ac:dyDescent="0.25">
      <c r="B162" s="44">
        <v>1</v>
      </c>
      <c r="C162" s="45" t="s">
        <v>1528</v>
      </c>
      <c r="D162" s="44" t="s">
        <v>3811</v>
      </c>
      <c r="E162" s="44" t="str">
        <f>VLOOKUP(Tabelle7[[#This Row],[EnumName]],Enum[[IFC-Name]:[Präfix]],5,FALSE)&amp;Tabelle7[[#This Row],[EnuRohValue]]</f>
        <v>sbeClmT_COLUMN</v>
      </c>
      <c r="F162" s="44">
        <f>COUNTIF(Tabelle7[EnuValue],Tabelle7[[#This Row],[EnuValue]])</f>
        <v>1</v>
      </c>
      <c r="G162" s="44" t="str">
        <f xml:space="preserve"> "  " &amp; Tabelle7[[#This Row],[EnuValue]] &amp; " = " &amp; Tabelle7[[#This Row],[Wert]]</f>
        <v xml:space="preserve">  sbeClmT_COLUMN = 1</v>
      </c>
      <c r="H162" s="44" t="str">
        <f>"  If Wert = " &amp; Tabelle7[[#This Row],[EnuValue]] &amp; " then Res = ""." &amp; Tabelle7[[#This Row],[EnuRohValue]] &amp; "."""</f>
        <v xml:space="preserve">  If Wert = sbeClmT_COLUMN then Res = ".COLUMN."</v>
      </c>
      <c r="I162" s="44" t="str">
        <f>"  If wert = ""." &amp; Tabelle7[[#This Row],[EnuRohValue]] &amp; "."" Then Res = " &amp; Tabelle7[[#This Row],[EnuValue]]</f>
        <v xml:space="preserve">  If wert = ".COLUMN." Then Res = sbeClmT_COLUMN</v>
      </c>
    </row>
    <row r="163" spans="2:9" x14ac:dyDescent="0.25">
      <c r="B163" s="44">
        <v>2</v>
      </c>
      <c r="C163" s="45" t="s">
        <v>1528</v>
      </c>
      <c r="D163" s="44" t="s">
        <v>3682</v>
      </c>
      <c r="E163" s="44" t="str">
        <f>VLOOKUP(Tabelle7[[#This Row],[EnumName]],Enum[[IFC-Name]:[Präfix]],5,FALSE)&amp;Tabelle7[[#This Row],[EnuRohValue]]</f>
        <v>sbeClmT_USERDEFINED</v>
      </c>
      <c r="F163" s="44">
        <f>COUNTIF(Tabelle7[EnuValue],Tabelle7[[#This Row],[EnuValue]])</f>
        <v>1</v>
      </c>
      <c r="G163" s="44" t="str">
        <f xml:space="preserve"> "  " &amp; Tabelle7[[#This Row],[EnuValue]] &amp; " = " &amp; Tabelle7[[#This Row],[Wert]]</f>
        <v xml:space="preserve">  sbeClmT_USERDEFINED = 2</v>
      </c>
      <c r="H163" s="44" t="str">
        <f>"  If Wert = " &amp; Tabelle7[[#This Row],[EnuValue]] &amp; " then Res = ""." &amp; Tabelle7[[#This Row],[EnuRohValue]] &amp; "."""</f>
        <v xml:space="preserve">  If Wert = sbeClmT_USERDEFINED then Res = ".USERDEFINED."</v>
      </c>
      <c r="I163" s="44" t="str">
        <f>"  If wert = ""." &amp; Tabelle7[[#This Row],[EnuRohValue]] &amp; "."" Then Res = " &amp; Tabelle7[[#This Row],[EnuValue]]</f>
        <v xml:space="preserve">  If wert = ".USERDEFINED." Then Res = sbeClmT_USERDEFINED</v>
      </c>
    </row>
    <row r="164" spans="2:9" x14ac:dyDescent="0.25">
      <c r="B164" s="44">
        <v>3</v>
      </c>
      <c r="C164" s="45" t="s">
        <v>1528</v>
      </c>
      <c r="D164" s="44" t="s">
        <v>3683</v>
      </c>
      <c r="E164" s="44" t="str">
        <f>VLOOKUP(Tabelle7[[#This Row],[EnumName]],Enum[[IFC-Name]:[Präfix]],5,FALSE)&amp;Tabelle7[[#This Row],[EnuRohValue]]</f>
        <v>sbeClmT_NOTDEFINED</v>
      </c>
      <c r="F164" s="44">
        <f>COUNTIF(Tabelle7[EnuValue],Tabelle7[[#This Row],[EnuValue]])</f>
        <v>1</v>
      </c>
      <c r="G164" s="44" t="str">
        <f xml:space="preserve"> "  " &amp; Tabelle7[[#This Row],[EnuValue]] &amp; " = " &amp; Tabelle7[[#This Row],[Wert]]</f>
        <v xml:space="preserve">  sbeClmT_NOTDEFINED = 3</v>
      </c>
      <c r="H164" s="44" t="str">
        <f>"  If Wert = " &amp; Tabelle7[[#This Row],[EnuValue]] &amp; " then Res = ""." &amp; Tabelle7[[#This Row],[EnuRohValue]] &amp; "."""</f>
        <v xml:space="preserve">  If Wert = sbeClmT_NOTDEFINED then Res = ".NOTDEFINED."</v>
      </c>
      <c r="I164" s="44" t="str">
        <f>"  If wert = ""." &amp; Tabelle7[[#This Row],[EnuRohValue]] &amp; "."" Then Res = " &amp; Tabelle7[[#This Row],[EnuValue]]</f>
        <v xml:space="preserve">  If wert = ".NOTDEFINED." Then Res = sbeClmT_NOTDEFINED</v>
      </c>
    </row>
    <row r="165" spans="2:9" x14ac:dyDescent="0.25">
      <c r="B165" s="44">
        <v>1</v>
      </c>
      <c r="C165" s="45" t="s">
        <v>1529</v>
      </c>
      <c r="D165" s="44" t="s">
        <v>3812</v>
      </c>
      <c r="E165" s="44" t="str">
        <f>VLOOKUP(Tabelle7[[#This Row],[EnumName]],Enum[[IFC-Name]:[Präfix]],5,FALSE)&amp;Tabelle7[[#This Row],[EnuRohValue]]</f>
        <v>hvacComT_DYNAMIC</v>
      </c>
      <c r="F165" s="44">
        <f>COUNTIF(Tabelle7[EnuValue],Tabelle7[[#This Row],[EnuValue]])</f>
        <v>1</v>
      </c>
      <c r="G165" s="44" t="str">
        <f xml:space="preserve"> "  " &amp; Tabelle7[[#This Row],[EnuValue]] &amp; " = " &amp; Tabelle7[[#This Row],[Wert]]</f>
        <v xml:space="preserve">  hvacComT_DYNAMIC = 1</v>
      </c>
      <c r="H165" s="44" t="str">
        <f>"  If Wert = " &amp; Tabelle7[[#This Row],[EnuValue]] &amp; " then Res = ""." &amp; Tabelle7[[#This Row],[EnuRohValue]] &amp; "."""</f>
        <v xml:space="preserve">  If Wert = hvacComT_DYNAMIC then Res = ".DYNAMIC."</v>
      </c>
      <c r="I165" s="44" t="str">
        <f>"  If wert = ""." &amp; Tabelle7[[#This Row],[EnuRohValue]] &amp; "."" Then Res = " &amp; Tabelle7[[#This Row],[EnuValue]]</f>
        <v xml:space="preserve">  If wert = ".DYNAMIC." Then Res = hvacComT_DYNAMIC</v>
      </c>
    </row>
    <row r="166" spans="2:9" x14ac:dyDescent="0.25">
      <c r="B166" s="44">
        <v>2</v>
      </c>
      <c r="C166" s="45" t="s">
        <v>1529</v>
      </c>
      <c r="D166" s="44" t="s">
        <v>3813</v>
      </c>
      <c r="E166" s="44" t="str">
        <f>VLOOKUP(Tabelle7[[#This Row],[EnumName]],Enum[[IFC-Name]:[Präfix]],5,FALSE)&amp;Tabelle7[[#This Row],[EnuRohValue]]</f>
        <v>hvacComT_RECIPROCATING</v>
      </c>
      <c r="F166" s="44">
        <f>COUNTIF(Tabelle7[EnuValue],Tabelle7[[#This Row],[EnuValue]])</f>
        <v>1</v>
      </c>
      <c r="G166" s="44" t="str">
        <f xml:space="preserve"> "  " &amp; Tabelle7[[#This Row],[EnuValue]] &amp; " = " &amp; Tabelle7[[#This Row],[Wert]]</f>
        <v xml:space="preserve">  hvacComT_RECIPROCATING = 2</v>
      </c>
      <c r="H166" s="44" t="str">
        <f>"  If Wert = " &amp; Tabelle7[[#This Row],[EnuValue]] &amp; " then Res = ""." &amp; Tabelle7[[#This Row],[EnuRohValue]] &amp; "."""</f>
        <v xml:space="preserve">  If Wert = hvacComT_RECIPROCATING then Res = ".RECIPROCATING."</v>
      </c>
      <c r="I166" s="44" t="str">
        <f>"  If wert = ""." &amp; Tabelle7[[#This Row],[EnuRohValue]] &amp; "."" Then Res = " &amp; Tabelle7[[#This Row],[EnuValue]]</f>
        <v xml:space="preserve">  If wert = ".RECIPROCATING." Then Res = hvacComT_RECIPROCATING</v>
      </c>
    </row>
    <row r="167" spans="2:9" x14ac:dyDescent="0.25">
      <c r="B167" s="44">
        <v>3</v>
      </c>
      <c r="C167" s="45" t="s">
        <v>1529</v>
      </c>
      <c r="D167" s="44" t="s">
        <v>3814</v>
      </c>
      <c r="E167" s="44" t="str">
        <f>VLOOKUP(Tabelle7[[#This Row],[EnumName]],Enum[[IFC-Name]:[Präfix]],5,FALSE)&amp;Tabelle7[[#This Row],[EnuRohValue]]</f>
        <v>hvacComT_ROTARY</v>
      </c>
      <c r="F167" s="44">
        <f>COUNTIF(Tabelle7[EnuValue],Tabelle7[[#This Row],[EnuValue]])</f>
        <v>1</v>
      </c>
      <c r="G167" s="44" t="str">
        <f xml:space="preserve"> "  " &amp; Tabelle7[[#This Row],[EnuValue]] &amp; " = " &amp; Tabelle7[[#This Row],[Wert]]</f>
        <v xml:space="preserve">  hvacComT_ROTARY = 3</v>
      </c>
      <c r="H167" s="44" t="str">
        <f>"  If Wert = " &amp; Tabelle7[[#This Row],[EnuValue]] &amp; " then Res = ""." &amp; Tabelle7[[#This Row],[EnuRohValue]] &amp; "."""</f>
        <v xml:space="preserve">  If Wert = hvacComT_ROTARY then Res = ".ROTARY."</v>
      </c>
      <c r="I167" s="44" t="str">
        <f>"  If wert = ""." &amp; Tabelle7[[#This Row],[EnuRohValue]] &amp; "."" Then Res = " &amp; Tabelle7[[#This Row],[EnuValue]]</f>
        <v xml:space="preserve">  If wert = ".ROTARY." Then Res = hvacComT_ROTARY</v>
      </c>
    </row>
    <row r="168" spans="2:9" x14ac:dyDescent="0.25">
      <c r="B168" s="44">
        <v>4</v>
      </c>
      <c r="C168" s="45" t="s">
        <v>1529</v>
      </c>
      <c r="D168" s="44" t="s">
        <v>3815</v>
      </c>
      <c r="E168" s="44" t="str">
        <f>VLOOKUP(Tabelle7[[#This Row],[EnumName]],Enum[[IFC-Name]:[Präfix]],5,FALSE)&amp;Tabelle7[[#This Row],[EnuRohValue]]</f>
        <v>hvacComT_SCROLL</v>
      </c>
      <c r="F168" s="44">
        <f>COUNTIF(Tabelle7[EnuValue],Tabelle7[[#This Row],[EnuValue]])</f>
        <v>1</v>
      </c>
      <c r="G168" s="44" t="str">
        <f xml:space="preserve"> "  " &amp; Tabelle7[[#This Row],[EnuValue]] &amp; " = " &amp; Tabelle7[[#This Row],[Wert]]</f>
        <v xml:space="preserve">  hvacComT_SCROLL = 4</v>
      </c>
      <c r="H168" s="44" t="str">
        <f>"  If Wert = " &amp; Tabelle7[[#This Row],[EnuValue]] &amp; " then Res = ""." &amp; Tabelle7[[#This Row],[EnuRohValue]] &amp; "."""</f>
        <v xml:space="preserve">  If Wert = hvacComT_SCROLL then Res = ".SCROLL."</v>
      </c>
      <c r="I168" s="44" t="str">
        <f>"  If wert = ""." &amp; Tabelle7[[#This Row],[EnuRohValue]] &amp; "."" Then Res = " &amp; Tabelle7[[#This Row],[EnuValue]]</f>
        <v xml:space="preserve">  If wert = ".SCROLL." Then Res = hvacComT_SCROLL</v>
      </c>
    </row>
    <row r="169" spans="2:9" x14ac:dyDescent="0.25">
      <c r="B169" s="44">
        <v>5</v>
      </c>
      <c r="C169" s="45" t="s">
        <v>1529</v>
      </c>
      <c r="D169" s="44" t="s">
        <v>3816</v>
      </c>
      <c r="E169" s="44" t="str">
        <f>VLOOKUP(Tabelle7[[#This Row],[EnumName]],Enum[[IFC-Name]:[Präfix]],5,FALSE)&amp;Tabelle7[[#This Row],[EnuRohValue]]</f>
        <v>hvacComT_TROCHOIDAL</v>
      </c>
      <c r="F169" s="44">
        <f>COUNTIF(Tabelle7[EnuValue],Tabelle7[[#This Row],[EnuValue]])</f>
        <v>1</v>
      </c>
      <c r="G169" s="44" t="str">
        <f xml:space="preserve"> "  " &amp; Tabelle7[[#This Row],[EnuValue]] &amp; " = " &amp; Tabelle7[[#This Row],[Wert]]</f>
        <v xml:space="preserve">  hvacComT_TROCHOIDAL = 5</v>
      </c>
      <c r="H169" s="44" t="str">
        <f>"  If Wert = " &amp; Tabelle7[[#This Row],[EnuValue]] &amp; " then Res = ""." &amp; Tabelle7[[#This Row],[EnuRohValue]] &amp; "."""</f>
        <v xml:space="preserve">  If Wert = hvacComT_TROCHOIDAL then Res = ".TROCHOIDAL."</v>
      </c>
      <c r="I169" s="44" t="str">
        <f>"  If wert = ""." &amp; Tabelle7[[#This Row],[EnuRohValue]] &amp; "."" Then Res = " &amp; Tabelle7[[#This Row],[EnuValue]]</f>
        <v xml:space="preserve">  If wert = ".TROCHOIDAL." Then Res = hvacComT_TROCHOIDAL</v>
      </c>
    </row>
    <row r="170" spans="2:9" x14ac:dyDescent="0.25">
      <c r="B170" s="44">
        <v>6</v>
      </c>
      <c r="C170" s="45" t="s">
        <v>1529</v>
      </c>
      <c r="D170" s="44" t="s">
        <v>3817</v>
      </c>
      <c r="E170" s="44" t="str">
        <f>VLOOKUP(Tabelle7[[#This Row],[EnumName]],Enum[[IFC-Name]:[Präfix]],5,FALSE)&amp;Tabelle7[[#This Row],[EnuRohValue]]</f>
        <v>hvacComT_SINGLESTAGE</v>
      </c>
      <c r="F170" s="44">
        <f>COUNTIF(Tabelle7[EnuValue],Tabelle7[[#This Row],[EnuValue]])</f>
        <v>1</v>
      </c>
      <c r="G170" s="44" t="str">
        <f xml:space="preserve"> "  " &amp; Tabelle7[[#This Row],[EnuValue]] &amp; " = " &amp; Tabelle7[[#This Row],[Wert]]</f>
        <v xml:space="preserve">  hvacComT_SINGLESTAGE = 6</v>
      </c>
      <c r="H170" s="44" t="str">
        <f>"  If Wert = " &amp; Tabelle7[[#This Row],[EnuValue]] &amp; " then Res = ""." &amp; Tabelle7[[#This Row],[EnuRohValue]] &amp; "."""</f>
        <v xml:space="preserve">  If Wert = hvacComT_SINGLESTAGE then Res = ".SINGLESTAGE."</v>
      </c>
      <c r="I170" s="44" t="str">
        <f>"  If wert = ""." &amp; Tabelle7[[#This Row],[EnuRohValue]] &amp; "."" Then Res = " &amp; Tabelle7[[#This Row],[EnuValue]]</f>
        <v xml:space="preserve">  If wert = ".SINGLESTAGE." Then Res = hvacComT_SINGLESTAGE</v>
      </c>
    </row>
    <row r="171" spans="2:9" x14ac:dyDescent="0.25">
      <c r="B171" s="44">
        <v>7</v>
      </c>
      <c r="C171" s="45" t="s">
        <v>1529</v>
      </c>
      <c r="D171" s="44" t="s">
        <v>3818</v>
      </c>
      <c r="E171" s="44" t="str">
        <f>VLOOKUP(Tabelle7[[#This Row],[EnumName]],Enum[[IFC-Name]:[Präfix]],5,FALSE)&amp;Tabelle7[[#This Row],[EnuRohValue]]</f>
        <v>hvacComT_BOOSTER</v>
      </c>
      <c r="F171" s="44">
        <f>COUNTIF(Tabelle7[EnuValue],Tabelle7[[#This Row],[EnuValue]])</f>
        <v>1</v>
      </c>
      <c r="G171" s="44" t="str">
        <f xml:space="preserve"> "  " &amp; Tabelle7[[#This Row],[EnuValue]] &amp; " = " &amp; Tabelle7[[#This Row],[Wert]]</f>
        <v xml:space="preserve">  hvacComT_BOOSTER = 7</v>
      </c>
      <c r="H171" s="44" t="str">
        <f>"  If Wert = " &amp; Tabelle7[[#This Row],[EnuValue]] &amp; " then Res = ""." &amp; Tabelle7[[#This Row],[EnuRohValue]] &amp; "."""</f>
        <v xml:space="preserve">  If Wert = hvacComT_BOOSTER then Res = ".BOOSTER."</v>
      </c>
      <c r="I171" s="44" t="str">
        <f>"  If wert = ""." &amp; Tabelle7[[#This Row],[EnuRohValue]] &amp; "."" Then Res = " &amp; Tabelle7[[#This Row],[EnuValue]]</f>
        <v xml:space="preserve">  If wert = ".BOOSTER." Then Res = hvacComT_BOOSTER</v>
      </c>
    </row>
    <row r="172" spans="2:9" x14ac:dyDescent="0.25">
      <c r="B172" s="44">
        <v>8</v>
      </c>
      <c r="C172" s="45" t="s">
        <v>1529</v>
      </c>
      <c r="D172" s="44" t="s">
        <v>3819</v>
      </c>
      <c r="E172" s="44" t="str">
        <f>VLOOKUP(Tabelle7[[#This Row],[EnumName]],Enum[[IFC-Name]:[Präfix]],5,FALSE)&amp;Tabelle7[[#This Row],[EnuRohValue]]</f>
        <v>hvacComT_OPENTYPE</v>
      </c>
      <c r="F172" s="44">
        <f>COUNTIF(Tabelle7[EnuValue],Tabelle7[[#This Row],[EnuValue]])</f>
        <v>1</v>
      </c>
      <c r="G172" s="44" t="str">
        <f xml:space="preserve"> "  " &amp; Tabelle7[[#This Row],[EnuValue]] &amp; " = " &amp; Tabelle7[[#This Row],[Wert]]</f>
        <v xml:space="preserve">  hvacComT_OPENTYPE = 8</v>
      </c>
      <c r="H172" s="44" t="str">
        <f>"  If Wert = " &amp; Tabelle7[[#This Row],[EnuValue]] &amp; " then Res = ""." &amp; Tabelle7[[#This Row],[EnuRohValue]] &amp; "."""</f>
        <v xml:space="preserve">  If Wert = hvacComT_OPENTYPE then Res = ".OPENTYPE."</v>
      </c>
      <c r="I172" s="44" t="str">
        <f>"  If wert = ""." &amp; Tabelle7[[#This Row],[EnuRohValue]] &amp; "."" Then Res = " &amp; Tabelle7[[#This Row],[EnuValue]]</f>
        <v xml:space="preserve">  If wert = ".OPENTYPE." Then Res = hvacComT_OPENTYPE</v>
      </c>
    </row>
    <row r="173" spans="2:9" x14ac:dyDescent="0.25">
      <c r="B173" s="44">
        <v>9</v>
      </c>
      <c r="C173" s="45" t="s">
        <v>1529</v>
      </c>
      <c r="D173" s="44" t="s">
        <v>3820</v>
      </c>
      <c r="E173" s="44" t="str">
        <f>VLOOKUP(Tabelle7[[#This Row],[EnumName]],Enum[[IFC-Name]:[Präfix]],5,FALSE)&amp;Tabelle7[[#This Row],[EnuRohValue]]</f>
        <v>hvacComT_HERMETIC</v>
      </c>
      <c r="F173" s="44">
        <f>COUNTIF(Tabelle7[EnuValue],Tabelle7[[#This Row],[EnuValue]])</f>
        <v>1</v>
      </c>
      <c r="G173" s="44" t="str">
        <f xml:space="preserve"> "  " &amp; Tabelle7[[#This Row],[EnuValue]] &amp; " = " &amp; Tabelle7[[#This Row],[Wert]]</f>
        <v xml:space="preserve">  hvacComT_HERMETIC = 9</v>
      </c>
      <c r="H173" s="44" t="str">
        <f>"  If Wert = " &amp; Tabelle7[[#This Row],[EnuValue]] &amp; " then Res = ""." &amp; Tabelle7[[#This Row],[EnuRohValue]] &amp; "."""</f>
        <v xml:space="preserve">  If Wert = hvacComT_HERMETIC then Res = ".HERMETIC."</v>
      </c>
      <c r="I173" s="44" t="str">
        <f>"  If wert = ""." &amp; Tabelle7[[#This Row],[EnuRohValue]] &amp; "."" Then Res = " &amp; Tabelle7[[#This Row],[EnuValue]]</f>
        <v xml:space="preserve">  If wert = ".HERMETIC." Then Res = hvacComT_HERMETIC</v>
      </c>
    </row>
    <row r="174" spans="2:9" x14ac:dyDescent="0.25">
      <c r="B174" s="44">
        <v>10</v>
      </c>
      <c r="C174" s="45" t="s">
        <v>1529</v>
      </c>
      <c r="D174" s="44" t="s">
        <v>3821</v>
      </c>
      <c r="E174" s="44" t="str">
        <f>VLOOKUP(Tabelle7[[#This Row],[EnumName]],Enum[[IFC-Name]:[Präfix]],5,FALSE)&amp;Tabelle7[[#This Row],[EnuRohValue]]</f>
        <v>hvacComT_SEMIHERMETIC</v>
      </c>
      <c r="F174" s="44">
        <f>COUNTIF(Tabelle7[EnuValue],Tabelle7[[#This Row],[EnuValue]])</f>
        <v>1</v>
      </c>
      <c r="G174" s="44" t="str">
        <f xml:space="preserve"> "  " &amp; Tabelle7[[#This Row],[EnuValue]] &amp; " = " &amp; Tabelle7[[#This Row],[Wert]]</f>
        <v xml:space="preserve">  hvacComT_SEMIHERMETIC = 10</v>
      </c>
      <c r="H174" s="44" t="str">
        <f>"  If Wert = " &amp; Tabelle7[[#This Row],[EnuValue]] &amp; " then Res = ""." &amp; Tabelle7[[#This Row],[EnuRohValue]] &amp; "."""</f>
        <v xml:space="preserve">  If Wert = hvacComT_SEMIHERMETIC then Res = ".SEMIHERMETIC."</v>
      </c>
      <c r="I174" s="44" t="str">
        <f>"  If wert = ""." &amp; Tabelle7[[#This Row],[EnuRohValue]] &amp; "."" Then Res = " &amp; Tabelle7[[#This Row],[EnuValue]]</f>
        <v xml:space="preserve">  If wert = ".SEMIHERMETIC." Then Res = hvacComT_SEMIHERMETIC</v>
      </c>
    </row>
    <row r="175" spans="2:9" x14ac:dyDescent="0.25">
      <c r="B175" s="44">
        <v>11</v>
      </c>
      <c r="C175" s="45" t="s">
        <v>1529</v>
      </c>
      <c r="D175" s="44" t="s">
        <v>3822</v>
      </c>
      <c r="E175" s="44" t="str">
        <f>VLOOKUP(Tabelle7[[#This Row],[EnumName]],Enum[[IFC-Name]:[Präfix]],5,FALSE)&amp;Tabelle7[[#This Row],[EnuRohValue]]</f>
        <v>hvacComT_WELDEDSHELLHERMETIC</v>
      </c>
      <c r="F175" s="44">
        <f>COUNTIF(Tabelle7[EnuValue],Tabelle7[[#This Row],[EnuValue]])</f>
        <v>1</v>
      </c>
      <c r="G175" s="44" t="str">
        <f xml:space="preserve"> "  " &amp; Tabelle7[[#This Row],[EnuValue]] &amp; " = " &amp; Tabelle7[[#This Row],[Wert]]</f>
        <v xml:space="preserve">  hvacComT_WELDEDSHELLHERMETIC = 11</v>
      </c>
      <c r="H175" s="44" t="str">
        <f>"  If Wert = " &amp; Tabelle7[[#This Row],[EnuValue]] &amp; " then Res = ""." &amp; Tabelle7[[#This Row],[EnuRohValue]] &amp; "."""</f>
        <v xml:space="preserve">  If Wert = hvacComT_WELDEDSHELLHERMETIC then Res = ".WELDEDSHELLHERMETIC."</v>
      </c>
      <c r="I175" s="44" t="str">
        <f>"  If wert = ""." &amp; Tabelle7[[#This Row],[EnuRohValue]] &amp; "."" Then Res = " &amp; Tabelle7[[#This Row],[EnuValue]]</f>
        <v xml:space="preserve">  If wert = ".WELDEDSHELLHERMETIC." Then Res = hvacComT_WELDEDSHELLHERMETIC</v>
      </c>
    </row>
    <row r="176" spans="2:9" x14ac:dyDescent="0.25">
      <c r="B176" s="44">
        <v>12</v>
      </c>
      <c r="C176" s="45" t="s">
        <v>1529</v>
      </c>
      <c r="D176" s="44" t="s">
        <v>3823</v>
      </c>
      <c r="E176" s="44" t="str">
        <f>VLOOKUP(Tabelle7[[#This Row],[EnumName]],Enum[[IFC-Name]:[Präfix]],5,FALSE)&amp;Tabelle7[[#This Row],[EnuRohValue]]</f>
        <v>hvacComT_ROLLINGPISTON</v>
      </c>
      <c r="F176" s="44">
        <f>COUNTIF(Tabelle7[EnuValue],Tabelle7[[#This Row],[EnuValue]])</f>
        <v>1</v>
      </c>
      <c r="G176" s="44" t="str">
        <f xml:space="preserve"> "  " &amp; Tabelle7[[#This Row],[EnuValue]] &amp; " = " &amp; Tabelle7[[#This Row],[Wert]]</f>
        <v xml:space="preserve">  hvacComT_ROLLINGPISTON = 12</v>
      </c>
      <c r="H176" s="44" t="str">
        <f>"  If Wert = " &amp; Tabelle7[[#This Row],[EnuValue]] &amp; " then Res = ""." &amp; Tabelle7[[#This Row],[EnuRohValue]] &amp; "."""</f>
        <v xml:space="preserve">  If Wert = hvacComT_ROLLINGPISTON then Res = ".ROLLINGPISTON."</v>
      </c>
      <c r="I176" s="44" t="str">
        <f>"  If wert = ""." &amp; Tabelle7[[#This Row],[EnuRohValue]] &amp; "."" Then Res = " &amp; Tabelle7[[#This Row],[EnuValue]]</f>
        <v xml:space="preserve">  If wert = ".ROLLINGPISTON." Then Res = hvacComT_ROLLINGPISTON</v>
      </c>
    </row>
    <row r="177" spans="2:9" x14ac:dyDescent="0.25">
      <c r="B177" s="44">
        <v>13</v>
      </c>
      <c r="C177" s="45" t="s">
        <v>1529</v>
      </c>
      <c r="D177" s="44" t="s">
        <v>3824</v>
      </c>
      <c r="E177" s="44" t="str">
        <f>VLOOKUP(Tabelle7[[#This Row],[EnumName]],Enum[[IFC-Name]:[Präfix]],5,FALSE)&amp;Tabelle7[[#This Row],[EnuRohValue]]</f>
        <v>hvacComT_ROTARYVANE</v>
      </c>
      <c r="F177" s="44">
        <f>COUNTIF(Tabelle7[EnuValue],Tabelle7[[#This Row],[EnuValue]])</f>
        <v>1</v>
      </c>
      <c r="G177" s="44" t="str">
        <f xml:space="preserve"> "  " &amp; Tabelle7[[#This Row],[EnuValue]] &amp; " = " &amp; Tabelle7[[#This Row],[Wert]]</f>
        <v xml:space="preserve">  hvacComT_ROTARYVANE = 13</v>
      </c>
      <c r="H177" s="44" t="str">
        <f>"  If Wert = " &amp; Tabelle7[[#This Row],[EnuValue]] &amp; " then Res = ""." &amp; Tabelle7[[#This Row],[EnuRohValue]] &amp; "."""</f>
        <v xml:space="preserve">  If Wert = hvacComT_ROTARYVANE then Res = ".ROTARYVANE."</v>
      </c>
      <c r="I177" s="44" t="str">
        <f>"  If wert = ""." &amp; Tabelle7[[#This Row],[EnuRohValue]] &amp; "."" Then Res = " &amp; Tabelle7[[#This Row],[EnuValue]]</f>
        <v xml:space="preserve">  If wert = ".ROTARYVANE." Then Res = hvacComT_ROTARYVANE</v>
      </c>
    </row>
    <row r="178" spans="2:9" x14ac:dyDescent="0.25">
      <c r="B178" s="44">
        <v>14</v>
      </c>
      <c r="C178" s="45" t="s">
        <v>1529</v>
      </c>
      <c r="D178" s="44" t="s">
        <v>3825</v>
      </c>
      <c r="E178" s="44" t="str">
        <f>VLOOKUP(Tabelle7[[#This Row],[EnumName]],Enum[[IFC-Name]:[Präfix]],5,FALSE)&amp;Tabelle7[[#This Row],[EnuRohValue]]</f>
        <v>hvacComT_SINGLESCREW</v>
      </c>
      <c r="F178" s="44">
        <f>COUNTIF(Tabelle7[EnuValue],Tabelle7[[#This Row],[EnuValue]])</f>
        <v>1</v>
      </c>
      <c r="G178" s="44" t="str">
        <f xml:space="preserve"> "  " &amp; Tabelle7[[#This Row],[EnuValue]] &amp; " = " &amp; Tabelle7[[#This Row],[Wert]]</f>
        <v xml:space="preserve">  hvacComT_SINGLESCREW = 14</v>
      </c>
      <c r="H178" s="44" t="str">
        <f>"  If Wert = " &amp; Tabelle7[[#This Row],[EnuValue]] &amp; " then Res = ""." &amp; Tabelle7[[#This Row],[EnuRohValue]] &amp; "."""</f>
        <v xml:space="preserve">  If Wert = hvacComT_SINGLESCREW then Res = ".SINGLESCREW."</v>
      </c>
      <c r="I178" s="44" t="str">
        <f>"  If wert = ""." &amp; Tabelle7[[#This Row],[EnuRohValue]] &amp; "."" Then Res = " &amp; Tabelle7[[#This Row],[EnuValue]]</f>
        <v xml:space="preserve">  If wert = ".SINGLESCREW." Then Res = hvacComT_SINGLESCREW</v>
      </c>
    </row>
    <row r="179" spans="2:9" x14ac:dyDescent="0.25">
      <c r="B179" s="44">
        <v>15</v>
      </c>
      <c r="C179" s="45" t="s">
        <v>1529</v>
      </c>
      <c r="D179" s="44" t="s">
        <v>3826</v>
      </c>
      <c r="E179" s="44" t="str">
        <f>VLOOKUP(Tabelle7[[#This Row],[EnumName]],Enum[[IFC-Name]:[Präfix]],5,FALSE)&amp;Tabelle7[[#This Row],[EnuRohValue]]</f>
        <v>hvacComT_TWINSCREW</v>
      </c>
      <c r="F179" s="44">
        <f>COUNTIF(Tabelle7[EnuValue],Tabelle7[[#This Row],[EnuValue]])</f>
        <v>1</v>
      </c>
      <c r="G179" s="44" t="str">
        <f xml:space="preserve"> "  " &amp; Tabelle7[[#This Row],[EnuValue]] &amp; " = " &amp; Tabelle7[[#This Row],[Wert]]</f>
        <v xml:space="preserve">  hvacComT_TWINSCREW = 15</v>
      </c>
      <c r="H179" s="44" t="str">
        <f>"  If Wert = " &amp; Tabelle7[[#This Row],[EnuValue]] &amp; " then Res = ""." &amp; Tabelle7[[#This Row],[EnuRohValue]] &amp; "."""</f>
        <v xml:space="preserve">  If Wert = hvacComT_TWINSCREW then Res = ".TWINSCREW."</v>
      </c>
      <c r="I179" s="44" t="str">
        <f>"  If wert = ""." &amp; Tabelle7[[#This Row],[EnuRohValue]] &amp; "."" Then Res = " &amp; Tabelle7[[#This Row],[EnuValue]]</f>
        <v xml:space="preserve">  If wert = ".TWINSCREW." Then Res = hvacComT_TWINSCREW</v>
      </c>
    </row>
    <row r="180" spans="2:9" x14ac:dyDescent="0.25">
      <c r="B180" s="44">
        <v>16</v>
      </c>
      <c r="C180" s="45" t="s">
        <v>1529</v>
      </c>
      <c r="D180" s="44" t="s">
        <v>3682</v>
      </c>
      <c r="E180" s="44" t="str">
        <f>VLOOKUP(Tabelle7[[#This Row],[EnumName]],Enum[[IFC-Name]:[Präfix]],5,FALSE)&amp;Tabelle7[[#This Row],[EnuRohValue]]</f>
        <v>hvacComT_USERDEFINED</v>
      </c>
      <c r="F180" s="44">
        <f>COUNTIF(Tabelle7[EnuValue],Tabelle7[[#This Row],[EnuValue]])</f>
        <v>1</v>
      </c>
      <c r="G180" s="44" t="str">
        <f xml:space="preserve"> "  " &amp; Tabelle7[[#This Row],[EnuValue]] &amp; " = " &amp; Tabelle7[[#This Row],[Wert]]</f>
        <v xml:space="preserve">  hvacComT_USERDEFINED = 16</v>
      </c>
      <c r="H180" s="44" t="str">
        <f>"  If Wert = " &amp; Tabelle7[[#This Row],[EnuValue]] &amp; " then Res = ""." &amp; Tabelle7[[#This Row],[EnuRohValue]] &amp; "."""</f>
        <v xml:space="preserve">  If Wert = hvacComT_USERDEFINED then Res = ".USERDEFINED."</v>
      </c>
      <c r="I180" s="44" t="str">
        <f>"  If wert = ""." &amp; Tabelle7[[#This Row],[EnuRohValue]] &amp; "."" Then Res = " &amp; Tabelle7[[#This Row],[EnuValue]]</f>
        <v xml:space="preserve">  If wert = ".USERDEFINED." Then Res = hvacComT_USERDEFINED</v>
      </c>
    </row>
    <row r="181" spans="2:9" x14ac:dyDescent="0.25">
      <c r="B181" s="44">
        <v>17</v>
      </c>
      <c r="C181" s="45" t="s">
        <v>1529</v>
      </c>
      <c r="D181" s="44" t="s">
        <v>3683</v>
      </c>
      <c r="E181" s="44" t="str">
        <f>VLOOKUP(Tabelle7[[#This Row],[EnumName]],Enum[[IFC-Name]:[Präfix]],5,FALSE)&amp;Tabelle7[[#This Row],[EnuRohValue]]</f>
        <v>hvacComT_NOTDEFINED</v>
      </c>
      <c r="F181" s="44">
        <f>COUNTIF(Tabelle7[EnuValue],Tabelle7[[#This Row],[EnuValue]])</f>
        <v>1</v>
      </c>
      <c r="G181" s="44" t="str">
        <f xml:space="preserve"> "  " &amp; Tabelle7[[#This Row],[EnuValue]] &amp; " = " &amp; Tabelle7[[#This Row],[Wert]]</f>
        <v xml:space="preserve">  hvacComT_NOTDEFINED = 17</v>
      </c>
      <c r="H181" s="44" t="str">
        <f>"  If Wert = " &amp; Tabelle7[[#This Row],[EnuValue]] &amp; " then Res = ""." &amp; Tabelle7[[#This Row],[EnuRohValue]] &amp; "."""</f>
        <v xml:space="preserve">  If Wert = hvacComT_NOTDEFINED then Res = ".NOTDEFINED."</v>
      </c>
      <c r="I181" s="44" t="str">
        <f>"  If wert = ""." &amp; Tabelle7[[#This Row],[EnuRohValue]] &amp; "."" Then Res = " &amp; Tabelle7[[#This Row],[EnuValue]]</f>
        <v xml:space="preserve">  If wert = ".NOTDEFINED." Then Res = hvacComT_NOTDEFINED</v>
      </c>
    </row>
    <row r="182" spans="2:9" x14ac:dyDescent="0.25">
      <c r="B182" s="44">
        <v>1</v>
      </c>
      <c r="C182" s="45" t="s">
        <v>1530</v>
      </c>
      <c r="D182" s="44" t="s">
        <v>3827</v>
      </c>
      <c r="E182" s="44" t="str">
        <f>VLOOKUP(Tabelle7[[#This Row],[EnumName]],Enum[[IFC-Name]:[Präfix]],5,FALSE)&amp;Tabelle7[[#This Row],[EnuRohValue]]</f>
        <v>hvacConT_WATERCOOLEDSHELLTUBE</v>
      </c>
      <c r="F182" s="44">
        <f>COUNTIF(Tabelle7[EnuValue],Tabelle7[[#This Row],[EnuValue]])</f>
        <v>1</v>
      </c>
      <c r="G182" s="44" t="str">
        <f xml:space="preserve"> "  " &amp; Tabelle7[[#This Row],[EnuValue]] &amp; " = " &amp; Tabelle7[[#This Row],[Wert]]</f>
        <v xml:space="preserve">  hvacConT_WATERCOOLEDSHELLTUBE = 1</v>
      </c>
      <c r="H182" s="44" t="str">
        <f>"  If Wert = " &amp; Tabelle7[[#This Row],[EnuValue]] &amp; " then Res = ""." &amp; Tabelle7[[#This Row],[EnuRohValue]] &amp; "."""</f>
        <v xml:space="preserve">  If Wert = hvacConT_WATERCOOLEDSHELLTUBE then Res = ".WATERCOOLEDSHELLTUBE."</v>
      </c>
      <c r="I182" s="44" t="str">
        <f>"  If wert = ""." &amp; Tabelle7[[#This Row],[EnuRohValue]] &amp; "."" Then Res = " &amp; Tabelle7[[#This Row],[EnuValue]]</f>
        <v xml:space="preserve">  If wert = ".WATERCOOLEDSHELLTUBE." Then Res = hvacConT_WATERCOOLEDSHELLTUBE</v>
      </c>
    </row>
    <row r="183" spans="2:9" x14ac:dyDescent="0.25">
      <c r="B183" s="44">
        <v>2</v>
      </c>
      <c r="C183" s="45" t="s">
        <v>1530</v>
      </c>
      <c r="D183" s="44" t="s">
        <v>3828</v>
      </c>
      <c r="E183" s="44" t="str">
        <f>VLOOKUP(Tabelle7[[#This Row],[EnumName]],Enum[[IFC-Name]:[Präfix]],5,FALSE)&amp;Tabelle7[[#This Row],[EnuRohValue]]</f>
        <v>hvacConT_WATERCOOLEDSHELLCOIL</v>
      </c>
      <c r="F183" s="44">
        <f>COUNTIF(Tabelle7[EnuValue],Tabelle7[[#This Row],[EnuValue]])</f>
        <v>1</v>
      </c>
      <c r="G183" s="44" t="str">
        <f xml:space="preserve"> "  " &amp; Tabelle7[[#This Row],[EnuValue]] &amp; " = " &amp; Tabelle7[[#This Row],[Wert]]</f>
        <v xml:space="preserve">  hvacConT_WATERCOOLEDSHELLCOIL = 2</v>
      </c>
      <c r="H183" s="44" t="str">
        <f>"  If Wert = " &amp; Tabelle7[[#This Row],[EnuValue]] &amp; " then Res = ""." &amp; Tabelle7[[#This Row],[EnuRohValue]] &amp; "."""</f>
        <v xml:space="preserve">  If Wert = hvacConT_WATERCOOLEDSHELLCOIL then Res = ".WATERCOOLEDSHELLCOIL."</v>
      </c>
      <c r="I183" s="44" t="str">
        <f>"  If wert = ""." &amp; Tabelle7[[#This Row],[EnuRohValue]] &amp; "."" Then Res = " &amp; Tabelle7[[#This Row],[EnuValue]]</f>
        <v xml:space="preserve">  If wert = ".WATERCOOLEDSHELLCOIL." Then Res = hvacConT_WATERCOOLEDSHELLCOIL</v>
      </c>
    </row>
    <row r="184" spans="2:9" x14ac:dyDescent="0.25">
      <c r="B184" s="44">
        <v>3</v>
      </c>
      <c r="C184" s="45" t="s">
        <v>1530</v>
      </c>
      <c r="D184" s="44" t="s">
        <v>3829</v>
      </c>
      <c r="E184" s="44" t="str">
        <f>VLOOKUP(Tabelle7[[#This Row],[EnumName]],Enum[[IFC-Name]:[Präfix]],5,FALSE)&amp;Tabelle7[[#This Row],[EnuRohValue]]</f>
        <v>hvacConT_WATERCOOLEDTUBEINTUBE</v>
      </c>
      <c r="F184" s="44">
        <f>COUNTIF(Tabelle7[EnuValue],Tabelle7[[#This Row],[EnuValue]])</f>
        <v>1</v>
      </c>
      <c r="G184" s="44" t="str">
        <f xml:space="preserve"> "  " &amp; Tabelle7[[#This Row],[EnuValue]] &amp; " = " &amp; Tabelle7[[#This Row],[Wert]]</f>
        <v xml:space="preserve">  hvacConT_WATERCOOLEDTUBEINTUBE = 3</v>
      </c>
      <c r="H184" s="44" t="str">
        <f>"  If Wert = " &amp; Tabelle7[[#This Row],[EnuValue]] &amp; " then Res = ""." &amp; Tabelle7[[#This Row],[EnuRohValue]] &amp; "."""</f>
        <v xml:space="preserve">  If Wert = hvacConT_WATERCOOLEDTUBEINTUBE then Res = ".WATERCOOLEDTUBEINTUBE."</v>
      </c>
      <c r="I184" s="44" t="str">
        <f>"  If wert = ""." &amp; Tabelle7[[#This Row],[EnuRohValue]] &amp; "."" Then Res = " &amp; Tabelle7[[#This Row],[EnuValue]]</f>
        <v xml:space="preserve">  If wert = ".WATERCOOLEDTUBEINTUBE." Then Res = hvacConT_WATERCOOLEDTUBEINTUBE</v>
      </c>
    </row>
    <row r="185" spans="2:9" x14ac:dyDescent="0.25">
      <c r="B185" s="44">
        <v>4</v>
      </c>
      <c r="C185" s="45" t="s">
        <v>1530</v>
      </c>
      <c r="D185" s="44" t="s">
        <v>3830</v>
      </c>
      <c r="E185" s="44" t="str">
        <f>VLOOKUP(Tabelle7[[#This Row],[EnumName]],Enum[[IFC-Name]:[Präfix]],5,FALSE)&amp;Tabelle7[[#This Row],[EnuRohValue]]</f>
        <v>hvacConT_WATERCOOLEDBRAZEDPLATE</v>
      </c>
      <c r="F185" s="44">
        <f>COUNTIF(Tabelle7[EnuValue],Tabelle7[[#This Row],[EnuValue]])</f>
        <v>1</v>
      </c>
      <c r="G185" s="44" t="str">
        <f xml:space="preserve"> "  " &amp; Tabelle7[[#This Row],[EnuValue]] &amp; " = " &amp; Tabelle7[[#This Row],[Wert]]</f>
        <v xml:space="preserve">  hvacConT_WATERCOOLEDBRAZEDPLATE = 4</v>
      </c>
      <c r="H185" s="44" t="str">
        <f>"  If Wert = " &amp; Tabelle7[[#This Row],[EnuValue]] &amp; " then Res = ""." &amp; Tabelle7[[#This Row],[EnuRohValue]] &amp; "."""</f>
        <v xml:space="preserve">  If Wert = hvacConT_WATERCOOLEDBRAZEDPLATE then Res = ".WATERCOOLEDBRAZEDPLATE."</v>
      </c>
      <c r="I185" s="44" t="str">
        <f>"  If wert = ""." &amp; Tabelle7[[#This Row],[EnuRohValue]] &amp; "."" Then Res = " &amp; Tabelle7[[#This Row],[EnuValue]]</f>
        <v xml:space="preserve">  If wert = ".WATERCOOLEDBRAZEDPLATE." Then Res = hvacConT_WATERCOOLEDBRAZEDPLATE</v>
      </c>
    </row>
    <row r="186" spans="2:9" x14ac:dyDescent="0.25">
      <c r="B186" s="44">
        <v>5</v>
      </c>
      <c r="C186" s="45" t="s">
        <v>1530</v>
      </c>
      <c r="D186" s="44" t="s">
        <v>3802</v>
      </c>
      <c r="E186" s="44" t="str">
        <f>VLOOKUP(Tabelle7[[#This Row],[EnumName]],Enum[[IFC-Name]:[Präfix]],5,FALSE)&amp;Tabelle7[[#This Row],[EnuRohValue]]</f>
        <v>hvacConT_AIRCOOLED</v>
      </c>
      <c r="F186" s="44">
        <f>COUNTIF(Tabelle7[EnuValue],Tabelle7[[#This Row],[EnuValue]])</f>
        <v>1</v>
      </c>
      <c r="G186" s="44" t="str">
        <f xml:space="preserve"> "  " &amp; Tabelle7[[#This Row],[EnuValue]] &amp; " = " &amp; Tabelle7[[#This Row],[Wert]]</f>
        <v xml:space="preserve">  hvacConT_AIRCOOLED = 5</v>
      </c>
      <c r="H186" s="44" t="str">
        <f>"  If Wert = " &amp; Tabelle7[[#This Row],[EnuValue]] &amp; " then Res = ""." &amp; Tabelle7[[#This Row],[EnuRohValue]] &amp; "."""</f>
        <v xml:space="preserve">  If Wert = hvacConT_AIRCOOLED then Res = ".AIRCOOLED."</v>
      </c>
      <c r="I186" s="44" t="str">
        <f>"  If wert = ""." &amp; Tabelle7[[#This Row],[EnuRohValue]] &amp; "."" Then Res = " &amp; Tabelle7[[#This Row],[EnuValue]]</f>
        <v xml:space="preserve">  If wert = ".AIRCOOLED." Then Res = hvacConT_AIRCOOLED</v>
      </c>
    </row>
    <row r="187" spans="2:9" x14ac:dyDescent="0.25">
      <c r="B187" s="44">
        <v>6</v>
      </c>
      <c r="C187" s="45" t="s">
        <v>1530</v>
      </c>
      <c r="D187" s="44" t="s">
        <v>3831</v>
      </c>
      <c r="E187" s="44" t="str">
        <f>VLOOKUP(Tabelle7[[#This Row],[EnumName]],Enum[[IFC-Name]:[Präfix]],5,FALSE)&amp;Tabelle7[[#This Row],[EnuRohValue]]</f>
        <v>hvacConT_EVAPORATIVECOOLED</v>
      </c>
      <c r="F187" s="44">
        <f>COUNTIF(Tabelle7[EnuValue],Tabelle7[[#This Row],[EnuValue]])</f>
        <v>1</v>
      </c>
      <c r="G187" s="44" t="str">
        <f xml:space="preserve"> "  " &amp; Tabelle7[[#This Row],[EnuValue]] &amp; " = " &amp; Tabelle7[[#This Row],[Wert]]</f>
        <v xml:space="preserve">  hvacConT_EVAPORATIVECOOLED = 6</v>
      </c>
      <c r="H187" s="44" t="str">
        <f>"  If Wert = " &amp; Tabelle7[[#This Row],[EnuValue]] &amp; " then Res = ""." &amp; Tabelle7[[#This Row],[EnuRohValue]] &amp; "."""</f>
        <v xml:space="preserve">  If Wert = hvacConT_EVAPORATIVECOOLED then Res = ".EVAPORATIVECOOLED."</v>
      </c>
      <c r="I187" s="44" t="str">
        <f>"  If wert = ""." &amp; Tabelle7[[#This Row],[EnuRohValue]] &amp; "."" Then Res = " &amp; Tabelle7[[#This Row],[EnuValue]]</f>
        <v xml:space="preserve">  If wert = ".EVAPORATIVECOOLED." Then Res = hvacConT_EVAPORATIVECOOLED</v>
      </c>
    </row>
    <row r="188" spans="2:9" x14ac:dyDescent="0.25">
      <c r="B188" s="44">
        <v>7</v>
      </c>
      <c r="C188" s="45" t="s">
        <v>1530</v>
      </c>
      <c r="D188" s="44" t="s">
        <v>3682</v>
      </c>
      <c r="E188" s="44" t="str">
        <f>VLOOKUP(Tabelle7[[#This Row],[EnumName]],Enum[[IFC-Name]:[Präfix]],5,FALSE)&amp;Tabelle7[[#This Row],[EnuRohValue]]</f>
        <v>hvacConT_USERDEFINED</v>
      </c>
      <c r="F188" s="44">
        <f>COUNTIF(Tabelle7[EnuValue],Tabelle7[[#This Row],[EnuValue]])</f>
        <v>1</v>
      </c>
      <c r="G188" s="44" t="str">
        <f xml:space="preserve"> "  " &amp; Tabelle7[[#This Row],[EnuValue]] &amp; " = " &amp; Tabelle7[[#This Row],[Wert]]</f>
        <v xml:space="preserve">  hvacConT_USERDEFINED = 7</v>
      </c>
      <c r="H188" s="44" t="str">
        <f>"  If Wert = " &amp; Tabelle7[[#This Row],[EnuValue]] &amp; " then Res = ""." &amp; Tabelle7[[#This Row],[EnuRohValue]] &amp; "."""</f>
        <v xml:space="preserve">  If Wert = hvacConT_USERDEFINED then Res = ".USERDEFINED."</v>
      </c>
      <c r="I188" s="44" t="str">
        <f>"  If wert = ""." &amp; Tabelle7[[#This Row],[EnuRohValue]] &amp; "."" Then Res = " &amp; Tabelle7[[#This Row],[EnuValue]]</f>
        <v xml:space="preserve">  If wert = ".USERDEFINED." Then Res = hvacConT_USERDEFINED</v>
      </c>
    </row>
    <row r="189" spans="2:9" x14ac:dyDescent="0.25">
      <c r="B189" s="44">
        <v>8</v>
      </c>
      <c r="C189" s="45" t="s">
        <v>1530</v>
      </c>
      <c r="D189" s="44" t="s">
        <v>3683</v>
      </c>
      <c r="E189" s="44" t="str">
        <f>VLOOKUP(Tabelle7[[#This Row],[EnumName]],Enum[[IFC-Name]:[Präfix]],5,FALSE)&amp;Tabelle7[[#This Row],[EnuRohValue]]</f>
        <v>hvacConT_NOTDEFINED</v>
      </c>
      <c r="F189" s="44">
        <f>COUNTIF(Tabelle7[EnuValue],Tabelle7[[#This Row],[EnuValue]])</f>
        <v>1</v>
      </c>
      <c r="G189" s="44" t="str">
        <f xml:space="preserve"> "  " &amp; Tabelle7[[#This Row],[EnuValue]] &amp; " = " &amp; Tabelle7[[#This Row],[Wert]]</f>
        <v xml:space="preserve">  hvacConT_NOTDEFINED = 8</v>
      </c>
      <c r="H189" s="44" t="str">
        <f>"  If Wert = " &amp; Tabelle7[[#This Row],[EnuValue]] &amp; " then Res = ""." &amp; Tabelle7[[#This Row],[EnuRohValue]] &amp; "."""</f>
        <v xml:space="preserve">  If Wert = hvacConT_NOTDEFINED then Res = ".NOTDEFINED."</v>
      </c>
      <c r="I189" s="44" t="str">
        <f>"  If wert = ""." &amp; Tabelle7[[#This Row],[EnuRohValue]] &amp; "."" Then Res = " &amp; Tabelle7[[#This Row],[EnuValue]]</f>
        <v xml:space="preserve">  If wert = ".NOTDEFINED." Then Res = hvacConT_NOTDEFINED</v>
      </c>
    </row>
    <row r="190" spans="2:9" x14ac:dyDescent="0.25">
      <c r="B190" s="44">
        <v>1</v>
      </c>
      <c r="C190" s="45" t="s">
        <v>1531</v>
      </c>
      <c r="D190" s="44" t="s">
        <v>3832</v>
      </c>
      <c r="E190" s="44" t="str">
        <f>VLOOKUP(Tabelle7[[#This Row],[EnumName]],Enum[[IFC-Name]:[Präfix]],5,FALSE)&amp;Tabelle7[[#This Row],[EnuRohValue]]</f>
        <v>sbeConT_ATPATH</v>
      </c>
      <c r="F190" s="44">
        <f>COUNTIF(Tabelle7[EnuValue],Tabelle7[[#This Row],[EnuValue]])</f>
        <v>1</v>
      </c>
      <c r="G190" s="44" t="str">
        <f xml:space="preserve"> "  " &amp; Tabelle7[[#This Row],[EnuValue]] &amp; " = " &amp; Tabelle7[[#This Row],[Wert]]</f>
        <v xml:space="preserve">  sbeConT_ATPATH = 1</v>
      </c>
      <c r="H190" s="44" t="str">
        <f>"  If Wert = " &amp; Tabelle7[[#This Row],[EnuValue]] &amp; " then Res = ""." &amp; Tabelle7[[#This Row],[EnuRohValue]] &amp; "."""</f>
        <v xml:space="preserve">  If Wert = sbeConT_ATPATH then Res = ".ATPATH."</v>
      </c>
      <c r="I190" s="44" t="str">
        <f>"  If wert = ""." &amp; Tabelle7[[#This Row],[EnuRohValue]] &amp; "."" Then Res = " &amp; Tabelle7[[#This Row],[EnuValue]]</f>
        <v xml:space="preserve">  If wert = ".ATPATH." Then Res = sbeConT_ATPATH</v>
      </c>
    </row>
    <row r="191" spans="2:9" x14ac:dyDescent="0.25">
      <c r="B191" s="44">
        <v>2</v>
      </c>
      <c r="C191" s="45" t="s">
        <v>1531</v>
      </c>
      <c r="D191" s="44" t="s">
        <v>3833</v>
      </c>
      <c r="E191" s="44" t="str">
        <f>VLOOKUP(Tabelle7[[#This Row],[EnumName]],Enum[[IFC-Name]:[Präfix]],5,FALSE)&amp;Tabelle7[[#This Row],[EnuRohValue]]</f>
        <v>sbeConT_ATSTART</v>
      </c>
      <c r="F191" s="44">
        <f>COUNTIF(Tabelle7[EnuValue],Tabelle7[[#This Row],[EnuValue]])</f>
        <v>1</v>
      </c>
      <c r="G191" s="44" t="str">
        <f xml:space="preserve"> "  " &amp; Tabelle7[[#This Row],[EnuValue]] &amp; " = " &amp; Tabelle7[[#This Row],[Wert]]</f>
        <v xml:space="preserve">  sbeConT_ATSTART = 2</v>
      </c>
      <c r="H191" s="44" t="str">
        <f>"  If Wert = " &amp; Tabelle7[[#This Row],[EnuValue]] &amp; " then Res = ""." &amp; Tabelle7[[#This Row],[EnuRohValue]] &amp; "."""</f>
        <v xml:space="preserve">  If Wert = sbeConT_ATSTART then Res = ".ATSTART."</v>
      </c>
      <c r="I191" s="44" t="str">
        <f>"  If wert = ""." &amp; Tabelle7[[#This Row],[EnuRohValue]] &amp; "."" Then Res = " &amp; Tabelle7[[#This Row],[EnuValue]]</f>
        <v xml:space="preserve">  If wert = ".ATSTART." Then Res = sbeConT_ATSTART</v>
      </c>
    </row>
    <row r="192" spans="2:9" x14ac:dyDescent="0.25">
      <c r="B192" s="44">
        <v>3</v>
      </c>
      <c r="C192" s="45" t="s">
        <v>1531</v>
      </c>
      <c r="D192" s="44" t="s">
        <v>3834</v>
      </c>
      <c r="E192" s="44" t="str">
        <f>VLOOKUP(Tabelle7[[#This Row],[EnumName]],Enum[[IFC-Name]:[Präfix]],5,FALSE)&amp;Tabelle7[[#This Row],[EnuRohValue]]</f>
        <v>sbeConT_ATEND</v>
      </c>
      <c r="F192" s="44">
        <f>COUNTIF(Tabelle7[EnuValue],Tabelle7[[#This Row],[EnuValue]])</f>
        <v>1</v>
      </c>
      <c r="G192" s="44" t="str">
        <f xml:space="preserve"> "  " &amp; Tabelle7[[#This Row],[EnuValue]] &amp; " = " &amp; Tabelle7[[#This Row],[Wert]]</f>
        <v xml:space="preserve">  sbeConT_ATEND = 3</v>
      </c>
      <c r="H192" s="44" t="str">
        <f>"  If Wert = " &amp; Tabelle7[[#This Row],[EnuValue]] &amp; " then Res = ""." &amp; Tabelle7[[#This Row],[EnuRohValue]] &amp; "."""</f>
        <v xml:space="preserve">  If Wert = sbeConT_ATEND then Res = ".ATEND."</v>
      </c>
      <c r="I192" s="44" t="str">
        <f>"  If wert = ""." &amp; Tabelle7[[#This Row],[EnuRohValue]] &amp; "."" Then Res = " &amp; Tabelle7[[#This Row],[EnuValue]]</f>
        <v xml:space="preserve">  If wert = ".ATEND." Then Res = sbeConT_ATEND</v>
      </c>
    </row>
    <row r="193" spans="2:9" x14ac:dyDescent="0.25">
      <c r="B193" s="44">
        <v>4</v>
      </c>
      <c r="C193" s="45" t="s">
        <v>1531</v>
      </c>
      <c r="D193" s="44" t="s">
        <v>3683</v>
      </c>
      <c r="E193" s="44" t="str">
        <f>VLOOKUP(Tabelle7[[#This Row],[EnumName]],Enum[[IFC-Name]:[Präfix]],5,FALSE)&amp;Tabelle7[[#This Row],[EnuRohValue]]</f>
        <v>sbeConT_NOTDEFINED</v>
      </c>
      <c r="F193" s="44">
        <f>COUNTIF(Tabelle7[EnuValue],Tabelle7[[#This Row],[EnuValue]])</f>
        <v>1</v>
      </c>
      <c r="G193" s="44" t="str">
        <f xml:space="preserve"> "  " &amp; Tabelle7[[#This Row],[EnuValue]] &amp; " = " &amp; Tabelle7[[#This Row],[Wert]]</f>
        <v xml:space="preserve">  sbeConT_NOTDEFINED = 4</v>
      </c>
      <c r="H193" s="44" t="str">
        <f>"  If Wert = " &amp; Tabelle7[[#This Row],[EnuValue]] &amp; " then Res = ""." &amp; Tabelle7[[#This Row],[EnuRohValue]] &amp; "."""</f>
        <v xml:space="preserve">  If Wert = sbeConT_NOTDEFINED then Res = ".NOTDEFINED."</v>
      </c>
      <c r="I193" s="44" t="str">
        <f>"  If wert = ""." &amp; Tabelle7[[#This Row],[EnuRohValue]] &amp; "."" Then Res = " &amp; Tabelle7[[#This Row],[EnuValue]]</f>
        <v xml:space="preserve">  If wert = ".NOTDEFINED." Then Res = sbeConT_NOTDEFINED</v>
      </c>
    </row>
    <row r="194" spans="2:9" x14ac:dyDescent="0.25">
      <c r="B194" s="44">
        <v>1</v>
      </c>
      <c r="C194" s="45" t="s">
        <v>1532</v>
      </c>
      <c r="D194" s="44" t="s">
        <v>3835</v>
      </c>
      <c r="E194" s="44" t="str">
        <f>VLOOKUP(Tabelle7[[#This Row],[EnumName]],Enum[[IFC-Name]:[Präfix]],5,FALSE)&amp;Tabelle7[[#This Row],[EnuRohValue]]</f>
        <v>cstC_HARD</v>
      </c>
      <c r="F194" s="44">
        <f>COUNTIF(Tabelle7[EnuValue],Tabelle7[[#This Row],[EnuValue]])</f>
        <v>1</v>
      </c>
      <c r="G194" s="44" t="str">
        <f xml:space="preserve"> "  " &amp; Tabelle7[[#This Row],[EnuValue]] &amp; " = " &amp; Tabelle7[[#This Row],[Wert]]</f>
        <v xml:space="preserve">  cstC_HARD = 1</v>
      </c>
      <c r="H194" s="44" t="str">
        <f>"  If Wert = " &amp; Tabelle7[[#This Row],[EnuValue]] &amp; " then Res = ""." &amp; Tabelle7[[#This Row],[EnuRohValue]] &amp; "."""</f>
        <v xml:space="preserve">  If Wert = cstC_HARD then Res = ".HARD."</v>
      </c>
      <c r="I194" s="44" t="str">
        <f>"  If wert = ""." &amp; Tabelle7[[#This Row],[EnuRohValue]] &amp; "."" Then Res = " &amp; Tabelle7[[#This Row],[EnuValue]]</f>
        <v xml:space="preserve">  If wert = ".HARD." Then Res = cstC_HARD</v>
      </c>
    </row>
    <row r="195" spans="2:9" x14ac:dyDescent="0.25">
      <c r="B195" s="44">
        <v>2</v>
      </c>
      <c r="C195" s="45" t="s">
        <v>1532</v>
      </c>
      <c r="D195" s="44" t="s">
        <v>3836</v>
      </c>
      <c r="E195" s="44" t="str">
        <f>VLOOKUP(Tabelle7[[#This Row],[EnumName]],Enum[[IFC-Name]:[Präfix]],5,FALSE)&amp;Tabelle7[[#This Row],[EnuRohValue]]</f>
        <v>cstC_SOFT</v>
      </c>
      <c r="F195" s="44">
        <f>COUNTIF(Tabelle7[EnuValue],Tabelle7[[#This Row],[EnuValue]])</f>
        <v>1</v>
      </c>
      <c r="G195" s="44" t="str">
        <f xml:space="preserve"> "  " &amp; Tabelle7[[#This Row],[EnuValue]] &amp; " = " &amp; Tabelle7[[#This Row],[Wert]]</f>
        <v xml:space="preserve">  cstC_SOFT = 2</v>
      </c>
      <c r="H195" s="44" t="str">
        <f>"  If Wert = " &amp; Tabelle7[[#This Row],[EnuValue]] &amp; " then Res = ""." &amp; Tabelle7[[#This Row],[EnuRohValue]] &amp; "."""</f>
        <v xml:space="preserve">  If Wert = cstC_SOFT then Res = ".SOFT."</v>
      </c>
      <c r="I195" s="44" t="str">
        <f>"  If wert = ""." &amp; Tabelle7[[#This Row],[EnuRohValue]] &amp; "."" Then Res = " &amp; Tabelle7[[#This Row],[EnuValue]]</f>
        <v xml:space="preserve">  If wert = ".SOFT." Then Res = cstC_SOFT</v>
      </c>
    </row>
    <row r="196" spans="2:9" x14ac:dyDescent="0.25">
      <c r="B196" s="44">
        <v>3</v>
      </c>
      <c r="C196" s="45" t="s">
        <v>1532</v>
      </c>
      <c r="D196" s="44" t="s">
        <v>3837</v>
      </c>
      <c r="E196" s="44" t="str">
        <f>VLOOKUP(Tabelle7[[#This Row],[EnumName]],Enum[[IFC-Name]:[Präfix]],5,FALSE)&amp;Tabelle7[[#This Row],[EnuRohValue]]</f>
        <v>cstC_ADVISORY</v>
      </c>
      <c r="F196" s="44">
        <f>COUNTIF(Tabelle7[EnuValue],Tabelle7[[#This Row],[EnuValue]])</f>
        <v>1</v>
      </c>
      <c r="G196" s="44" t="str">
        <f xml:space="preserve"> "  " &amp; Tabelle7[[#This Row],[EnuValue]] &amp; " = " &amp; Tabelle7[[#This Row],[Wert]]</f>
        <v xml:space="preserve">  cstC_ADVISORY = 3</v>
      </c>
      <c r="H196" s="44" t="str">
        <f>"  If Wert = " &amp; Tabelle7[[#This Row],[EnuValue]] &amp; " then Res = ""." &amp; Tabelle7[[#This Row],[EnuRohValue]] &amp; "."""</f>
        <v xml:space="preserve">  If Wert = cstC_ADVISORY then Res = ".ADVISORY."</v>
      </c>
      <c r="I196" s="44" t="str">
        <f>"  If wert = ""." &amp; Tabelle7[[#This Row],[EnuRohValue]] &amp; "."" Then Res = " &amp; Tabelle7[[#This Row],[EnuValue]]</f>
        <v xml:space="preserve">  If wert = ".ADVISORY." Then Res = cstC_ADVISORY</v>
      </c>
    </row>
    <row r="197" spans="2:9" x14ac:dyDescent="0.25">
      <c r="B197" s="44">
        <v>4</v>
      </c>
      <c r="C197" s="45" t="s">
        <v>1532</v>
      </c>
      <c r="D197" s="44" t="s">
        <v>3682</v>
      </c>
      <c r="E197" s="44" t="str">
        <f>VLOOKUP(Tabelle7[[#This Row],[EnumName]],Enum[[IFC-Name]:[Präfix]],5,FALSE)&amp;Tabelle7[[#This Row],[EnuRohValue]]</f>
        <v>cstC_USERDEFINED</v>
      </c>
      <c r="F197" s="44">
        <f>COUNTIF(Tabelle7[EnuValue],Tabelle7[[#This Row],[EnuValue]])</f>
        <v>1</v>
      </c>
      <c r="G197" s="44" t="str">
        <f xml:space="preserve"> "  " &amp; Tabelle7[[#This Row],[EnuValue]] &amp; " = " &amp; Tabelle7[[#This Row],[Wert]]</f>
        <v xml:space="preserve">  cstC_USERDEFINED = 4</v>
      </c>
      <c r="H197" s="44" t="str">
        <f>"  If Wert = " &amp; Tabelle7[[#This Row],[EnuValue]] &amp; " then Res = ""." &amp; Tabelle7[[#This Row],[EnuRohValue]] &amp; "."""</f>
        <v xml:space="preserve">  If Wert = cstC_USERDEFINED then Res = ".USERDEFINED."</v>
      </c>
      <c r="I197" s="44" t="str">
        <f>"  If wert = ""." &amp; Tabelle7[[#This Row],[EnuRohValue]] &amp; "."" Then Res = " &amp; Tabelle7[[#This Row],[EnuValue]]</f>
        <v xml:space="preserve">  If wert = ".USERDEFINED." Then Res = cstC_USERDEFINED</v>
      </c>
    </row>
    <row r="198" spans="2:9" x14ac:dyDescent="0.25">
      <c r="B198" s="44">
        <v>5</v>
      </c>
      <c r="C198" s="45" t="s">
        <v>1532</v>
      </c>
      <c r="D198" s="44" t="s">
        <v>3683</v>
      </c>
      <c r="E198" s="44" t="str">
        <f>VLOOKUP(Tabelle7[[#This Row],[EnumName]],Enum[[IFC-Name]:[Präfix]],5,FALSE)&amp;Tabelle7[[#This Row],[EnuRohValue]]</f>
        <v>cstC_NOTDEFINED</v>
      </c>
      <c r="F198" s="44">
        <f>COUNTIF(Tabelle7[EnuValue],Tabelle7[[#This Row],[EnuValue]])</f>
        <v>1</v>
      </c>
      <c r="G198" s="44" t="str">
        <f xml:space="preserve"> "  " &amp; Tabelle7[[#This Row],[EnuValue]] &amp; " = " &amp; Tabelle7[[#This Row],[Wert]]</f>
        <v xml:space="preserve">  cstC_NOTDEFINED = 5</v>
      </c>
      <c r="H198" s="44" t="str">
        <f>"  If Wert = " &amp; Tabelle7[[#This Row],[EnuValue]] &amp; " then Res = ""." &amp; Tabelle7[[#This Row],[EnuRohValue]] &amp; "."""</f>
        <v xml:space="preserve">  If Wert = cstC_NOTDEFINED then Res = ".NOTDEFINED."</v>
      </c>
      <c r="I198" s="44" t="str">
        <f>"  If wert = ""." &amp; Tabelle7[[#This Row],[EnuRohValue]] &amp; "."" Then Res = " &amp; Tabelle7[[#This Row],[EnuValue]]</f>
        <v xml:space="preserve">  If wert = ".NOTDEFINED." Then Res = cstC_NOTDEFINED</v>
      </c>
    </row>
    <row r="199" spans="2:9" x14ac:dyDescent="0.25">
      <c r="B199" s="44">
        <v>1</v>
      </c>
      <c r="C199" s="45" t="s">
        <v>1533</v>
      </c>
      <c r="D199" s="44" t="s">
        <v>3838</v>
      </c>
      <c r="E199" s="44" t="str">
        <f>VLOOKUP(Tabelle7[[#This Row],[EnumName]],Enum[[IFC-Name]:[Präfix]],5,FALSE)&amp;Tabelle7[[#This Row],[EnuRohValue]]</f>
        <v>bldCT_FLOATING</v>
      </c>
      <c r="F199" s="44">
        <f>COUNTIF(Tabelle7[EnuValue],Tabelle7[[#This Row],[EnuValue]])</f>
        <v>1</v>
      </c>
      <c r="G199" s="44" t="str">
        <f xml:space="preserve"> "  " &amp; Tabelle7[[#This Row],[EnuValue]] &amp; " = " &amp; Tabelle7[[#This Row],[Wert]]</f>
        <v xml:space="preserve">  bldCT_FLOATING = 1</v>
      </c>
      <c r="H199" s="44" t="str">
        <f>"  If Wert = " &amp; Tabelle7[[#This Row],[EnuValue]] &amp; " then Res = ""." &amp; Tabelle7[[#This Row],[EnuRohValue]] &amp; "."""</f>
        <v xml:space="preserve">  If Wert = bldCT_FLOATING then Res = ".FLOATING."</v>
      </c>
      <c r="I199" s="44" t="str">
        <f>"  If wert = ""." &amp; Tabelle7[[#This Row],[EnuRohValue]] &amp; "."" Then Res = " &amp; Tabelle7[[#This Row],[EnuValue]]</f>
        <v xml:space="preserve">  If wert = ".FLOATING." Then Res = bldCT_FLOATING</v>
      </c>
    </row>
    <row r="200" spans="2:9" x14ac:dyDescent="0.25">
      <c r="B200" s="44">
        <v>2</v>
      </c>
      <c r="C200" s="45" t="s">
        <v>1533</v>
      </c>
      <c r="D200" s="44" t="s">
        <v>3839</v>
      </c>
      <c r="E200" s="44" t="str">
        <f>VLOOKUP(Tabelle7[[#This Row],[EnumName]],Enum[[IFC-Name]:[Präfix]],5,FALSE)&amp;Tabelle7[[#This Row],[EnuRohValue]]</f>
        <v>bldCT_PROPORTIONAL</v>
      </c>
      <c r="F200" s="44">
        <f>COUNTIF(Tabelle7[EnuValue],Tabelle7[[#This Row],[EnuValue]])</f>
        <v>1</v>
      </c>
      <c r="G200" s="44" t="str">
        <f xml:space="preserve"> "  " &amp; Tabelle7[[#This Row],[EnuValue]] &amp; " = " &amp; Tabelle7[[#This Row],[Wert]]</f>
        <v xml:space="preserve">  bldCT_PROPORTIONAL = 2</v>
      </c>
      <c r="H200" s="44" t="str">
        <f>"  If Wert = " &amp; Tabelle7[[#This Row],[EnuValue]] &amp; " then Res = ""." &amp; Tabelle7[[#This Row],[EnuRohValue]] &amp; "."""</f>
        <v xml:space="preserve">  If Wert = bldCT_PROPORTIONAL then Res = ".PROPORTIONAL."</v>
      </c>
      <c r="I200" s="44" t="str">
        <f>"  If wert = ""." &amp; Tabelle7[[#This Row],[EnuRohValue]] &amp; "."" Then Res = " &amp; Tabelle7[[#This Row],[EnuValue]]</f>
        <v xml:space="preserve">  If wert = ".PROPORTIONAL." Then Res = bldCT_PROPORTIONAL</v>
      </c>
    </row>
    <row r="201" spans="2:9" x14ac:dyDescent="0.25">
      <c r="B201" s="44">
        <v>3</v>
      </c>
      <c r="C201" s="45" t="s">
        <v>1533</v>
      </c>
      <c r="D201" s="44" t="s">
        <v>3840</v>
      </c>
      <c r="E201" s="44" t="str">
        <f>VLOOKUP(Tabelle7[[#This Row],[EnumName]],Enum[[IFC-Name]:[Präfix]],5,FALSE)&amp;Tabelle7[[#This Row],[EnuRohValue]]</f>
        <v>bldCT_PROPORTIONALINTEGRAL</v>
      </c>
      <c r="F201" s="44">
        <f>COUNTIF(Tabelle7[EnuValue],Tabelle7[[#This Row],[EnuValue]])</f>
        <v>1</v>
      </c>
      <c r="G201" s="44" t="str">
        <f xml:space="preserve"> "  " &amp; Tabelle7[[#This Row],[EnuValue]] &amp; " = " &amp; Tabelle7[[#This Row],[Wert]]</f>
        <v xml:space="preserve">  bldCT_PROPORTIONALINTEGRAL = 3</v>
      </c>
      <c r="H201" s="44" t="str">
        <f>"  If Wert = " &amp; Tabelle7[[#This Row],[EnuValue]] &amp; " then Res = ""." &amp; Tabelle7[[#This Row],[EnuRohValue]] &amp; "."""</f>
        <v xml:space="preserve">  If Wert = bldCT_PROPORTIONALINTEGRAL then Res = ".PROPORTIONALINTEGRAL."</v>
      </c>
      <c r="I201" s="44" t="str">
        <f>"  If wert = ""." &amp; Tabelle7[[#This Row],[EnuRohValue]] &amp; "."" Then Res = " &amp; Tabelle7[[#This Row],[EnuValue]]</f>
        <v xml:space="preserve">  If wert = ".PROPORTIONALINTEGRAL." Then Res = bldCT_PROPORTIONALINTEGRAL</v>
      </c>
    </row>
    <row r="202" spans="2:9" x14ac:dyDescent="0.25">
      <c r="B202" s="44">
        <v>4</v>
      </c>
      <c r="C202" s="45" t="s">
        <v>1533</v>
      </c>
      <c r="D202" s="44" t="s">
        <v>3841</v>
      </c>
      <c r="E202" s="44" t="str">
        <f>VLOOKUP(Tabelle7[[#This Row],[EnumName]],Enum[[IFC-Name]:[Präfix]],5,FALSE)&amp;Tabelle7[[#This Row],[EnuRohValue]]</f>
        <v>bldCT_PROPORTIONALINTEGRALDERIVATIVE</v>
      </c>
      <c r="F202" s="44">
        <f>COUNTIF(Tabelle7[EnuValue],Tabelle7[[#This Row],[EnuValue]])</f>
        <v>1</v>
      </c>
      <c r="G202" s="44" t="str">
        <f xml:space="preserve"> "  " &amp; Tabelle7[[#This Row],[EnuValue]] &amp; " = " &amp; Tabelle7[[#This Row],[Wert]]</f>
        <v xml:space="preserve">  bldCT_PROPORTIONALINTEGRALDERIVATIVE = 4</v>
      </c>
      <c r="H202" s="44" t="str">
        <f>"  If Wert = " &amp; Tabelle7[[#This Row],[EnuValue]] &amp; " then Res = ""." &amp; Tabelle7[[#This Row],[EnuRohValue]] &amp; "."""</f>
        <v xml:space="preserve">  If Wert = bldCT_PROPORTIONALINTEGRALDERIVATIVE then Res = ".PROPORTIONALINTEGRALDERIVATIVE."</v>
      </c>
      <c r="I202" s="44" t="str">
        <f>"  If wert = ""." &amp; Tabelle7[[#This Row],[EnuRohValue]] &amp; "."" Then Res = " &amp; Tabelle7[[#This Row],[EnuValue]]</f>
        <v xml:space="preserve">  If wert = ".PROPORTIONALINTEGRALDERIVATIVE." Then Res = bldCT_PROPORTIONALINTEGRALDERIVATIVE</v>
      </c>
    </row>
    <row r="203" spans="2:9" x14ac:dyDescent="0.25">
      <c r="B203" s="44">
        <v>5</v>
      </c>
      <c r="C203" s="45" t="s">
        <v>1533</v>
      </c>
      <c r="D203" s="44" t="s">
        <v>3842</v>
      </c>
      <c r="E203" s="44" t="str">
        <f>VLOOKUP(Tabelle7[[#This Row],[EnumName]],Enum[[IFC-Name]:[Präfix]],5,FALSE)&amp;Tabelle7[[#This Row],[EnuRohValue]]</f>
        <v>bldCT_TIMEDTWOPOSITION</v>
      </c>
      <c r="F203" s="44">
        <f>COUNTIF(Tabelle7[EnuValue],Tabelle7[[#This Row],[EnuValue]])</f>
        <v>1</v>
      </c>
      <c r="G203" s="44" t="str">
        <f xml:space="preserve"> "  " &amp; Tabelle7[[#This Row],[EnuValue]] &amp; " = " &amp; Tabelle7[[#This Row],[Wert]]</f>
        <v xml:space="preserve">  bldCT_TIMEDTWOPOSITION = 5</v>
      </c>
      <c r="H203" s="44" t="str">
        <f>"  If Wert = " &amp; Tabelle7[[#This Row],[EnuValue]] &amp; " then Res = ""." &amp; Tabelle7[[#This Row],[EnuRohValue]] &amp; "."""</f>
        <v xml:space="preserve">  If Wert = bldCT_TIMEDTWOPOSITION then Res = ".TIMEDTWOPOSITION."</v>
      </c>
      <c r="I203" s="44" t="str">
        <f>"  If wert = ""." &amp; Tabelle7[[#This Row],[EnuRohValue]] &amp; "."" Then Res = " &amp; Tabelle7[[#This Row],[EnuValue]]</f>
        <v xml:space="preserve">  If wert = ".TIMEDTWOPOSITION." Then Res = bldCT_TIMEDTWOPOSITION</v>
      </c>
    </row>
    <row r="204" spans="2:9" x14ac:dyDescent="0.25">
      <c r="B204" s="44">
        <v>6</v>
      </c>
      <c r="C204" s="45" t="s">
        <v>1533</v>
      </c>
      <c r="D204" s="44" t="s">
        <v>3843</v>
      </c>
      <c r="E204" s="44" t="str">
        <f>VLOOKUP(Tabelle7[[#This Row],[EnumName]],Enum[[IFC-Name]:[Präfix]],5,FALSE)&amp;Tabelle7[[#This Row],[EnuRohValue]]</f>
        <v>bldCT_TWOPOSITION</v>
      </c>
      <c r="F204" s="44">
        <f>COUNTIF(Tabelle7[EnuValue],Tabelle7[[#This Row],[EnuValue]])</f>
        <v>1</v>
      </c>
      <c r="G204" s="44" t="str">
        <f xml:space="preserve"> "  " &amp; Tabelle7[[#This Row],[EnuValue]] &amp; " = " &amp; Tabelle7[[#This Row],[Wert]]</f>
        <v xml:space="preserve">  bldCT_TWOPOSITION = 6</v>
      </c>
      <c r="H204" s="44" t="str">
        <f>"  If Wert = " &amp; Tabelle7[[#This Row],[EnuValue]] &amp; " then Res = ""." &amp; Tabelle7[[#This Row],[EnuRohValue]] &amp; "."""</f>
        <v xml:space="preserve">  If Wert = bldCT_TWOPOSITION then Res = ".TWOPOSITION."</v>
      </c>
      <c r="I204" s="44" t="str">
        <f>"  If wert = ""." &amp; Tabelle7[[#This Row],[EnuRohValue]] &amp; "."" Then Res = " &amp; Tabelle7[[#This Row],[EnuValue]]</f>
        <v xml:space="preserve">  If wert = ".TWOPOSITION." Then Res = bldCT_TWOPOSITION</v>
      </c>
    </row>
    <row r="205" spans="2:9" x14ac:dyDescent="0.25">
      <c r="B205" s="44">
        <v>7</v>
      </c>
      <c r="C205" s="45" t="s">
        <v>1533</v>
      </c>
      <c r="D205" s="44" t="s">
        <v>3682</v>
      </c>
      <c r="E205" s="44" t="str">
        <f>VLOOKUP(Tabelle7[[#This Row],[EnumName]],Enum[[IFC-Name]:[Präfix]],5,FALSE)&amp;Tabelle7[[#This Row],[EnuRohValue]]</f>
        <v>bldCT_USERDEFINED</v>
      </c>
      <c r="F205" s="44">
        <f>COUNTIF(Tabelle7[EnuValue],Tabelle7[[#This Row],[EnuValue]])</f>
        <v>1</v>
      </c>
      <c r="G205" s="44" t="str">
        <f xml:space="preserve"> "  " &amp; Tabelle7[[#This Row],[EnuValue]] &amp; " = " &amp; Tabelle7[[#This Row],[Wert]]</f>
        <v xml:space="preserve">  bldCT_USERDEFINED = 7</v>
      </c>
      <c r="H205" s="44" t="str">
        <f>"  If Wert = " &amp; Tabelle7[[#This Row],[EnuValue]] &amp; " then Res = ""." &amp; Tabelle7[[#This Row],[EnuRohValue]] &amp; "."""</f>
        <v xml:space="preserve">  If Wert = bldCT_USERDEFINED then Res = ".USERDEFINED."</v>
      </c>
      <c r="I205" s="44" t="str">
        <f>"  If wert = ""." &amp; Tabelle7[[#This Row],[EnuRohValue]] &amp; "."" Then Res = " &amp; Tabelle7[[#This Row],[EnuValue]]</f>
        <v xml:space="preserve">  If wert = ".USERDEFINED." Then Res = bldCT_USERDEFINED</v>
      </c>
    </row>
    <row r="206" spans="2:9" x14ac:dyDescent="0.25">
      <c r="B206" s="44">
        <v>8</v>
      </c>
      <c r="C206" s="45" t="s">
        <v>1533</v>
      </c>
      <c r="D206" s="44" t="s">
        <v>3683</v>
      </c>
      <c r="E206" s="44" t="str">
        <f>VLOOKUP(Tabelle7[[#This Row],[EnumName]],Enum[[IFC-Name]:[Präfix]],5,FALSE)&amp;Tabelle7[[#This Row],[EnuRohValue]]</f>
        <v>bldCT_NOTDEFINED</v>
      </c>
      <c r="F206" s="44">
        <f>COUNTIF(Tabelle7[EnuValue],Tabelle7[[#This Row],[EnuValue]])</f>
        <v>1</v>
      </c>
      <c r="G206" s="44" t="str">
        <f xml:space="preserve"> "  " &amp; Tabelle7[[#This Row],[EnuValue]] &amp; " = " &amp; Tabelle7[[#This Row],[Wert]]</f>
        <v xml:space="preserve">  bldCT_NOTDEFINED = 8</v>
      </c>
      <c r="H206" s="44" t="str">
        <f>"  If Wert = " &amp; Tabelle7[[#This Row],[EnuValue]] &amp; " then Res = ""." &amp; Tabelle7[[#This Row],[EnuRohValue]] &amp; "."""</f>
        <v xml:space="preserve">  If Wert = bldCT_NOTDEFINED then Res = ".NOTDEFINED."</v>
      </c>
      <c r="I206" s="44" t="str">
        <f>"  If wert = ""." &amp; Tabelle7[[#This Row],[EnuRohValue]] &amp; "."" Then Res = " &amp; Tabelle7[[#This Row],[EnuValue]]</f>
        <v xml:space="preserve">  If wert = ".NOTDEFINED." Then Res = bldCT_NOTDEFINED</v>
      </c>
    </row>
    <row r="207" spans="2:9" x14ac:dyDescent="0.25">
      <c r="B207" s="44">
        <v>1</v>
      </c>
      <c r="C207" s="45" t="s">
        <v>1534</v>
      </c>
      <c r="D207" s="44" t="s">
        <v>3844</v>
      </c>
      <c r="E207" s="44" t="str">
        <f>VLOOKUP(Tabelle7[[#This Row],[EnumName]],Enum[[IFC-Name]:[Präfix]],5,FALSE)&amp;Tabelle7[[#This Row],[EnuRohValue]]</f>
        <v>hvacCBT_ACTIVE</v>
      </c>
      <c r="F207" s="44">
        <f>COUNTIF(Tabelle7[EnuValue],Tabelle7[[#This Row],[EnuValue]])</f>
        <v>1</v>
      </c>
      <c r="G207" s="44" t="str">
        <f xml:space="preserve"> "  " &amp; Tabelle7[[#This Row],[EnuValue]] &amp; " = " &amp; Tabelle7[[#This Row],[Wert]]</f>
        <v xml:space="preserve">  hvacCBT_ACTIVE = 1</v>
      </c>
      <c r="H207" s="44" t="str">
        <f>"  If Wert = " &amp; Tabelle7[[#This Row],[EnuValue]] &amp; " then Res = ""." &amp; Tabelle7[[#This Row],[EnuRohValue]] &amp; "."""</f>
        <v xml:space="preserve">  If Wert = hvacCBT_ACTIVE then Res = ".ACTIVE."</v>
      </c>
      <c r="I207" s="44" t="str">
        <f>"  If wert = ""." &amp; Tabelle7[[#This Row],[EnuRohValue]] &amp; "."" Then Res = " &amp; Tabelle7[[#This Row],[EnuValue]]</f>
        <v xml:space="preserve">  If wert = ".ACTIVE." Then Res = hvacCBT_ACTIVE</v>
      </c>
    </row>
    <row r="208" spans="2:9" x14ac:dyDescent="0.25">
      <c r="B208" s="44">
        <v>2</v>
      </c>
      <c r="C208" s="45" t="s">
        <v>1534</v>
      </c>
      <c r="D208" s="44" t="s">
        <v>3845</v>
      </c>
      <c r="E208" s="44" t="str">
        <f>VLOOKUP(Tabelle7[[#This Row],[EnumName]],Enum[[IFC-Name]:[Präfix]],5,FALSE)&amp;Tabelle7[[#This Row],[EnuRohValue]]</f>
        <v>hvacCBT_PASSIVE</v>
      </c>
      <c r="F208" s="44">
        <f>COUNTIF(Tabelle7[EnuValue],Tabelle7[[#This Row],[EnuValue]])</f>
        <v>1</v>
      </c>
      <c r="G208" s="44" t="str">
        <f xml:space="preserve"> "  " &amp; Tabelle7[[#This Row],[EnuValue]] &amp; " = " &amp; Tabelle7[[#This Row],[Wert]]</f>
        <v xml:space="preserve">  hvacCBT_PASSIVE = 2</v>
      </c>
      <c r="H208" s="44" t="str">
        <f>"  If Wert = " &amp; Tabelle7[[#This Row],[EnuValue]] &amp; " then Res = ""." &amp; Tabelle7[[#This Row],[EnuRohValue]] &amp; "."""</f>
        <v xml:space="preserve">  If Wert = hvacCBT_PASSIVE then Res = ".PASSIVE."</v>
      </c>
      <c r="I208" s="44" t="str">
        <f>"  If wert = ""." &amp; Tabelle7[[#This Row],[EnuRohValue]] &amp; "."" Then Res = " &amp; Tabelle7[[#This Row],[EnuValue]]</f>
        <v xml:space="preserve">  If wert = ".PASSIVE." Then Res = hvacCBT_PASSIVE</v>
      </c>
    </row>
    <row r="209" spans="2:9" x14ac:dyDescent="0.25">
      <c r="B209" s="44">
        <v>3</v>
      </c>
      <c r="C209" s="45" t="s">
        <v>1534</v>
      </c>
      <c r="D209" s="44" t="s">
        <v>3682</v>
      </c>
      <c r="E209" s="44" t="str">
        <f>VLOOKUP(Tabelle7[[#This Row],[EnumName]],Enum[[IFC-Name]:[Präfix]],5,FALSE)&amp;Tabelle7[[#This Row],[EnuRohValue]]</f>
        <v>hvacCBT_USERDEFINED</v>
      </c>
      <c r="F209" s="44">
        <f>COUNTIF(Tabelle7[EnuValue],Tabelle7[[#This Row],[EnuValue]])</f>
        <v>1</v>
      </c>
      <c r="G209" s="44" t="str">
        <f xml:space="preserve"> "  " &amp; Tabelle7[[#This Row],[EnuValue]] &amp; " = " &amp; Tabelle7[[#This Row],[Wert]]</f>
        <v xml:space="preserve">  hvacCBT_USERDEFINED = 3</v>
      </c>
      <c r="H209" s="44" t="str">
        <f>"  If Wert = " &amp; Tabelle7[[#This Row],[EnuValue]] &amp; " then Res = ""." &amp; Tabelle7[[#This Row],[EnuRohValue]] &amp; "."""</f>
        <v xml:space="preserve">  If Wert = hvacCBT_USERDEFINED then Res = ".USERDEFINED."</v>
      </c>
      <c r="I209" s="44" t="str">
        <f>"  If wert = ""." &amp; Tabelle7[[#This Row],[EnuRohValue]] &amp; "."" Then Res = " &amp; Tabelle7[[#This Row],[EnuValue]]</f>
        <v xml:space="preserve">  If wert = ".USERDEFINED." Then Res = hvacCBT_USERDEFINED</v>
      </c>
    </row>
    <row r="210" spans="2:9" x14ac:dyDescent="0.25">
      <c r="B210" s="44">
        <v>4</v>
      </c>
      <c r="C210" s="45" t="s">
        <v>1534</v>
      </c>
      <c r="D210" s="44" t="s">
        <v>3683</v>
      </c>
      <c r="E210" s="44" t="str">
        <f>VLOOKUP(Tabelle7[[#This Row],[EnumName]],Enum[[IFC-Name]:[Präfix]],5,FALSE)&amp;Tabelle7[[#This Row],[EnuRohValue]]</f>
        <v>hvacCBT_NOTDEFINED</v>
      </c>
      <c r="F210" s="44">
        <f>COUNTIF(Tabelle7[EnuValue],Tabelle7[[#This Row],[EnuValue]])</f>
        <v>1</v>
      </c>
      <c r="G210" s="44" t="str">
        <f xml:space="preserve"> "  " &amp; Tabelle7[[#This Row],[EnuValue]] &amp; " = " &amp; Tabelle7[[#This Row],[Wert]]</f>
        <v xml:space="preserve">  hvacCBT_NOTDEFINED = 4</v>
      </c>
      <c r="H210" s="44" t="str">
        <f>"  If Wert = " &amp; Tabelle7[[#This Row],[EnuValue]] &amp; " then Res = ""." &amp; Tabelle7[[#This Row],[EnuRohValue]] &amp; "."""</f>
        <v xml:space="preserve">  If Wert = hvacCBT_NOTDEFINED then Res = ".NOTDEFINED."</v>
      </c>
      <c r="I210" s="44" t="str">
        <f>"  If wert = ""." &amp; Tabelle7[[#This Row],[EnuRohValue]] &amp; "."" Then Res = " &amp; Tabelle7[[#This Row],[EnuValue]]</f>
        <v xml:space="preserve">  If wert = ".NOTDEFINED." Then Res = hvacCBT_NOTDEFINED</v>
      </c>
    </row>
    <row r="211" spans="2:9" x14ac:dyDescent="0.25">
      <c r="B211" s="44">
        <v>1</v>
      </c>
      <c r="C211" s="45" t="s">
        <v>1535</v>
      </c>
      <c r="D211" s="44" t="s">
        <v>3846</v>
      </c>
      <c r="E211" s="44" t="str">
        <f>VLOOKUP(Tabelle7[[#This Row],[EnumName]],Enum[[IFC-Name]:[Präfix]],5,FALSE)&amp;Tabelle7[[#This Row],[EnuRohValue]]</f>
        <v>hvacCTT_NATURALDRAFT</v>
      </c>
      <c r="F211" s="44">
        <f>COUNTIF(Tabelle7[EnuValue],Tabelle7[[#This Row],[EnuValue]])</f>
        <v>1</v>
      </c>
      <c r="G211" s="44" t="str">
        <f xml:space="preserve"> "  " &amp; Tabelle7[[#This Row],[EnuValue]] &amp; " = " &amp; Tabelle7[[#This Row],[Wert]]</f>
        <v xml:space="preserve">  hvacCTT_NATURALDRAFT = 1</v>
      </c>
      <c r="H211" s="44" t="str">
        <f>"  If Wert = " &amp; Tabelle7[[#This Row],[EnuValue]] &amp; " then Res = ""." &amp; Tabelle7[[#This Row],[EnuRohValue]] &amp; "."""</f>
        <v xml:space="preserve">  If Wert = hvacCTT_NATURALDRAFT then Res = ".NATURALDRAFT."</v>
      </c>
      <c r="I211" s="44" t="str">
        <f>"  If wert = ""." &amp; Tabelle7[[#This Row],[EnuRohValue]] &amp; "."" Then Res = " &amp; Tabelle7[[#This Row],[EnuValue]]</f>
        <v xml:space="preserve">  If wert = ".NATURALDRAFT." Then Res = hvacCTT_NATURALDRAFT</v>
      </c>
    </row>
    <row r="212" spans="2:9" x14ac:dyDescent="0.25">
      <c r="B212" s="44">
        <v>2</v>
      </c>
      <c r="C212" s="45" t="s">
        <v>1535</v>
      </c>
      <c r="D212" s="44" t="s">
        <v>3847</v>
      </c>
      <c r="E212" s="44" t="str">
        <f>VLOOKUP(Tabelle7[[#This Row],[EnumName]],Enum[[IFC-Name]:[Präfix]],5,FALSE)&amp;Tabelle7[[#This Row],[EnuRohValue]]</f>
        <v>hvacCTT_MECHANICALINDUCEDDRAFT</v>
      </c>
      <c r="F212" s="44">
        <f>COUNTIF(Tabelle7[EnuValue],Tabelle7[[#This Row],[EnuValue]])</f>
        <v>1</v>
      </c>
      <c r="G212" s="44" t="str">
        <f xml:space="preserve"> "  " &amp; Tabelle7[[#This Row],[EnuValue]] &amp; " = " &amp; Tabelle7[[#This Row],[Wert]]</f>
        <v xml:space="preserve">  hvacCTT_MECHANICALINDUCEDDRAFT = 2</v>
      </c>
      <c r="H212" s="44" t="str">
        <f>"  If Wert = " &amp; Tabelle7[[#This Row],[EnuValue]] &amp; " then Res = ""." &amp; Tabelle7[[#This Row],[EnuRohValue]] &amp; "."""</f>
        <v xml:space="preserve">  If Wert = hvacCTT_MECHANICALINDUCEDDRAFT then Res = ".MECHANICALINDUCEDDRAFT."</v>
      </c>
      <c r="I212" s="44" t="str">
        <f>"  If wert = ""." &amp; Tabelle7[[#This Row],[EnuRohValue]] &amp; "."" Then Res = " &amp; Tabelle7[[#This Row],[EnuValue]]</f>
        <v xml:space="preserve">  If wert = ".MECHANICALINDUCEDDRAFT." Then Res = hvacCTT_MECHANICALINDUCEDDRAFT</v>
      </c>
    </row>
    <row r="213" spans="2:9" x14ac:dyDescent="0.25">
      <c r="B213" s="44">
        <v>3</v>
      </c>
      <c r="C213" s="45" t="s">
        <v>1535</v>
      </c>
      <c r="D213" s="44" t="s">
        <v>3848</v>
      </c>
      <c r="E213" s="44" t="str">
        <f>VLOOKUP(Tabelle7[[#This Row],[EnumName]],Enum[[IFC-Name]:[Präfix]],5,FALSE)&amp;Tabelle7[[#This Row],[EnuRohValue]]</f>
        <v>hvacCTT_MECHANICALFORCEDDRAFT</v>
      </c>
      <c r="F213" s="44">
        <f>COUNTIF(Tabelle7[EnuValue],Tabelle7[[#This Row],[EnuValue]])</f>
        <v>1</v>
      </c>
      <c r="G213" s="44" t="str">
        <f xml:space="preserve"> "  " &amp; Tabelle7[[#This Row],[EnuValue]] &amp; " = " &amp; Tabelle7[[#This Row],[Wert]]</f>
        <v xml:space="preserve">  hvacCTT_MECHANICALFORCEDDRAFT = 3</v>
      </c>
      <c r="H213" s="44" t="str">
        <f>"  If Wert = " &amp; Tabelle7[[#This Row],[EnuValue]] &amp; " then Res = ""." &amp; Tabelle7[[#This Row],[EnuRohValue]] &amp; "."""</f>
        <v xml:space="preserve">  If Wert = hvacCTT_MECHANICALFORCEDDRAFT then Res = ".MECHANICALFORCEDDRAFT."</v>
      </c>
      <c r="I213" s="44" t="str">
        <f>"  If wert = ""." &amp; Tabelle7[[#This Row],[EnuRohValue]] &amp; "."" Then Res = " &amp; Tabelle7[[#This Row],[EnuValue]]</f>
        <v xml:space="preserve">  If wert = ".MECHANICALFORCEDDRAFT." Then Res = hvacCTT_MECHANICALFORCEDDRAFT</v>
      </c>
    </row>
    <row r="214" spans="2:9" x14ac:dyDescent="0.25">
      <c r="B214" s="44">
        <v>4</v>
      </c>
      <c r="C214" s="45" t="s">
        <v>1535</v>
      </c>
      <c r="D214" s="44" t="s">
        <v>3682</v>
      </c>
      <c r="E214" s="44" t="str">
        <f>VLOOKUP(Tabelle7[[#This Row],[EnumName]],Enum[[IFC-Name]:[Präfix]],5,FALSE)&amp;Tabelle7[[#This Row],[EnuRohValue]]</f>
        <v>hvacCTT_USERDEFINED</v>
      </c>
      <c r="F214" s="44">
        <f>COUNTIF(Tabelle7[EnuValue],Tabelle7[[#This Row],[EnuValue]])</f>
        <v>1</v>
      </c>
      <c r="G214" s="44" t="str">
        <f xml:space="preserve"> "  " &amp; Tabelle7[[#This Row],[EnuValue]] &amp; " = " &amp; Tabelle7[[#This Row],[Wert]]</f>
        <v xml:space="preserve">  hvacCTT_USERDEFINED = 4</v>
      </c>
      <c r="H214" s="44" t="str">
        <f>"  If Wert = " &amp; Tabelle7[[#This Row],[EnuValue]] &amp; " then Res = ""." &amp; Tabelle7[[#This Row],[EnuRohValue]] &amp; "."""</f>
        <v xml:space="preserve">  If Wert = hvacCTT_USERDEFINED then Res = ".USERDEFINED."</v>
      </c>
      <c r="I214" s="44" t="str">
        <f>"  If wert = ""." &amp; Tabelle7[[#This Row],[EnuRohValue]] &amp; "."" Then Res = " &amp; Tabelle7[[#This Row],[EnuValue]]</f>
        <v xml:space="preserve">  If wert = ".USERDEFINED." Then Res = hvacCTT_USERDEFINED</v>
      </c>
    </row>
    <row r="215" spans="2:9" x14ac:dyDescent="0.25">
      <c r="B215" s="44">
        <v>5</v>
      </c>
      <c r="C215" s="45" t="s">
        <v>1535</v>
      </c>
      <c r="D215" s="44" t="s">
        <v>3683</v>
      </c>
      <c r="E215" s="44" t="str">
        <f>VLOOKUP(Tabelle7[[#This Row],[EnumName]],Enum[[IFC-Name]:[Präfix]],5,FALSE)&amp;Tabelle7[[#This Row],[EnuRohValue]]</f>
        <v>hvacCTT_NOTDEFINED</v>
      </c>
      <c r="F215" s="44">
        <f>COUNTIF(Tabelle7[EnuValue],Tabelle7[[#This Row],[EnuValue]])</f>
        <v>1</v>
      </c>
      <c r="G215" s="44" t="str">
        <f xml:space="preserve"> "  " &amp; Tabelle7[[#This Row],[EnuValue]] &amp; " = " &amp; Tabelle7[[#This Row],[Wert]]</f>
        <v xml:space="preserve">  hvacCTT_NOTDEFINED = 5</v>
      </c>
      <c r="H215" s="44" t="str">
        <f>"  If Wert = " &amp; Tabelle7[[#This Row],[EnuValue]] &amp; " then Res = ""." &amp; Tabelle7[[#This Row],[EnuRohValue]] &amp; "."""</f>
        <v xml:space="preserve">  If Wert = hvacCTT_NOTDEFINED then Res = ".NOTDEFINED."</v>
      </c>
      <c r="I215" s="44" t="str">
        <f>"  If wert = ""." &amp; Tabelle7[[#This Row],[EnuRohValue]] &amp; "."" Then Res = " &amp; Tabelle7[[#This Row],[EnuValue]]</f>
        <v xml:space="preserve">  If wert = ".NOTDEFINED." Then Res = hvacCTT_NOTDEFINED</v>
      </c>
    </row>
    <row r="216" spans="2:9" x14ac:dyDescent="0.25">
      <c r="B216" s="44">
        <v>1</v>
      </c>
      <c r="C216" s="45" t="s">
        <v>1536</v>
      </c>
      <c r="D216" s="44" t="s">
        <v>3849</v>
      </c>
      <c r="E216" s="44" t="str">
        <f>VLOOKUP(Tabelle7[[#This Row],[EnumName]],Enum[[IFC-Name]:[Präfix]],5,FALSE)&amp;Tabelle7[[#This Row],[EnuRohValue]]</f>
        <v>mgmCST_BUDGET</v>
      </c>
      <c r="F216" s="44">
        <f>COUNTIF(Tabelle7[EnuValue],Tabelle7[[#This Row],[EnuValue]])</f>
        <v>1</v>
      </c>
      <c r="G216" s="44" t="str">
        <f xml:space="preserve"> "  " &amp; Tabelle7[[#This Row],[EnuValue]] &amp; " = " &amp; Tabelle7[[#This Row],[Wert]]</f>
        <v xml:space="preserve">  mgmCST_BUDGET = 1</v>
      </c>
      <c r="H216" s="44" t="str">
        <f>"  If Wert = " &amp; Tabelle7[[#This Row],[EnuValue]] &amp; " then Res = ""." &amp; Tabelle7[[#This Row],[EnuRohValue]] &amp; "."""</f>
        <v xml:space="preserve">  If Wert = mgmCST_BUDGET then Res = ".BUDGET."</v>
      </c>
      <c r="I216" s="44" t="str">
        <f>"  If wert = ""." &amp; Tabelle7[[#This Row],[EnuRohValue]] &amp; "."" Then Res = " &amp; Tabelle7[[#This Row],[EnuValue]]</f>
        <v xml:space="preserve">  If wert = ".BUDGET." Then Res = mgmCST_BUDGET</v>
      </c>
    </row>
    <row r="217" spans="2:9" x14ac:dyDescent="0.25">
      <c r="B217" s="44">
        <v>2</v>
      </c>
      <c r="C217" s="45" t="s">
        <v>1536</v>
      </c>
      <c r="D217" s="44" t="s">
        <v>3850</v>
      </c>
      <c r="E217" s="44" t="str">
        <f>VLOOKUP(Tabelle7[[#This Row],[EnumName]],Enum[[IFC-Name]:[Präfix]],5,FALSE)&amp;Tabelle7[[#This Row],[EnuRohValue]]</f>
        <v>mgmCST_COSTPLAN</v>
      </c>
      <c r="F217" s="44">
        <f>COUNTIF(Tabelle7[EnuValue],Tabelle7[[#This Row],[EnuValue]])</f>
        <v>1</v>
      </c>
      <c r="G217" s="44" t="str">
        <f xml:space="preserve"> "  " &amp; Tabelle7[[#This Row],[EnuValue]] &amp; " = " &amp; Tabelle7[[#This Row],[Wert]]</f>
        <v xml:space="preserve">  mgmCST_COSTPLAN = 2</v>
      </c>
      <c r="H217" s="44" t="str">
        <f>"  If Wert = " &amp; Tabelle7[[#This Row],[EnuValue]] &amp; " then Res = ""." &amp; Tabelle7[[#This Row],[EnuRohValue]] &amp; "."""</f>
        <v xml:space="preserve">  If Wert = mgmCST_COSTPLAN then Res = ".COSTPLAN."</v>
      </c>
      <c r="I217" s="44" t="str">
        <f>"  If wert = ""." &amp; Tabelle7[[#This Row],[EnuRohValue]] &amp; "."" Then Res = " &amp; Tabelle7[[#This Row],[EnuValue]]</f>
        <v xml:space="preserve">  If wert = ".COSTPLAN." Then Res = mgmCST_COSTPLAN</v>
      </c>
    </row>
    <row r="218" spans="2:9" x14ac:dyDescent="0.25">
      <c r="B218" s="44">
        <v>3</v>
      </c>
      <c r="C218" s="45" t="s">
        <v>1536</v>
      </c>
      <c r="D218" s="44" t="s">
        <v>3851</v>
      </c>
      <c r="E218" s="44" t="str">
        <f>VLOOKUP(Tabelle7[[#This Row],[EnumName]],Enum[[IFC-Name]:[Präfix]],5,FALSE)&amp;Tabelle7[[#This Row],[EnuRohValue]]</f>
        <v>mgmCST_ESTIMATE</v>
      </c>
      <c r="F218" s="44">
        <f>COUNTIF(Tabelle7[EnuValue],Tabelle7[[#This Row],[EnuValue]])</f>
        <v>1</v>
      </c>
      <c r="G218" s="44" t="str">
        <f xml:space="preserve"> "  " &amp; Tabelle7[[#This Row],[EnuValue]] &amp; " = " &amp; Tabelle7[[#This Row],[Wert]]</f>
        <v xml:space="preserve">  mgmCST_ESTIMATE = 3</v>
      </c>
      <c r="H218" s="44" t="str">
        <f>"  If Wert = " &amp; Tabelle7[[#This Row],[EnuValue]] &amp; " then Res = ""." &amp; Tabelle7[[#This Row],[EnuRohValue]] &amp; "."""</f>
        <v xml:space="preserve">  If Wert = mgmCST_ESTIMATE then Res = ".ESTIMATE."</v>
      </c>
      <c r="I218" s="44" t="str">
        <f>"  If wert = ""." &amp; Tabelle7[[#This Row],[EnuRohValue]] &amp; "."" Then Res = " &amp; Tabelle7[[#This Row],[EnuValue]]</f>
        <v xml:space="preserve">  If wert = ".ESTIMATE." Then Res = mgmCST_ESTIMATE</v>
      </c>
    </row>
    <row r="219" spans="2:9" x14ac:dyDescent="0.25">
      <c r="B219" s="44">
        <v>4</v>
      </c>
      <c r="C219" s="45" t="s">
        <v>1536</v>
      </c>
      <c r="D219" s="44" t="s">
        <v>3852</v>
      </c>
      <c r="E219" s="44" t="str">
        <f>VLOOKUP(Tabelle7[[#This Row],[EnumName]],Enum[[IFC-Name]:[Präfix]],5,FALSE)&amp;Tabelle7[[#This Row],[EnuRohValue]]</f>
        <v>mgmCST_TENDER</v>
      </c>
      <c r="F219" s="44">
        <f>COUNTIF(Tabelle7[EnuValue],Tabelle7[[#This Row],[EnuValue]])</f>
        <v>1</v>
      </c>
      <c r="G219" s="44" t="str">
        <f xml:space="preserve"> "  " &amp; Tabelle7[[#This Row],[EnuValue]] &amp; " = " &amp; Tabelle7[[#This Row],[Wert]]</f>
        <v xml:space="preserve">  mgmCST_TENDER = 4</v>
      </c>
      <c r="H219" s="44" t="str">
        <f>"  If Wert = " &amp; Tabelle7[[#This Row],[EnuValue]] &amp; " then Res = ""." &amp; Tabelle7[[#This Row],[EnuRohValue]] &amp; "."""</f>
        <v xml:space="preserve">  If Wert = mgmCST_TENDER then Res = ".TENDER."</v>
      </c>
      <c r="I219" s="44" t="str">
        <f>"  If wert = ""." &amp; Tabelle7[[#This Row],[EnuRohValue]] &amp; "."" Then Res = " &amp; Tabelle7[[#This Row],[EnuValue]]</f>
        <v xml:space="preserve">  If wert = ".TENDER." Then Res = mgmCST_TENDER</v>
      </c>
    </row>
    <row r="220" spans="2:9" x14ac:dyDescent="0.25">
      <c r="B220" s="44">
        <v>5</v>
      </c>
      <c r="C220" s="45" t="s">
        <v>1536</v>
      </c>
      <c r="D220" s="44" t="s">
        <v>3853</v>
      </c>
      <c r="E220" s="44" t="str">
        <f>VLOOKUP(Tabelle7[[#This Row],[EnumName]],Enum[[IFC-Name]:[Präfix]],5,FALSE)&amp;Tabelle7[[#This Row],[EnuRohValue]]</f>
        <v>mgmCST_PRICEDBILLOFQUANTITIES</v>
      </c>
      <c r="F220" s="44">
        <f>COUNTIF(Tabelle7[EnuValue],Tabelle7[[#This Row],[EnuValue]])</f>
        <v>1</v>
      </c>
      <c r="G220" s="44" t="str">
        <f xml:space="preserve"> "  " &amp; Tabelle7[[#This Row],[EnuValue]] &amp; " = " &amp; Tabelle7[[#This Row],[Wert]]</f>
        <v xml:space="preserve">  mgmCST_PRICEDBILLOFQUANTITIES = 5</v>
      </c>
      <c r="H220" s="44" t="str">
        <f>"  If Wert = " &amp; Tabelle7[[#This Row],[EnuValue]] &amp; " then Res = ""." &amp; Tabelle7[[#This Row],[EnuRohValue]] &amp; "."""</f>
        <v xml:space="preserve">  If Wert = mgmCST_PRICEDBILLOFQUANTITIES then Res = ".PRICEDBILLOFQUANTITIES."</v>
      </c>
      <c r="I220" s="44" t="str">
        <f>"  If wert = ""." &amp; Tabelle7[[#This Row],[EnuRohValue]] &amp; "."" Then Res = " &amp; Tabelle7[[#This Row],[EnuValue]]</f>
        <v xml:space="preserve">  If wert = ".PRICEDBILLOFQUANTITIES." Then Res = mgmCST_PRICEDBILLOFQUANTITIES</v>
      </c>
    </row>
    <row r="221" spans="2:9" x14ac:dyDescent="0.25">
      <c r="B221" s="44">
        <v>6</v>
      </c>
      <c r="C221" s="45" t="s">
        <v>1536</v>
      </c>
      <c r="D221" s="44" t="s">
        <v>3854</v>
      </c>
      <c r="E221" s="44" t="str">
        <f>VLOOKUP(Tabelle7[[#This Row],[EnumName]],Enum[[IFC-Name]:[Präfix]],5,FALSE)&amp;Tabelle7[[#This Row],[EnuRohValue]]</f>
        <v>mgmCST_UNPRICEDBILLOFQUANTITIES</v>
      </c>
      <c r="F221" s="44">
        <f>COUNTIF(Tabelle7[EnuValue],Tabelle7[[#This Row],[EnuValue]])</f>
        <v>1</v>
      </c>
      <c r="G221" s="44" t="str">
        <f xml:space="preserve"> "  " &amp; Tabelle7[[#This Row],[EnuValue]] &amp; " = " &amp; Tabelle7[[#This Row],[Wert]]</f>
        <v xml:space="preserve">  mgmCST_UNPRICEDBILLOFQUANTITIES = 6</v>
      </c>
      <c r="H221" s="44" t="str">
        <f>"  If Wert = " &amp; Tabelle7[[#This Row],[EnuValue]] &amp; " then Res = ""." &amp; Tabelle7[[#This Row],[EnuRohValue]] &amp; "."""</f>
        <v xml:space="preserve">  If Wert = mgmCST_UNPRICEDBILLOFQUANTITIES then Res = ".UNPRICEDBILLOFQUANTITIES."</v>
      </c>
      <c r="I221" s="44" t="str">
        <f>"  If wert = ""." &amp; Tabelle7[[#This Row],[EnuRohValue]] &amp; "."" Then Res = " &amp; Tabelle7[[#This Row],[EnuValue]]</f>
        <v xml:space="preserve">  If wert = ".UNPRICEDBILLOFQUANTITIES." Then Res = mgmCST_UNPRICEDBILLOFQUANTITIES</v>
      </c>
    </row>
    <row r="222" spans="2:9" x14ac:dyDescent="0.25">
      <c r="B222" s="44">
        <v>7</v>
      </c>
      <c r="C222" s="45" t="s">
        <v>1536</v>
      </c>
      <c r="D222" s="44" t="s">
        <v>3855</v>
      </c>
      <c r="E222" s="44" t="str">
        <f>VLOOKUP(Tabelle7[[#This Row],[EnumName]],Enum[[IFC-Name]:[Präfix]],5,FALSE)&amp;Tabelle7[[#This Row],[EnuRohValue]]</f>
        <v>mgmCST_SCHEDULEOFRATES</v>
      </c>
      <c r="F222" s="44">
        <f>COUNTIF(Tabelle7[EnuValue],Tabelle7[[#This Row],[EnuValue]])</f>
        <v>1</v>
      </c>
      <c r="G222" s="44" t="str">
        <f xml:space="preserve"> "  " &amp; Tabelle7[[#This Row],[EnuValue]] &amp; " = " &amp; Tabelle7[[#This Row],[Wert]]</f>
        <v xml:space="preserve">  mgmCST_SCHEDULEOFRATES = 7</v>
      </c>
      <c r="H222" s="44" t="str">
        <f>"  If Wert = " &amp; Tabelle7[[#This Row],[EnuValue]] &amp; " then Res = ""." &amp; Tabelle7[[#This Row],[EnuRohValue]] &amp; "."""</f>
        <v xml:space="preserve">  If Wert = mgmCST_SCHEDULEOFRATES then Res = ".SCHEDULEOFRATES."</v>
      </c>
      <c r="I222" s="44" t="str">
        <f>"  If wert = ""." &amp; Tabelle7[[#This Row],[EnuRohValue]] &amp; "."" Then Res = " &amp; Tabelle7[[#This Row],[EnuValue]]</f>
        <v xml:space="preserve">  If wert = ".SCHEDULEOFRATES." Then Res = mgmCST_SCHEDULEOFRATES</v>
      </c>
    </row>
    <row r="223" spans="2:9" x14ac:dyDescent="0.25">
      <c r="B223" s="44">
        <v>8</v>
      </c>
      <c r="C223" s="45" t="s">
        <v>1536</v>
      </c>
      <c r="D223" s="44" t="s">
        <v>3682</v>
      </c>
      <c r="E223" s="44" t="str">
        <f>VLOOKUP(Tabelle7[[#This Row],[EnumName]],Enum[[IFC-Name]:[Präfix]],5,FALSE)&amp;Tabelle7[[#This Row],[EnuRohValue]]</f>
        <v>mgmCST_USERDEFINED</v>
      </c>
      <c r="F223" s="44">
        <f>COUNTIF(Tabelle7[EnuValue],Tabelle7[[#This Row],[EnuValue]])</f>
        <v>1</v>
      </c>
      <c r="G223" s="44" t="str">
        <f xml:space="preserve"> "  " &amp; Tabelle7[[#This Row],[EnuValue]] &amp; " = " &amp; Tabelle7[[#This Row],[Wert]]</f>
        <v xml:space="preserve">  mgmCST_USERDEFINED = 8</v>
      </c>
      <c r="H223" s="44" t="str">
        <f>"  If Wert = " &amp; Tabelle7[[#This Row],[EnuValue]] &amp; " then Res = ""." &amp; Tabelle7[[#This Row],[EnuRohValue]] &amp; "."""</f>
        <v xml:space="preserve">  If Wert = mgmCST_USERDEFINED then Res = ".USERDEFINED."</v>
      </c>
      <c r="I223" s="44" t="str">
        <f>"  If wert = ""." &amp; Tabelle7[[#This Row],[EnuRohValue]] &amp; "."" Then Res = " &amp; Tabelle7[[#This Row],[EnuValue]]</f>
        <v xml:space="preserve">  If wert = ".USERDEFINED." Then Res = mgmCST_USERDEFINED</v>
      </c>
    </row>
    <row r="224" spans="2:9" x14ac:dyDescent="0.25">
      <c r="B224" s="44">
        <v>9</v>
      </c>
      <c r="C224" s="45" t="s">
        <v>1536</v>
      </c>
      <c r="D224" s="44" t="s">
        <v>3683</v>
      </c>
      <c r="E224" s="44" t="str">
        <f>VLOOKUP(Tabelle7[[#This Row],[EnumName]],Enum[[IFC-Name]:[Präfix]],5,FALSE)&amp;Tabelle7[[#This Row],[EnuRohValue]]</f>
        <v>mgmCST_NOTDEFINED</v>
      </c>
      <c r="F224" s="44">
        <f>COUNTIF(Tabelle7[EnuValue],Tabelle7[[#This Row],[EnuValue]])</f>
        <v>1</v>
      </c>
      <c r="G224" s="44" t="str">
        <f xml:space="preserve"> "  " &amp; Tabelle7[[#This Row],[EnuValue]] &amp; " = " &amp; Tabelle7[[#This Row],[Wert]]</f>
        <v xml:space="preserve">  mgmCST_NOTDEFINED = 9</v>
      </c>
      <c r="H224" s="44" t="str">
        <f>"  If Wert = " &amp; Tabelle7[[#This Row],[EnuValue]] &amp; " then Res = ""." &amp; Tabelle7[[#This Row],[EnuRohValue]] &amp; "."""</f>
        <v xml:space="preserve">  If Wert = mgmCST_NOTDEFINED then Res = ".NOTDEFINED."</v>
      </c>
      <c r="I224" s="44" t="str">
        <f>"  If wert = ""." &amp; Tabelle7[[#This Row],[EnuRohValue]] &amp; "."" Then Res = " &amp; Tabelle7[[#This Row],[EnuValue]]</f>
        <v xml:space="preserve">  If wert = ".NOTDEFINED." Then Res = mgmCST_NOTDEFINED</v>
      </c>
    </row>
    <row r="225" spans="2:9" x14ac:dyDescent="0.25">
      <c r="B225" s="44">
        <v>1</v>
      </c>
      <c r="C225" s="45" t="s">
        <v>1537</v>
      </c>
      <c r="D225" s="44" t="s">
        <v>3856</v>
      </c>
      <c r="E225" s="44" t="str">
        <f>VLOOKUP(Tabelle7[[#This Row],[EnumName]],Enum[[IFC-Name]:[Präfix]],5,FALSE)&amp;Tabelle7[[#This Row],[EnuRohValue]]</f>
        <v>pocCT_CEILING</v>
      </c>
      <c r="F225" s="44">
        <f>COUNTIF(Tabelle7[EnuValue],Tabelle7[[#This Row],[EnuValue]])</f>
        <v>1</v>
      </c>
      <c r="G225" s="44" t="str">
        <f xml:space="preserve"> "  " &amp; Tabelle7[[#This Row],[EnuValue]] &amp; " = " &amp; Tabelle7[[#This Row],[Wert]]</f>
        <v xml:space="preserve">  pocCT_CEILING = 1</v>
      </c>
      <c r="H225" s="44" t="str">
        <f>"  If Wert = " &amp; Tabelle7[[#This Row],[EnuValue]] &amp; " then Res = ""." &amp; Tabelle7[[#This Row],[EnuRohValue]] &amp; "."""</f>
        <v xml:space="preserve">  If Wert = pocCT_CEILING then Res = ".CEILING."</v>
      </c>
      <c r="I225" s="44" t="str">
        <f>"  If wert = ""." &amp; Tabelle7[[#This Row],[EnuRohValue]] &amp; "."" Then Res = " &amp; Tabelle7[[#This Row],[EnuValue]]</f>
        <v xml:space="preserve">  If wert = ".CEILING." Then Res = pocCT_CEILING</v>
      </c>
    </row>
    <row r="226" spans="2:9" x14ac:dyDescent="0.25">
      <c r="B226" s="44">
        <v>2</v>
      </c>
      <c r="C226" s="45" t="s">
        <v>1537</v>
      </c>
      <c r="D226" s="44" t="s">
        <v>3857</v>
      </c>
      <c r="E226" s="44" t="str">
        <f>VLOOKUP(Tabelle7[[#This Row],[EnumName]],Enum[[IFC-Name]:[Präfix]],5,FALSE)&amp;Tabelle7[[#This Row],[EnuRohValue]]</f>
        <v>pocCT_FLOORING</v>
      </c>
      <c r="F226" s="44">
        <f>COUNTIF(Tabelle7[EnuValue],Tabelle7[[#This Row],[EnuValue]])</f>
        <v>1</v>
      </c>
      <c r="G226" s="44" t="str">
        <f xml:space="preserve"> "  " &amp; Tabelle7[[#This Row],[EnuValue]] &amp; " = " &amp; Tabelle7[[#This Row],[Wert]]</f>
        <v xml:space="preserve">  pocCT_FLOORING = 2</v>
      </c>
      <c r="H226" s="44" t="str">
        <f>"  If Wert = " &amp; Tabelle7[[#This Row],[EnuValue]] &amp; " then Res = ""." &amp; Tabelle7[[#This Row],[EnuRohValue]] &amp; "."""</f>
        <v xml:space="preserve">  If Wert = pocCT_FLOORING then Res = ".FLOORING."</v>
      </c>
      <c r="I226" s="44" t="str">
        <f>"  If wert = ""." &amp; Tabelle7[[#This Row],[EnuRohValue]] &amp; "."" Then Res = " &amp; Tabelle7[[#This Row],[EnuValue]]</f>
        <v xml:space="preserve">  If wert = ".FLOORING." Then Res = pocCT_FLOORING</v>
      </c>
    </row>
    <row r="227" spans="2:9" x14ac:dyDescent="0.25">
      <c r="B227" s="44">
        <v>3</v>
      </c>
      <c r="C227" s="45" t="s">
        <v>1537</v>
      </c>
      <c r="D227" s="44" t="s">
        <v>3858</v>
      </c>
      <c r="E227" s="44" t="str">
        <f>VLOOKUP(Tabelle7[[#This Row],[EnumName]],Enum[[IFC-Name]:[Präfix]],5,FALSE)&amp;Tabelle7[[#This Row],[EnuRohValue]]</f>
        <v>pocCT_CLADDING</v>
      </c>
      <c r="F227" s="44">
        <f>COUNTIF(Tabelle7[EnuValue],Tabelle7[[#This Row],[EnuValue]])</f>
        <v>1</v>
      </c>
      <c r="G227" s="44" t="str">
        <f xml:space="preserve"> "  " &amp; Tabelle7[[#This Row],[EnuValue]] &amp; " = " &amp; Tabelle7[[#This Row],[Wert]]</f>
        <v xml:space="preserve">  pocCT_CLADDING = 3</v>
      </c>
      <c r="H227" s="44" t="str">
        <f>"  If Wert = " &amp; Tabelle7[[#This Row],[EnuValue]] &amp; " then Res = ""." &amp; Tabelle7[[#This Row],[EnuRohValue]] &amp; "."""</f>
        <v xml:space="preserve">  If Wert = pocCT_CLADDING then Res = ".CLADDING."</v>
      </c>
      <c r="I227" s="44" t="str">
        <f>"  If wert = ""." &amp; Tabelle7[[#This Row],[EnuRohValue]] &amp; "."" Then Res = " &amp; Tabelle7[[#This Row],[EnuValue]]</f>
        <v xml:space="preserve">  If wert = ".CLADDING." Then Res = pocCT_CLADDING</v>
      </c>
    </row>
    <row r="228" spans="2:9" x14ac:dyDescent="0.25">
      <c r="B228" s="44">
        <v>4</v>
      </c>
      <c r="C228" s="45" t="s">
        <v>1537</v>
      </c>
      <c r="D228" s="44" t="s">
        <v>3859</v>
      </c>
      <c r="E228" s="44" t="str">
        <f>VLOOKUP(Tabelle7[[#This Row],[EnumName]],Enum[[IFC-Name]:[Präfix]],5,FALSE)&amp;Tabelle7[[#This Row],[EnuRohValue]]</f>
        <v>pocCT_ROOFING</v>
      </c>
      <c r="F228" s="44">
        <f>COUNTIF(Tabelle7[EnuValue],Tabelle7[[#This Row],[EnuValue]])</f>
        <v>1</v>
      </c>
      <c r="G228" s="44" t="str">
        <f xml:space="preserve"> "  " &amp; Tabelle7[[#This Row],[EnuValue]] &amp; " = " &amp; Tabelle7[[#This Row],[Wert]]</f>
        <v xml:space="preserve">  pocCT_ROOFING = 4</v>
      </c>
      <c r="H228" s="44" t="str">
        <f>"  If Wert = " &amp; Tabelle7[[#This Row],[EnuValue]] &amp; " then Res = ""." &amp; Tabelle7[[#This Row],[EnuRohValue]] &amp; "."""</f>
        <v xml:space="preserve">  If Wert = pocCT_ROOFING then Res = ".ROOFING."</v>
      </c>
      <c r="I228" s="44" t="str">
        <f>"  If wert = ""." &amp; Tabelle7[[#This Row],[EnuRohValue]] &amp; "."" Then Res = " &amp; Tabelle7[[#This Row],[EnuValue]]</f>
        <v xml:space="preserve">  If wert = ".ROOFING." Then Res = pocCT_ROOFING</v>
      </c>
    </row>
    <row r="229" spans="2:9" x14ac:dyDescent="0.25">
      <c r="B229" s="44">
        <v>5</v>
      </c>
      <c r="C229" s="45" t="s">
        <v>1537</v>
      </c>
      <c r="D229" s="44" t="s">
        <v>3860</v>
      </c>
      <c r="E229" s="44" t="str">
        <f>VLOOKUP(Tabelle7[[#This Row],[EnumName]],Enum[[IFC-Name]:[Präfix]],5,FALSE)&amp;Tabelle7[[#This Row],[EnuRohValue]]</f>
        <v>pocCT_INSULATION</v>
      </c>
      <c r="F229" s="44">
        <f>COUNTIF(Tabelle7[EnuValue],Tabelle7[[#This Row],[EnuValue]])</f>
        <v>1</v>
      </c>
      <c r="G229" s="44" t="str">
        <f xml:space="preserve"> "  " &amp; Tabelle7[[#This Row],[EnuValue]] &amp; " = " &amp; Tabelle7[[#This Row],[Wert]]</f>
        <v xml:space="preserve">  pocCT_INSULATION = 5</v>
      </c>
      <c r="H229" s="44" t="str">
        <f>"  If Wert = " &amp; Tabelle7[[#This Row],[EnuValue]] &amp; " then Res = ""." &amp; Tabelle7[[#This Row],[EnuRohValue]] &amp; "."""</f>
        <v xml:space="preserve">  If Wert = pocCT_INSULATION then Res = ".INSULATION."</v>
      </c>
      <c r="I229" s="44" t="str">
        <f>"  If wert = ""." &amp; Tabelle7[[#This Row],[EnuRohValue]] &amp; "."" Then Res = " &amp; Tabelle7[[#This Row],[EnuValue]]</f>
        <v xml:space="preserve">  If wert = ".INSULATION." Then Res = pocCT_INSULATION</v>
      </c>
    </row>
    <row r="230" spans="2:9" x14ac:dyDescent="0.25">
      <c r="B230" s="44">
        <v>6</v>
      </c>
      <c r="C230" s="45" t="s">
        <v>1537</v>
      </c>
      <c r="D230" s="44" t="s">
        <v>3861</v>
      </c>
      <c r="E230" s="44" t="str">
        <f>VLOOKUP(Tabelle7[[#This Row],[EnumName]],Enum[[IFC-Name]:[Präfix]],5,FALSE)&amp;Tabelle7[[#This Row],[EnuRohValue]]</f>
        <v>pocCT_MEMBRANE</v>
      </c>
      <c r="F230" s="44">
        <f>COUNTIF(Tabelle7[EnuValue],Tabelle7[[#This Row],[EnuValue]])</f>
        <v>1</v>
      </c>
      <c r="G230" s="44" t="str">
        <f xml:space="preserve"> "  " &amp; Tabelle7[[#This Row],[EnuValue]] &amp; " = " &amp; Tabelle7[[#This Row],[Wert]]</f>
        <v xml:space="preserve">  pocCT_MEMBRANE = 6</v>
      </c>
      <c r="H230" s="44" t="str">
        <f>"  If Wert = " &amp; Tabelle7[[#This Row],[EnuValue]] &amp; " then Res = ""." &amp; Tabelle7[[#This Row],[EnuRohValue]] &amp; "."""</f>
        <v xml:space="preserve">  If Wert = pocCT_MEMBRANE then Res = ".MEMBRANE."</v>
      </c>
      <c r="I230" s="44" t="str">
        <f>"  If wert = ""." &amp; Tabelle7[[#This Row],[EnuRohValue]] &amp; "."" Then Res = " &amp; Tabelle7[[#This Row],[EnuValue]]</f>
        <v xml:space="preserve">  If wert = ".MEMBRANE." Then Res = pocCT_MEMBRANE</v>
      </c>
    </row>
    <row r="231" spans="2:9" x14ac:dyDescent="0.25">
      <c r="B231" s="44">
        <v>7</v>
      </c>
      <c r="C231" s="45" t="s">
        <v>1537</v>
      </c>
      <c r="D231" s="44" t="s">
        <v>3862</v>
      </c>
      <c r="E231" s="44" t="str">
        <f>VLOOKUP(Tabelle7[[#This Row],[EnumName]],Enum[[IFC-Name]:[Präfix]],5,FALSE)&amp;Tabelle7[[#This Row],[EnuRohValue]]</f>
        <v>pocCT_SLEEVING</v>
      </c>
      <c r="F231" s="44">
        <f>COUNTIF(Tabelle7[EnuValue],Tabelle7[[#This Row],[EnuValue]])</f>
        <v>1</v>
      </c>
      <c r="G231" s="44" t="str">
        <f xml:space="preserve"> "  " &amp; Tabelle7[[#This Row],[EnuValue]] &amp; " = " &amp; Tabelle7[[#This Row],[Wert]]</f>
        <v xml:space="preserve">  pocCT_SLEEVING = 7</v>
      </c>
      <c r="H231" s="44" t="str">
        <f>"  If Wert = " &amp; Tabelle7[[#This Row],[EnuValue]] &amp; " then Res = ""." &amp; Tabelle7[[#This Row],[EnuRohValue]] &amp; "."""</f>
        <v xml:space="preserve">  If Wert = pocCT_SLEEVING then Res = ".SLEEVING."</v>
      </c>
      <c r="I231" s="44" t="str">
        <f>"  If wert = ""." &amp; Tabelle7[[#This Row],[EnuRohValue]] &amp; "."" Then Res = " &amp; Tabelle7[[#This Row],[EnuValue]]</f>
        <v xml:space="preserve">  If wert = ".SLEEVING." Then Res = pocCT_SLEEVING</v>
      </c>
    </row>
    <row r="232" spans="2:9" x14ac:dyDescent="0.25">
      <c r="B232" s="44">
        <v>8</v>
      </c>
      <c r="C232" s="45" t="s">
        <v>1537</v>
      </c>
      <c r="D232" s="44" t="s">
        <v>3863</v>
      </c>
      <c r="E232" s="44" t="str">
        <f>VLOOKUP(Tabelle7[[#This Row],[EnumName]],Enum[[IFC-Name]:[Präfix]],5,FALSE)&amp;Tabelle7[[#This Row],[EnuRohValue]]</f>
        <v>pocCT_WRAPPING</v>
      </c>
      <c r="F232" s="44">
        <f>COUNTIF(Tabelle7[EnuValue],Tabelle7[[#This Row],[EnuValue]])</f>
        <v>1</v>
      </c>
      <c r="G232" s="44" t="str">
        <f xml:space="preserve"> "  " &amp; Tabelle7[[#This Row],[EnuValue]] &amp; " = " &amp; Tabelle7[[#This Row],[Wert]]</f>
        <v xml:space="preserve">  pocCT_WRAPPING = 8</v>
      </c>
      <c r="H232" s="44" t="str">
        <f>"  If Wert = " &amp; Tabelle7[[#This Row],[EnuValue]] &amp; " then Res = ""." &amp; Tabelle7[[#This Row],[EnuRohValue]] &amp; "."""</f>
        <v xml:space="preserve">  If Wert = pocCT_WRAPPING then Res = ".WRAPPING."</v>
      </c>
      <c r="I232" s="44" t="str">
        <f>"  If wert = ""." &amp; Tabelle7[[#This Row],[EnuRohValue]] &amp; "."" Then Res = " &amp; Tabelle7[[#This Row],[EnuValue]]</f>
        <v xml:space="preserve">  If wert = ".WRAPPING." Then Res = pocCT_WRAPPING</v>
      </c>
    </row>
    <row r="233" spans="2:9" x14ac:dyDescent="0.25">
      <c r="B233" s="44">
        <v>9</v>
      </c>
      <c r="C233" s="45" t="s">
        <v>1537</v>
      </c>
      <c r="D233" s="44" t="s">
        <v>3682</v>
      </c>
      <c r="E233" s="44" t="str">
        <f>VLOOKUP(Tabelle7[[#This Row],[EnumName]],Enum[[IFC-Name]:[Präfix]],5,FALSE)&amp;Tabelle7[[#This Row],[EnuRohValue]]</f>
        <v>pocCT_USERDEFINED</v>
      </c>
      <c r="F233" s="44">
        <f>COUNTIF(Tabelle7[EnuValue],Tabelle7[[#This Row],[EnuValue]])</f>
        <v>1</v>
      </c>
      <c r="G233" s="44" t="str">
        <f xml:space="preserve"> "  " &amp; Tabelle7[[#This Row],[EnuValue]] &amp; " = " &amp; Tabelle7[[#This Row],[Wert]]</f>
        <v xml:space="preserve">  pocCT_USERDEFINED = 9</v>
      </c>
      <c r="H233" s="44" t="str">
        <f>"  If Wert = " &amp; Tabelle7[[#This Row],[EnuValue]] &amp; " then Res = ""." &amp; Tabelle7[[#This Row],[EnuRohValue]] &amp; "."""</f>
        <v xml:space="preserve">  If Wert = pocCT_USERDEFINED then Res = ".USERDEFINED."</v>
      </c>
      <c r="I233" s="44" t="str">
        <f>"  If wert = ""." &amp; Tabelle7[[#This Row],[EnuRohValue]] &amp; "."" Then Res = " &amp; Tabelle7[[#This Row],[EnuValue]]</f>
        <v xml:space="preserve">  If wert = ".USERDEFINED." Then Res = pocCT_USERDEFINED</v>
      </c>
    </row>
    <row r="234" spans="2:9" x14ac:dyDescent="0.25">
      <c r="B234" s="44">
        <v>10</v>
      </c>
      <c r="C234" s="45" t="s">
        <v>1537</v>
      </c>
      <c r="D234" s="44" t="s">
        <v>3683</v>
      </c>
      <c r="E234" s="44" t="str">
        <f>VLOOKUP(Tabelle7[[#This Row],[EnumName]],Enum[[IFC-Name]:[Präfix]],5,FALSE)&amp;Tabelle7[[#This Row],[EnuRohValue]]</f>
        <v>pocCT_NOTDEFINED</v>
      </c>
      <c r="F234" s="44">
        <f>COUNTIF(Tabelle7[EnuValue],Tabelle7[[#This Row],[EnuValue]])</f>
        <v>1</v>
      </c>
      <c r="G234" s="44" t="str">
        <f xml:space="preserve"> "  " &amp; Tabelle7[[#This Row],[EnuValue]] &amp; " = " &amp; Tabelle7[[#This Row],[Wert]]</f>
        <v xml:space="preserve">  pocCT_NOTDEFINED = 10</v>
      </c>
      <c r="H234" s="44" t="str">
        <f>"  If Wert = " &amp; Tabelle7[[#This Row],[EnuValue]] &amp; " then Res = ""." &amp; Tabelle7[[#This Row],[EnuRohValue]] &amp; "."""</f>
        <v xml:space="preserve">  If Wert = pocCT_NOTDEFINED then Res = ".NOTDEFINED."</v>
      </c>
      <c r="I234" s="44" t="str">
        <f>"  If wert = ""." &amp; Tabelle7[[#This Row],[EnuRohValue]] &amp; "."" Then Res = " &amp; Tabelle7[[#This Row],[EnuValue]]</f>
        <v xml:space="preserve">  If wert = ".NOTDEFINED." Then Res = pocCT_NOTDEFINED</v>
      </c>
    </row>
    <row r="235" spans="2:9" x14ac:dyDescent="0.25">
      <c r="B235" s="44">
        <v>1</v>
      </c>
      <c r="C235" s="45" t="s">
        <v>1538</v>
      </c>
      <c r="D235" s="44" t="s">
        <v>3864</v>
      </c>
      <c r="E235" s="44" t="str">
        <f>VLOOKUP(Tabelle7[[#This Row],[EnumName]],Enum[[IFC-Name]:[Präfix]],5,FALSE)&amp;Tabelle7[[#This Row],[EnuRohValue]]</f>
        <v>mesC_AED</v>
      </c>
      <c r="F235" s="44">
        <f>COUNTIF(Tabelle7[EnuValue],Tabelle7[[#This Row],[EnuValue]])</f>
        <v>1</v>
      </c>
      <c r="G235" s="44" t="str">
        <f xml:space="preserve"> "  " &amp; Tabelle7[[#This Row],[EnuValue]] &amp; " = " &amp; Tabelle7[[#This Row],[Wert]]</f>
        <v xml:space="preserve">  mesC_AED = 1</v>
      </c>
      <c r="H235" s="44" t="str">
        <f>"  If Wert = " &amp; Tabelle7[[#This Row],[EnuValue]] &amp; " then Res = ""." &amp; Tabelle7[[#This Row],[EnuRohValue]] &amp; "."""</f>
        <v xml:space="preserve">  If Wert = mesC_AED then Res = ".AED."</v>
      </c>
      <c r="I235" s="44" t="str">
        <f>"  If wert = ""." &amp; Tabelle7[[#This Row],[EnuRohValue]] &amp; "."" Then Res = " &amp; Tabelle7[[#This Row],[EnuValue]]</f>
        <v xml:space="preserve">  If wert = ".AED." Then Res = mesC_AED</v>
      </c>
    </row>
    <row r="236" spans="2:9" x14ac:dyDescent="0.25">
      <c r="B236" s="44">
        <v>2</v>
      </c>
      <c r="C236" s="45" t="s">
        <v>1538</v>
      </c>
      <c r="D236" s="44" t="s">
        <v>3865</v>
      </c>
      <c r="E236" s="44" t="str">
        <f>VLOOKUP(Tabelle7[[#This Row],[EnumName]],Enum[[IFC-Name]:[Präfix]],5,FALSE)&amp;Tabelle7[[#This Row],[EnuRohValue]]</f>
        <v>mesC_AES</v>
      </c>
      <c r="F236" s="44">
        <f>COUNTIF(Tabelle7[EnuValue],Tabelle7[[#This Row],[EnuValue]])</f>
        <v>1</v>
      </c>
      <c r="G236" s="44" t="str">
        <f xml:space="preserve"> "  " &amp; Tabelle7[[#This Row],[EnuValue]] &amp; " = " &amp; Tabelle7[[#This Row],[Wert]]</f>
        <v xml:space="preserve">  mesC_AES = 2</v>
      </c>
      <c r="H236" s="44" t="str">
        <f>"  If Wert = " &amp; Tabelle7[[#This Row],[EnuValue]] &amp; " then Res = ""." &amp; Tabelle7[[#This Row],[EnuRohValue]] &amp; "."""</f>
        <v xml:space="preserve">  If Wert = mesC_AES then Res = ".AES."</v>
      </c>
      <c r="I236" s="44" t="str">
        <f>"  If wert = ""." &amp; Tabelle7[[#This Row],[EnuRohValue]] &amp; "."" Then Res = " &amp; Tabelle7[[#This Row],[EnuValue]]</f>
        <v xml:space="preserve">  If wert = ".AES." Then Res = mesC_AES</v>
      </c>
    </row>
    <row r="237" spans="2:9" x14ac:dyDescent="0.25">
      <c r="B237" s="44">
        <v>3</v>
      </c>
      <c r="C237" s="45" t="s">
        <v>1538</v>
      </c>
      <c r="D237" s="44" t="s">
        <v>3866</v>
      </c>
      <c r="E237" s="44" t="str">
        <f>VLOOKUP(Tabelle7[[#This Row],[EnumName]],Enum[[IFC-Name]:[Präfix]],5,FALSE)&amp;Tabelle7[[#This Row],[EnuRohValue]]</f>
        <v>mesC_ATS</v>
      </c>
      <c r="F237" s="44">
        <f>COUNTIF(Tabelle7[EnuValue],Tabelle7[[#This Row],[EnuValue]])</f>
        <v>1</v>
      </c>
      <c r="G237" s="44" t="str">
        <f xml:space="preserve"> "  " &amp; Tabelle7[[#This Row],[EnuValue]] &amp; " = " &amp; Tabelle7[[#This Row],[Wert]]</f>
        <v xml:space="preserve">  mesC_ATS = 3</v>
      </c>
      <c r="H237" s="44" t="str">
        <f>"  If Wert = " &amp; Tabelle7[[#This Row],[EnuValue]] &amp; " then Res = ""." &amp; Tabelle7[[#This Row],[EnuRohValue]] &amp; "."""</f>
        <v xml:space="preserve">  If Wert = mesC_ATS then Res = ".ATS."</v>
      </c>
      <c r="I237" s="44" t="str">
        <f>"  If wert = ""." &amp; Tabelle7[[#This Row],[EnuRohValue]] &amp; "."" Then Res = " &amp; Tabelle7[[#This Row],[EnuValue]]</f>
        <v xml:space="preserve">  If wert = ".ATS." Then Res = mesC_ATS</v>
      </c>
    </row>
    <row r="238" spans="2:9" x14ac:dyDescent="0.25">
      <c r="B238" s="44">
        <v>4</v>
      </c>
      <c r="C238" s="45" t="s">
        <v>1538</v>
      </c>
      <c r="D238" s="44" t="s">
        <v>3867</v>
      </c>
      <c r="E238" s="44" t="str">
        <f>VLOOKUP(Tabelle7[[#This Row],[EnumName]],Enum[[IFC-Name]:[Präfix]],5,FALSE)&amp;Tabelle7[[#This Row],[EnuRohValue]]</f>
        <v>mesC_AUD</v>
      </c>
      <c r="F238" s="44">
        <f>COUNTIF(Tabelle7[EnuValue],Tabelle7[[#This Row],[EnuValue]])</f>
        <v>1</v>
      </c>
      <c r="G238" s="44" t="str">
        <f xml:space="preserve"> "  " &amp; Tabelle7[[#This Row],[EnuValue]] &amp; " = " &amp; Tabelle7[[#This Row],[Wert]]</f>
        <v xml:space="preserve">  mesC_AUD = 4</v>
      </c>
      <c r="H238" s="44" t="str">
        <f>"  If Wert = " &amp; Tabelle7[[#This Row],[EnuValue]] &amp; " then Res = ""." &amp; Tabelle7[[#This Row],[EnuRohValue]] &amp; "."""</f>
        <v xml:space="preserve">  If Wert = mesC_AUD then Res = ".AUD."</v>
      </c>
      <c r="I238" s="44" t="str">
        <f>"  If wert = ""." &amp; Tabelle7[[#This Row],[EnuRohValue]] &amp; "."" Then Res = " &amp; Tabelle7[[#This Row],[EnuValue]]</f>
        <v xml:space="preserve">  If wert = ".AUD." Then Res = mesC_AUD</v>
      </c>
    </row>
    <row r="239" spans="2:9" x14ac:dyDescent="0.25">
      <c r="B239" s="44">
        <v>5</v>
      </c>
      <c r="C239" s="45" t="s">
        <v>1538</v>
      </c>
      <c r="D239" s="44" t="s">
        <v>3868</v>
      </c>
      <c r="E239" s="44" t="str">
        <f>VLOOKUP(Tabelle7[[#This Row],[EnumName]],Enum[[IFC-Name]:[Präfix]],5,FALSE)&amp;Tabelle7[[#This Row],[EnuRohValue]]</f>
        <v>mesC_BBD</v>
      </c>
      <c r="F239" s="44">
        <f>COUNTIF(Tabelle7[EnuValue],Tabelle7[[#This Row],[EnuValue]])</f>
        <v>1</v>
      </c>
      <c r="G239" s="44" t="str">
        <f xml:space="preserve"> "  " &amp; Tabelle7[[#This Row],[EnuValue]] &amp; " = " &amp; Tabelle7[[#This Row],[Wert]]</f>
        <v xml:space="preserve">  mesC_BBD = 5</v>
      </c>
      <c r="H239" s="44" t="str">
        <f>"  If Wert = " &amp; Tabelle7[[#This Row],[EnuValue]] &amp; " then Res = ""." &amp; Tabelle7[[#This Row],[EnuRohValue]] &amp; "."""</f>
        <v xml:space="preserve">  If Wert = mesC_BBD then Res = ".BBD."</v>
      </c>
      <c r="I239" s="44" t="str">
        <f>"  If wert = ""." &amp; Tabelle7[[#This Row],[EnuRohValue]] &amp; "."" Then Res = " &amp; Tabelle7[[#This Row],[EnuValue]]</f>
        <v xml:space="preserve">  If wert = ".BBD." Then Res = mesC_BBD</v>
      </c>
    </row>
    <row r="240" spans="2:9" x14ac:dyDescent="0.25">
      <c r="B240" s="44">
        <v>6</v>
      </c>
      <c r="C240" s="45" t="s">
        <v>1538</v>
      </c>
      <c r="D240" s="44" t="s">
        <v>3869</v>
      </c>
      <c r="E240" s="44" t="str">
        <f>VLOOKUP(Tabelle7[[#This Row],[EnumName]],Enum[[IFC-Name]:[Präfix]],5,FALSE)&amp;Tabelle7[[#This Row],[EnuRohValue]]</f>
        <v>mesC_BEG</v>
      </c>
      <c r="F240" s="44">
        <f>COUNTIF(Tabelle7[EnuValue],Tabelle7[[#This Row],[EnuValue]])</f>
        <v>1</v>
      </c>
      <c r="G240" s="44" t="str">
        <f xml:space="preserve"> "  " &amp; Tabelle7[[#This Row],[EnuValue]] &amp; " = " &amp; Tabelle7[[#This Row],[Wert]]</f>
        <v xml:space="preserve">  mesC_BEG = 6</v>
      </c>
      <c r="H240" s="44" t="str">
        <f>"  If Wert = " &amp; Tabelle7[[#This Row],[EnuValue]] &amp; " then Res = ""." &amp; Tabelle7[[#This Row],[EnuRohValue]] &amp; "."""</f>
        <v xml:space="preserve">  If Wert = mesC_BEG then Res = ".BEG."</v>
      </c>
      <c r="I240" s="44" t="str">
        <f>"  If wert = ""." &amp; Tabelle7[[#This Row],[EnuRohValue]] &amp; "."" Then Res = " &amp; Tabelle7[[#This Row],[EnuValue]]</f>
        <v xml:space="preserve">  If wert = ".BEG." Then Res = mesC_BEG</v>
      </c>
    </row>
    <row r="241" spans="2:9" x14ac:dyDescent="0.25">
      <c r="B241" s="44">
        <v>7</v>
      </c>
      <c r="C241" s="45" t="s">
        <v>1538</v>
      </c>
      <c r="D241" s="44" t="s">
        <v>3870</v>
      </c>
      <c r="E241" s="44" t="str">
        <f>VLOOKUP(Tabelle7[[#This Row],[EnumName]],Enum[[IFC-Name]:[Präfix]],5,FALSE)&amp;Tabelle7[[#This Row],[EnuRohValue]]</f>
        <v>mesC_BGL</v>
      </c>
      <c r="F241" s="44">
        <f>COUNTIF(Tabelle7[EnuValue],Tabelle7[[#This Row],[EnuValue]])</f>
        <v>1</v>
      </c>
      <c r="G241" s="44" t="str">
        <f xml:space="preserve"> "  " &amp; Tabelle7[[#This Row],[EnuValue]] &amp; " = " &amp; Tabelle7[[#This Row],[Wert]]</f>
        <v xml:space="preserve">  mesC_BGL = 7</v>
      </c>
      <c r="H241" s="44" t="str">
        <f>"  If Wert = " &amp; Tabelle7[[#This Row],[EnuValue]] &amp; " then Res = ""." &amp; Tabelle7[[#This Row],[EnuRohValue]] &amp; "."""</f>
        <v xml:space="preserve">  If Wert = mesC_BGL then Res = ".BGL."</v>
      </c>
      <c r="I241" s="44" t="str">
        <f>"  If wert = ""." &amp; Tabelle7[[#This Row],[EnuRohValue]] &amp; "."" Then Res = " &amp; Tabelle7[[#This Row],[EnuValue]]</f>
        <v xml:space="preserve">  If wert = ".BGL." Then Res = mesC_BGL</v>
      </c>
    </row>
    <row r="242" spans="2:9" x14ac:dyDescent="0.25">
      <c r="B242" s="44">
        <v>8</v>
      </c>
      <c r="C242" s="45" t="s">
        <v>1538</v>
      </c>
      <c r="D242" s="44" t="s">
        <v>3871</v>
      </c>
      <c r="E242" s="44" t="str">
        <f>VLOOKUP(Tabelle7[[#This Row],[EnumName]],Enum[[IFC-Name]:[Präfix]],5,FALSE)&amp;Tabelle7[[#This Row],[EnuRohValue]]</f>
        <v>mesC_BHD</v>
      </c>
      <c r="F242" s="44">
        <f>COUNTIF(Tabelle7[EnuValue],Tabelle7[[#This Row],[EnuValue]])</f>
        <v>1</v>
      </c>
      <c r="G242" s="44" t="str">
        <f xml:space="preserve"> "  " &amp; Tabelle7[[#This Row],[EnuValue]] &amp; " = " &amp; Tabelle7[[#This Row],[Wert]]</f>
        <v xml:space="preserve">  mesC_BHD = 8</v>
      </c>
      <c r="H242" s="44" t="str">
        <f>"  If Wert = " &amp; Tabelle7[[#This Row],[EnuValue]] &amp; " then Res = ""." &amp; Tabelle7[[#This Row],[EnuRohValue]] &amp; "."""</f>
        <v xml:space="preserve">  If Wert = mesC_BHD then Res = ".BHD."</v>
      </c>
      <c r="I242" s="44" t="str">
        <f>"  If wert = ""." &amp; Tabelle7[[#This Row],[EnuRohValue]] &amp; "."" Then Res = " &amp; Tabelle7[[#This Row],[EnuValue]]</f>
        <v xml:space="preserve">  If wert = ".BHD." Then Res = mesC_BHD</v>
      </c>
    </row>
    <row r="243" spans="2:9" x14ac:dyDescent="0.25">
      <c r="B243" s="44">
        <v>9</v>
      </c>
      <c r="C243" s="45" t="s">
        <v>1538</v>
      </c>
      <c r="D243" s="44" t="s">
        <v>3872</v>
      </c>
      <c r="E243" s="44" t="str">
        <f>VLOOKUP(Tabelle7[[#This Row],[EnumName]],Enum[[IFC-Name]:[Präfix]],5,FALSE)&amp;Tabelle7[[#This Row],[EnuRohValue]]</f>
        <v>mesC_BMD</v>
      </c>
      <c r="F243" s="44">
        <f>COUNTIF(Tabelle7[EnuValue],Tabelle7[[#This Row],[EnuValue]])</f>
        <v>1</v>
      </c>
      <c r="G243" s="44" t="str">
        <f xml:space="preserve"> "  " &amp; Tabelle7[[#This Row],[EnuValue]] &amp; " = " &amp; Tabelle7[[#This Row],[Wert]]</f>
        <v xml:space="preserve">  mesC_BMD = 9</v>
      </c>
      <c r="H243" s="44" t="str">
        <f>"  If Wert = " &amp; Tabelle7[[#This Row],[EnuValue]] &amp; " then Res = ""." &amp; Tabelle7[[#This Row],[EnuRohValue]] &amp; "."""</f>
        <v xml:space="preserve">  If Wert = mesC_BMD then Res = ".BMD."</v>
      </c>
      <c r="I243" s="44" t="str">
        <f>"  If wert = ""." &amp; Tabelle7[[#This Row],[EnuRohValue]] &amp; "."" Then Res = " &amp; Tabelle7[[#This Row],[EnuValue]]</f>
        <v xml:space="preserve">  If wert = ".BMD." Then Res = mesC_BMD</v>
      </c>
    </row>
    <row r="244" spans="2:9" x14ac:dyDescent="0.25">
      <c r="B244" s="44">
        <v>10</v>
      </c>
      <c r="C244" s="45" t="s">
        <v>1538</v>
      </c>
      <c r="D244" s="44" t="s">
        <v>3873</v>
      </c>
      <c r="E244" s="44" t="str">
        <f>VLOOKUP(Tabelle7[[#This Row],[EnumName]],Enum[[IFC-Name]:[Präfix]],5,FALSE)&amp;Tabelle7[[#This Row],[EnuRohValue]]</f>
        <v>mesC_BND</v>
      </c>
      <c r="F244" s="44">
        <f>COUNTIF(Tabelle7[EnuValue],Tabelle7[[#This Row],[EnuValue]])</f>
        <v>1</v>
      </c>
      <c r="G244" s="44" t="str">
        <f xml:space="preserve"> "  " &amp; Tabelle7[[#This Row],[EnuValue]] &amp; " = " &amp; Tabelle7[[#This Row],[Wert]]</f>
        <v xml:space="preserve">  mesC_BND = 10</v>
      </c>
      <c r="H244" s="44" t="str">
        <f>"  If Wert = " &amp; Tabelle7[[#This Row],[EnuValue]] &amp; " then Res = ""." &amp; Tabelle7[[#This Row],[EnuRohValue]] &amp; "."""</f>
        <v xml:space="preserve">  If Wert = mesC_BND then Res = ".BND."</v>
      </c>
      <c r="I244" s="44" t="str">
        <f>"  If wert = ""." &amp; Tabelle7[[#This Row],[EnuRohValue]] &amp; "."" Then Res = " &amp; Tabelle7[[#This Row],[EnuValue]]</f>
        <v xml:space="preserve">  If wert = ".BND." Then Res = mesC_BND</v>
      </c>
    </row>
    <row r="245" spans="2:9" x14ac:dyDescent="0.25">
      <c r="B245" s="44">
        <v>11</v>
      </c>
      <c r="C245" s="45" t="s">
        <v>1538</v>
      </c>
      <c r="D245" s="44" t="s">
        <v>3874</v>
      </c>
      <c r="E245" s="44" t="str">
        <f>VLOOKUP(Tabelle7[[#This Row],[EnumName]],Enum[[IFC-Name]:[Präfix]],5,FALSE)&amp;Tabelle7[[#This Row],[EnuRohValue]]</f>
        <v>mesC_BRL</v>
      </c>
      <c r="F245" s="44">
        <f>COUNTIF(Tabelle7[EnuValue],Tabelle7[[#This Row],[EnuValue]])</f>
        <v>1</v>
      </c>
      <c r="G245" s="44" t="str">
        <f xml:space="preserve"> "  " &amp; Tabelle7[[#This Row],[EnuValue]] &amp; " = " &amp; Tabelle7[[#This Row],[Wert]]</f>
        <v xml:space="preserve">  mesC_BRL = 11</v>
      </c>
      <c r="H245" s="44" t="str">
        <f>"  If Wert = " &amp; Tabelle7[[#This Row],[EnuValue]] &amp; " then Res = ""." &amp; Tabelle7[[#This Row],[EnuRohValue]] &amp; "."""</f>
        <v xml:space="preserve">  If Wert = mesC_BRL then Res = ".BRL."</v>
      </c>
      <c r="I245" s="44" t="str">
        <f>"  If wert = ""." &amp; Tabelle7[[#This Row],[EnuRohValue]] &amp; "."" Then Res = " &amp; Tabelle7[[#This Row],[EnuValue]]</f>
        <v xml:space="preserve">  If wert = ".BRL." Then Res = mesC_BRL</v>
      </c>
    </row>
    <row r="246" spans="2:9" x14ac:dyDescent="0.25">
      <c r="B246" s="44">
        <v>12</v>
      </c>
      <c r="C246" s="45" t="s">
        <v>1538</v>
      </c>
      <c r="D246" s="44" t="s">
        <v>3875</v>
      </c>
      <c r="E246" s="44" t="str">
        <f>VLOOKUP(Tabelle7[[#This Row],[EnumName]],Enum[[IFC-Name]:[Präfix]],5,FALSE)&amp;Tabelle7[[#This Row],[EnuRohValue]]</f>
        <v>mesC_BSD</v>
      </c>
      <c r="F246" s="44">
        <f>COUNTIF(Tabelle7[EnuValue],Tabelle7[[#This Row],[EnuValue]])</f>
        <v>1</v>
      </c>
      <c r="G246" s="44" t="str">
        <f xml:space="preserve"> "  " &amp; Tabelle7[[#This Row],[EnuValue]] &amp; " = " &amp; Tabelle7[[#This Row],[Wert]]</f>
        <v xml:space="preserve">  mesC_BSD = 12</v>
      </c>
      <c r="H246" s="44" t="str">
        <f>"  If Wert = " &amp; Tabelle7[[#This Row],[EnuValue]] &amp; " then Res = ""." &amp; Tabelle7[[#This Row],[EnuRohValue]] &amp; "."""</f>
        <v xml:space="preserve">  If Wert = mesC_BSD then Res = ".BSD."</v>
      </c>
      <c r="I246" s="44" t="str">
        <f>"  If wert = ""." &amp; Tabelle7[[#This Row],[EnuRohValue]] &amp; "."" Then Res = " &amp; Tabelle7[[#This Row],[EnuValue]]</f>
        <v xml:space="preserve">  If wert = ".BSD." Then Res = mesC_BSD</v>
      </c>
    </row>
    <row r="247" spans="2:9" x14ac:dyDescent="0.25">
      <c r="B247" s="44">
        <v>13</v>
      </c>
      <c r="C247" s="45" t="s">
        <v>1538</v>
      </c>
      <c r="D247" s="44" t="s">
        <v>3876</v>
      </c>
      <c r="E247" s="44" t="str">
        <f>VLOOKUP(Tabelle7[[#This Row],[EnumName]],Enum[[IFC-Name]:[Präfix]],5,FALSE)&amp;Tabelle7[[#This Row],[EnuRohValue]]</f>
        <v>mesC_BWP</v>
      </c>
      <c r="F247" s="44">
        <f>COUNTIF(Tabelle7[EnuValue],Tabelle7[[#This Row],[EnuValue]])</f>
        <v>1</v>
      </c>
      <c r="G247" s="44" t="str">
        <f xml:space="preserve"> "  " &amp; Tabelle7[[#This Row],[EnuValue]] &amp; " = " &amp; Tabelle7[[#This Row],[Wert]]</f>
        <v xml:space="preserve">  mesC_BWP = 13</v>
      </c>
      <c r="H247" s="44" t="str">
        <f>"  If Wert = " &amp; Tabelle7[[#This Row],[EnuValue]] &amp; " then Res = ""." &amp; Tabelle7[[#This Row],[EnuRohValue]] &amp; "."""</f>
        <v xml:space="preserve">  If Wert = mesC_BWP then Res = ".BWP."</v>
      </c>
      <c r="I247" s="44" t="str">
        <f>"  If wert = ""." &amp; Tabelle7[[#This Row],[EnuRohValue]] &amp; "."" Then Res = " &amp; Tabelle7[[#This Row],[EnuValue]]</f>
        <v xml:space="preserve">  If wert = ".BWP." Then Res = mesC_BWP</v>
      </c>
    </row>
    <row r="248" spans="2:9" x14ac:dyDescent="0.25">
      <c r="B248" s="44">
        <v>14</v>
      </c>
      <c r="C248" s="45" t="s">
        <v>1538</v>
      </c>
      <c r="D248" s="44" t="s">
        <v>3877</v>
      </c>
      <c r="E248" s="44" t="str">
        <f>VLOOKUP(Tabelle7[[#This Row],[EnumName]],Enum[[IFC-Name]:[Präfix]],5,FALSE)&amp;Tabelle7[[#This Row],[EnuRohValue]]</f>
        <v>mesC_BZD</v>
      </c>
      <c r="F248" s="44">
        <f>COUNTIF(Tabelle7[EnuValue],Tabelle7[[#This Row],[EnuValue]])</f>
        <v>1</v>
      </c>
      <c r="G248" s="44" t="str">
        <f xml:space="preserve"> "  " &amp; Tabelle7[[#This Row],[EnuValue]] &amp; " = " &amp; Tabelle7[[#This Row],[Wert]]</f>
        <v xml:space="preserve">  mesC_BZD = 14</v>
      </c>
      <c r="H248" s="44" t="str">
        <f>"  If Wert = " &amp; Tabelle7[[#This Row],[EnuValue]] &amp; " then Res = ""." &amp; Tabelle7[[#This Row],[EnuRohValue]] &amp; "."""</f>
        <v xml:space="preserve">  If Wert = mesC_BZD then Res = ".BZD."</v>
      </c>
      <c r="I248" s="44" t="str">
        <f>"  If wert = ""." &amp; Tabelle7[[#This Row],[EnuRohValue]] &amp; "."" Then Res = " &amp; Tabelle7[[#This Row],[EnuValue]]</f>
        <v xml:space="preserve">  If wert = ".BZD." Then Res = mesC_BZD</v>
      </c>
    </row>
    <row r="249" spans="2:9" x14ac:dyDescent="0.25">
      <c r="B249" s="44">
        <v>15</v>
      </c>
      <c r="C249" s="45" t="s">
        <v>1538</v>
      </c>
      <c r="D249" s="44" t="s">
        <v>3878</v>
      </c>
      <c r="E249" s="44" t="str">
        <f>VLOOKUP(Tabelle7[[#This Row],[EnumName]],Enum[[IFC-Name]:[Präfix]],5,FALSE)&amp;Tabelle7[[#This Row],[EnuRohValue]]</f>
        <v>mesC_CAD</v>
      </c>
      <c r="F249" s="44">
        <f>COUNTIF(Tabelle7[EnuValue],Tabelle7[[#This Row],[EnuValue]])</f>
        <v>1</v>
      </c>
      <c r="G249" s="44" t="str">
        <f xml:space="preserve"> "  " &amp; Tabelle7[[#This Row],[EnuValue]] &amp; " = " &amp; Tabelle7[[#This Row],[Wert]]</f>
        <v xml:space="preserve">  mesC_CAD = 15</v>
      </c>
      <c r="H249" s="44" t="str">
        <f>"  If Wert = " &amp; Tabelle7[[#This Row],[EnuValue]] &amp; " then Res = ""." &amp; Tabelle7[[#This Row],[EnuRohValue]] &amp; "."""</f>
        <v xml:space="preserve">  If Wert = mesC_CAD then Res = ".CAD."</v>
      </c>
      <c r="I249" s="44" t="str">
        <f>"  If wert = ""." &amp; Tabelle7[[#This Row],[EnuRohValue]] &amp; "."" Then Res = " &amp; Tabelle7[[#This Row],[EnuValue]]</f>
        <v xml:space="preserve">  If wert = ".CAD." Then Res = mesC_CAD</v>
      </c>
    </row>
    <row r="250" spans="2:9" x14ac:dyDescent="0.25">
      <c r="B250" s="44">
        <v>16</v>
      </c>
      <c r="C250" s="45" t="s">
        <v>1538</v>
      </c>
      <c r="D250" s="44" t="s">
        <v>3879</v>
      </c>
      <c r="E250" s="44" t="str">
        <f>VLOOKUP(Tabelle7[[#This Row],[EnumName]],Enum[[IFC-Name]:[Präfix]],5,FALSE)&amp;Tabelle7[[#This Row],[EnuRohValue]]</f>
        <v>mesC_CBD</v>
      </c>
      <c r="F250" s="44">
        <f>COUNTIF(Tabelle7[EnuValue],Tabelle7[[#This Row],[EnuValue]])</f>
        <v>1</v>
      </c>
      <c r="G250" s="44" t="str">
        <f xml:space="preserve"> "  " &amp; Tabelle7[[#This Row],[EnuValue]] &amp; " = " &amp; Tabelle7[[#This Row],[Wert]]</f>
        <v xml:space="preserve">  mesC_CBD = 16</v>
      </c>
      <c r="H250" s="44" t="str">
        <f>"  If Wert = " &amp; Tabelle7[[#This Row],[EnuValue]] &amp; " then Res = ""." &amp; Tabelle7[[#This Row],[EnuRohValue]] &amp; "."""</f>
        <v xml:space="preserve">  If Wert = mesC_CBD then Res = ".CBD."</v>
      </c>
      <c r="I250" s="44" t="str">
        <f>"  If wert = ""." &amp; Tabelle7[[#This Row],[EnuRohValue]] &amp; "."" Then Res = " &amp; Tabelle7[[#This Row],[EnuValue]]</f>
        <v xml:space="preserve">  If wert = ".CBD." Then Res = mesC_CBD</v>
      </c>
    </row>
    <row r="251" spans="2:9" x14ac:dyDescent="0.25">
      <c r="B251" s="44">
        <v>17</v>
      </c>
      <c r="C251" s="45" t="s">
        <v>1538</v>
      </c>
      <c r="D251" s="44" t="s">
        <v>3880</v>
      </c>
      <c r="E251" s="44" t="str">
        <f>VLOOKUP(Tabelle7[[#This Row],[EnumName]],Enum[[IFC-Name]:[Präfix]],5,FALSE)&amp;Tabelle7[[#This Row],[EnuRohValue]]</f>
        <v>mesC_CHF</v>
      </c>
      <c r="F251" s="44">
        <f>COUNTIF(Tabelle7[EnuValue],Tabelle7[[#This Row],[EnuValue]])</f>
        <v>1</v>
      </c>
      <c r="G251" s="44" t="str">
        <f xml:space="preserve"> "  " &amp; Tabelle7[[#This Row],[EnuValue]] &amp; " = " &amp; Tabelle7[[#This Row],[Wert]]</f>
        <v xml:space="preserve">  mesC_CHF = 17</v>
      </c>
      <c r="H251" s="44" t="str">
        <f>"  If Wert = " &amp; Tabelle7[[#This Row],[EnuValue]] &amp; " then Res = ""." &amp; Tabelle7[[#This Row],[EnuRohValue]] &amp; "."""</f>
        <v xml:space="preserve">  If Wert = mesC_CHF then Res = ".CHF."</v>
      </c>
      <c r="I251" s="44" t="str">
        <f>"  If wert = ""." &amp; Tabelle7[[#This Row],[EnuRohValue]] &amp; "."" Then Res = " &amp; Tabelle7[[#This Row],[EnuValue]]</f>
        <v xml:space="preserve">  If wert = ".CHF." Then Res = mesC_CHF</v>
      </c>
    </row>
    <row r="252" spans="2:9" x14ac:dyDescent="0.25">
      <c r="B252" s="44">
        <v>18</v>
      </c>
      <c r="C252" s="45" t="s">
        <v>1538</v>
      </c>
      <c r="D252" s="44" t="s">
        <v>3881</v>
      </c>
      <c r="E252" s="44" t="str">
        <f>VLOOKUP(Tabelle7[[#This Row],[EnumName]],Enum[[IFC-Name]:[Präfix]],5,FALSE)&amp;Tabelle7[[#This Row],[EnuRohValue]]</f>
        <v>mesC_CLP</v>
      </c>
      <c r="F252" s="44">
        <f>COUNTIF(Tabelle7[EnuValue],Tabelle7[[#This Row],[EnuValue]])</f>
        <v>1</v>
      </c>
      <c r="G252" s="44" t="str">
        <f xml:space="preserve"> "  " &amp; Tabelle7[[#This Row],[EnuValue]] &amp; " = " &amp; Tabelle7[[#This Row],[Wert]]</f>
        <v xml:space="preserve">  mesC_CLP = 18</v>
      </c>
      <c r="H252" s="44" t="str">
        <f>"  If Wert = " &amp; Tabelle7[[#This Row],[EnuValue]] &amp; " then Res = ""." &amp; Tabelle7[[#This Row],[EnuRohValue]] &amp; "."""</f>
        <v xml:space="preserve">  If Wert = mesC_CLP then Res = ".CLP."</v>
      </c>
      <c r="I252" s="44" t="str">
        <f>"  If wert = ""." &amp; Tabelle7[[#This Row],[EnuRohValue]] &amp; "."" Then Res = " &amp; Tabelle7[[#This Row],[EnuValue]]</f>
        <v xml:space="preserve">  If wert = ".CLP." Then Res = mesC_CLP</v>
      </c>
    </row>
    <row r="253" spans="2:9" x14ac:dyDescent="0.25">
      <c r="B253" s="44">
        <v>19</v>
      </c>
      <c r="C253" s="45" t="s">
        <v>1538</v>
      </c>
      <c r="D253" s="44" t="s">
        <v>3882</v>
      </c>
      <c r="E253" s="44" t="str">
        <f>VLOOKUP(Tabelle7[[#This Row],[EnumName]],Enum[[IFC-Name]:[Präfix]],5,FALSE)&amp;Tabelle7[[#This Row],[EnuRohValue]]</f>
        <v>mesC_CNY</v>
      </c>
      <c r="F253" s="44">
        <f>COUNTIF(Tabelle7[EnuValue],Tabelle7[[#This Row],[EnuValue]])</f>
        <v>1</v>
      </c>
      <c r="G253" s="44" t="str">
        <f xml:space="preserve"> "  " &amp; Tabelle7[[#This Row],[EnuValue]] &amp; " = " &amp; Tabelle7[[#This Row],[Wert]]</f>
        <v xml:space="preserve">  mesC_CNY = 19</v>
      </c>
      <c r="H253" s="44" t="str">
        <f>"  If Wert = " &amp; Tabelle7[[#This Row],[EnuValue]] &amp; " then Res = ""." &amp; Tabelle7[[#This Row],[EnuRohValue]] &amp; "."""</f>
        <v xml:space="preserve">  If Wert = mesC_CNY then Res = ".CNY."</v>
      </c>
      <c r="I253" s="44" t="str">
        <f>"  If wert = ""." &amp; Tabelle7[[#This Row],[EnuRohValue]] &amp; "."" Then Res = " &amp; Tabelle7[[#This Row],[EnuValue]]</f>
        <v xml:space="preserve">  If wert = ".CNY." Then Res = mesC_CNY</v>
      </c>
    </row>
    <row r="254" spans="2:9" x14ac:dyDescent="0.25">
      <c r="B254" s="44">
        <v>20</v>
      </c>
      <c r="C254" s="45" t="s">
        <v>1538</v>
      </c>
      <c r="D254" s="44" t="s">
        <v>3883</v>
      </c>
      <c r="E254" s="44" t="str">
        <f>VLOOKUP(Tabelle7[[#This Row],[EnumName]],Enum[[IFC-Name]:[Präfix]],5,FALSE)&amp;Tabelle7[[#This Row],[EnuRohValue]]</f>
        <v>mesC_CYS</v>
      </c>
      <c r="F254" s="44">
        <f>COUNTIF(Tabelle7[EnuValue],Tabelle7[[#This Row],[EnuValue]])</f>
        <v>1</v>
      </c>
      <c r="G254" s="44" t="str">
        <f xml:space="preserve"> "  " &amp; Tabelle7[[#This Row],[EnuValue]] &amp; " = " &amp; Tabelle7[[#This Row],[Wert]]</f>
        <v xml:space="preserve">  mesC_CYS = 20</v>
      </c>
      <c r="H254" s="44" t="str">
        <f>"  If Wert = " &amp; Tabelle7[[#This Row],[EnuValue]] &amp; " then Res = ""." &amp; Tabelle7[[#This Row],[EnuRohValue]] &amp; "."""</f>
        <v xml:space="preserve">  If Wert = mesC_CYS then Res = ".CYS."</v>
      </c>
      <c r="I254" s="44" t="str">
        <f>"  If wert = ""." &amp; Tabelle7[[#This Row],[EnuRohValue]] &amp; "."" Then Res = " &amp; Tabelle7[[#This Row],[EnuValue]]</f>
        <v xml:space="preserve">  If wert = ".CYS." Then Res = mesC_CYS</v>
      </c>
    </row>
    <row r="255" spans="2:9" x14ac:dyDescent="0.25">
      <c r="B255" s="44">
        <v>21</v>
      </c>
      <c r="C255" s="45" t="s">
        <v>1538</v>
      </c>
      <c r="D255" s="44" t="s">
        <v>3884</v>
      </c>
      <c r="E255" s="44" t="str">
        <f>VLOOKUP(Tabelle7[[#This Row],[EnumName]],Enum[[IFC-Name]:[Präfix]],5,FALSE)&amp;Tabelle7[[#This Row],[EnuRohValue]]</f>
        <v>mesC_CZK</v>
      </c>
      <c r="F255" s="44">
        <f>COUNTIF(Tabelle7[EnuValue],Tabelle7[[#This Row],[EnuValue]])</f>
        <v>1</v>
      </c>
      <c r="G255" s="44" t="str">
        <f xml:space="preserve"> "  " &amp; Tabelle7[[#This Row],[EnuValue]] &amp; " = " &amp; Tabelle7[[#This Row],[Wert]]</f>
        <v xml:space="preserve">  mesC_CZK = 21</v>
      </c>
      <c r="H255" s="44" t="str">
        <f>"  If Wert = " &amp; Tabelle7[[#This Row],[EnuValue]] &amp; " then Res = ""." &amp; Tabelle7[[#This Row],[EnuRohValue]] &amp; "."""</f>
        <v xml:space="preserve">  If Wert = mesC_CZK then Res = ".CZK."</v>
      </c>
      <c r="I255" s="44" t="str">
        <f>"  If wert = ""." &amp; Tabelle7[[#This Row],[EnuRohValue]] &amp; "."" Then Res = " &amp; Tabelle7[[#This Row],[EnuValue]]</f>
        <v xml:space="preserve">  If wert = ".CZK." Then Res = mesC_CZK</v>
      </c>
    </row>
    <row r="256" spans="2:9" x14ac:dyDescent="0.25">
      <c r="B256" s="44">
        <v>22</v>
      </c>
      <c r="C256" s="45" t="s">
        <v>1538</v>
      </c>
      <c r="D256" s="44" t="s">
        <v>3885</v>
      </c>
      <c r="E256" s="44" t="str">
        <f>VLOOKUP(Tabelle7[[#This Row],[EnumName]],Enum[[IFC-Name]:[Präfix]],5,FALSE)&amp;Tabelle7[[#This Row],[EnuRohValue]]</f>
        <v>mesC_DDP</v>
      </c>
      <c r="F256" s="44">
        <f>COUNTIF(Tabelle7[EnuValue],Tabelle7[[#This Row],[EnuValue]])</f>
        <v>1</v>
      </c>
      <c r="G256" s="44" t="str">
        <f xml:space="preserve"> "  " &amp; Tabelle7[[#This Row],[EnuValue]] &amp; " = " &amp; Tabelle7[[#This Row],[Wert]]</f>
        <v xml:space="preserve">  mesC_DDP = 22</v>
      </c>
      <c r="H256" s="44" t="str">
        <f>"  If Wert = " &amp; Tabelle7[[#This Row],[EnuValue]] &amp; " then Res = ""." &amp; Tabelle7[[#This Row],[EnuRohValue]] &amp; "."""</f>
        <v xml:space="preserve">  If Wert = mesC_DDP then Res = ".DDP."</v>
      </c>
      <c r="I256" s="44" t="str">
        <f>"  If wert = ""." &amp; Tabelle7[[#This Row],[EnuRohValue]] &amp; "."" Then Res = " &amp; Tabelle7[[#This Row],[EnuValue]]</f>
        <v xml:space="preserve">  If wert = ".DDP." Then Res = mesC_DDP</v>
      </c>
    </row>
    <row r="257" spans="2:9" x14ac:dyDescent="0.25">
      <c r="B257" s="44">
        <v>23</v>
      </c>
      <c r="C257" s="45" t="s">
        <v>1538</v>
      </c>
      <c r="D257" s="44" t="s">
        <v>3886</v>
      </c>
      <c r="E257" s="44" t="str">
        <f>VLOOKUP(Tabelle7[[#This Row],[EnumName]],Enum[[IFC-Name]:[Präfix]],5,FALSE)&amp;Tabelle7[[#This Row],[EnuRohValue]]</f>
        <v>mesC_DEM</v>
      </c>
      <c r="F257" s="44">
        <f>COUNTIF(Tabelle7[EnuValue],Tabelle7[[#This Row],[EnuValue]])</f>
        <v>1</v>
      </c>
      <c r="G257" s="44" t="str">
        <f xml:space="preserve"> "  " &amp; Tabelle7[[#This Row],[EnuValue]] &amp; " = " &amp; Tabelle7[[#This Row],[Wert]]</f>
        <v xml:space="preserve">  mesC_DEM = 23</v>
      </c>
      <c r="H257" s="44" t="str">
        <f>"  If Wert = " &amp; Tabelle7[[#This Row],[EnuValue]] &amp; " then Res = ""." &amp; Tabelle7[[#This Row],[EnuRohValue]] &amp; "."""</f>
        <v xml:space="preserve">  If Wert = mesC_DEM then Res = ".DEM."</v>
      </c>
      <c r="I257" s="44" t="str">
        <f>"  If wert = ""." &amp; Tabelle7[[#This Row],[EnuRohValue]] &amp; "."" Then Res = " &amp; Tabelle7[[#This Row],[EnuValue]]</f>
        <v xml:space="preserve">  If wert = ".DEM." Then Res = mesC_DEM</v>
      </c>
    </row>
    <row r="258" spans="2:9" x14ac:dyDescent="0.25">
      <c r="B258" s="44">
        <v>24</v>
      </c>
      <c r="C258" s="45" t="s">
        <v>1538</v>
      </c>
      <c r="D258" s="44" t="s">
        <v>3887</v>
      </c>
      <c r="E258" s="44" t="str">
        <f>VLOOKUP(Tabelle7[[#This Row],[EnumName]],Enum[[IFC-Name]:[Präfix]],5,FALSE)&amp;Tabelle7[[#This Row],[EnuRohValue]]</f>
        <v>mesC_DKK</v>
      </c>
      <c r="F258" s="44">
        <f>COUNTIF(Tabelle7[EnuValue],Tabelle7[[#This Row],[EnuValue]])</f>
        <v>1</v>
      </c>
      <c r="G258" s="44" t="str">
        <f xml:space="preserve"> "  " &amp; Tabelle7[[#This Row],[EnuValue]] &amp; " = " &amp; Tabelle7[[#This Row],[Wert]]</f>
        <v xml:space="preserve">  mesC_DKK = 24</v>
      </c>
      <c r="H258" s="44" t="str">
        <f>"  If Wert = " &amp; Tabelle7[[#This Row],[EnuValue]] &amp; " then Res = ""." &amp; Tabelle7[[#This Row],[EnuRohValue]] &amp; "."""</f>
        <v xml:space="preserve">  If Wert = mesC_DKK then Res = ".DKK."</v>
      </c>
      <c r="I258" s="44" t="str">
        <f>"  If wert = ""." &amp; Tabelle7[[#This Row],[EnuRohValue]] &amp; "."" Then Res = " &amp; Tabelle7[[#This Row],[EnuValue]]</f>
        <v xml:space="preserve">  If wert = ".DKK." Then Res = mesC_DKK</v>
      </c>
    </row>
    <row r="259" spans="2:9" x14ac:dyDescent="0.25">
      <c r="B259" s="44">
        <v>25</v>
      </c>
      <c r="C259" s="45" t="s">
        <v>1538</v>
      </c>
      <c r="D259" s="44" t="s">
        <v>3888</v>
      </c>
      <c r="E259" s="44" t="str">
        <f>VLOOKUP(Tabelle7[[#This Row],[EnumName]],Enum[[IFC-Name]:[Präfix]],5,FALSE)&amp;Tabelle7[[#This Row],[EnuRohValue]]</f>
        <v>mesC_EGL</v>
      </c>
      <c r="F259" s="44">
        <f>COUNTIF(Tabelle7[EnuValue],Tabelle7[[#This Row],[EnuValue]])</f>
        <v>1</v>
      </c>
      <c r="G259" s="44" t="str">
        <f xml:space="preserve"> "  " &amp; Tabelle7[[#This Row],[EnuValue]] &amp; " = " &amp; Tabelle7[[#This Row],[Wert]]</f>
        <v xml:space="preserve">  mesC_EGL = 25</v>
      </c>
      <c r="H259" s="44" t="str">
        <f>"  If Wert = " &amp; Tabelle7[[#This Row],[EnuValue]] &amp; " then Res = ""." &amp; Tabelle7[[#This Row],[EnuRohValue]] &amp; "."""</f>
        <v xml:space="preserve">  If Wert = mesC_EGL then Res = ".EGL."</v>
      </c>
      <c r="I259" s="44" t="str">
        <f>"  If wert = ""." &amp; Tabelle7[[#This Row],[EnuRohValue]] &amp; "."" Then Res = " &amp; Tabelle7[[#This Row],[EnuValue]]</f>
        <v xml:space="preserve">  If wert = ".EGL." Then Res = mesC_EGL</v>
      </c>
    </row>
    <row r="260" spans="2:9" x14ac:dyDescent="0.25">
      <c r="B260" s="44">
        <v>26</v>
      </c>
      <c r="C260" s="45" t="s">
        <v>1538</v>
      </c>
      <c r="D260" s="44" t="s">
        <v>3889</v>
      </c>
      <c r="E260" s="44" t="str">
        <f>VLOOKUP(Tabelle7[[#This Row],[EnumName]],Enum[[IFC-Name]:[Präfix]],5,FALSE)&amp;Tabelle7[[#This Row],[EnuRohValue]]</f>
        <v>mesC_EST</v>
      </c>
      <c r="F260" s="44">
        <f>COUNTIF(Tabelle7[EnuValue],Tabelle7[[#This Row],[EnuValue]])</f>
        <v>1</v>
      </c>
      <c r="G260" s="44" t="str">
        <f xml:space="preserve"> "  " &amp; Tabelle7[[#This Row],[EnuValue]] &amp; " = " &amp; Tabelle7[[#This Row],[Wert]]</f>
        <v xml:space="preserve">  mesC_EST = 26</v>
      </c>
      <c r="H260" s="44" t="str">
        <f>"  If Wert = " &amp; Tabelle7[[#This Row],[EnuValue]] &amp; " then Res = ""." &amp; Tabelle7[[#This Row],[EnuRohValue]] &amp; "."""</f>
        <v xml:space="preserve">  If Wert = mesC_EST then Res = ".EST."</v>
      </c>
      <c r="I260" s="44" t="str">
        <f>"  If wert = ""." &amp; Tabelle7[[#This Row],[EnuRohValue]] &amp; "."" Then Res = " &amp; Tabelle7[[#This Row],[EnuValue]]</f>
        <v xml:space="preserve">  If wert = ".EST." Then Res = mesC_EST</v>
      </c>
    </row>
    <row r="261" spans="2:9" x14ac:dyDescent="0.25">
      <c r="B261" s="44">
        <v>27</v>
      </c>
      <c r="C261" s="45" t="s">
        <v>1538</v>
      </c>
      <c r="D261" s="44" t="s">
        <v>3890</v>
      </c>
      <c r="E261" s="44" t="str">
        <f>VLOOKUP(Tabelle7[[#This Row],[EnumName]],Enum[[IFC-Name]:[Präfix]],5,FALSE)&amp;Tabelle7[[#This Row],[EnuRohValue]]</f>
        <v>mesC_EUR</v>
      </c>
      <c r="F261" s="44">
        <f>COUNTIF(Tabelle7[EnuValue],Tabelle7[[#This Row],[EnuValue]])</f>
        <v>1</v>
      </c>
      <c r="G261" s="44" t="str">
        <f xml:space="preserve"> "  " &amp; Tabelle7[[#This Row],[EnuValue]] &amp; " = " &amp; Tabelle7[[#This Row],[Wert]]</f>
        <v xml:space="preserve">  mesC_EUR = 27</v>
      </c>
      <c r="H261" s="44" t="str">
        <f>"  If Wert = " &amp; Tabelle7[[#This Row],[EnuValue]] &amp; " then Res = ""." &amp; Tabelle7[[#This Row],[EnuRohValue]] &amp; "."""</f>
        <v xml:space="preserve">  If Wert = mesC_EUR then Res = ".EUR."</v>
      </c>
      <c r="I261" s="44" t="str">
        <f>"  If wert = ""." &amp; Tabelle7[[#This Row],[EnuRohValue]] &amp; "."" Then Res = " &amp; Tabelle7[[#This Row],[EnuValue]]</f>
        <v xml:space="preserve">  If wert = ".EUR." Then Res = mesC_EUR</v>
      </c>
    </row>
    <row r="262" spans="2:9" x14ac:dyDescent="0.25">
      <c r="B262" s="44">
        <v>28</v>
      </c>
      <c r="C262" s="45" t="s">
        <v>1538</v>
      </c>
      <c r="D262" s="44" t="s">
        <v>3891</v>
      </c>
      <c r="E262" s="44" t="str">
        <f>VLOOKUP(Tabelle7[[#This Row],[EnumName]],Enum[[IFC-Name]:[Präfix]],5,FALSE)&amp;Tabelle7[[#This Row],[EnuRohValue]]</f>
        <v>mesC_FAK</v>
      </c>
      <c r="F262" s="44">
        <f>COUNTIF(Tabelle7[EnuValue],Tabelle7[[#This Row],[EnuValue]])</f>
        <v>1</v>
      </c>
      <c r="G262" s="44" t="str">
        <f xml:space="preserve"> "  " &amp; Tabelle7[[#This Row],[EnuValue]] &amp; " = " &amp; Tabelle7[[#This Row],[Wert]]</f>
        <v xml:space="preserve">  mesC_FAK = 28</v>
      </c>
      <c r="H262" s="44" t="str">
        <f>"  If Wert = " &amp; Tabelle7[[#This Row],[EnuValue]] &amp; " then Res = ""." &amp; Tabelle7[[#This Row],[EnuRohValue]] &amp; "."""</f>
        <v xml:space="preserve">  If Wert = mesC_FAK then Res = ".FAK."</v>
      </c>
      <c r="I262" s="44" t="str">
        <f>"  If wert = ""." &amp; Tabelle7[[#This Row],[EnuRohValue]] &amp; "."" Then Res = " &amp; Tabelle7[[#This Row],[EnuValue]]</f>
        <v xml:space="preserve">  If wert = ".FAK." Then Res = mesC_FAK</v>
      </c>
    </row>
    <row r="263" spans="2:9" x14ac:dyDescent="0.25">
      <c r="B263" s="44">
        <v>29</v>
      </c>
      <c r="C263" s="45" t="s">
        <v>1538</v>
      </c>
      <c r="D263" s="44" t="s">
        <v>3892</v>
      </c>
      <c r="E263" s="44" t="str">
        <f>VLOOKUP(Tabelle7[[#This Row],[EnumName]],Enum[[IFC-Name]:[Präfix]],5,FALSE)&amp;Tabelle7[[#This Row],[EnuRohValue]]</f>
        <v>mesC_FIM</v>
      </c>
      <c r="F263" s="44">
        <f>COUNTIF(Tabelle7[EnuValue],Tabelle7[[#This Row],[EnuValue]])</f>
        <v>1</v>
      </c>
      <c r="G263" s="44" t="str">
        <f xml:space="preserve"> "  " &amp; Tabelle7[[#This Row],[EnuValue]] &amp; " = " &amp; Tabelle7[[#This Row],[Wert]]</f>
        <v xml:space="preserve">  mesC_FIM = 29</v>
      </c>
      <c r="H263" s="44" t="str">
        <f>"  If Wert = " &amp; Tabelle7[[#This Row],[EnuValue]] &amp; " then Res = ""." &amp; Tabelle7[[#This Row],[EnuRohValue]] &amp; "."""</f>
        <v xml:space="preserve">  If Wert = mesC_FIM then Res = ".FIM."</v>
      </c>
      <c r="I263" s="44" t="str">
        <f>"  If wert = ""." &amp; Tabelle7[[#This Row],[EnuRohValue]] &amp; "."" Then Res = " &amp; Tabelle7[[#This Row],[EnuValue]]</f>
        <v xml:space="preserve">  If wert = ".FIM." Then Res = mesC_FIM</v>
      </c>
    </row>
    <row r="264" spans="2:9" x14ac:dyDescent="0.25">
      <c r="B264" s="44">
        <v>30</v>
      </c>
      <c r="C264" s="45" t="s">
        <v>1538</v>
      </c>
      <c r="D264" s="44" t="s">
        <v>3893</v>
      </c>
      <c r="E264" s="44" t="str">
        <f>VLOOKUP(Tabelle7[[#This Row],[EnumName]],Enum[[IFC-Name]:[Präfix]],5,FALSE)&amp;Tabelle7[[#This Row],[EnuRohValue]]</f>
        <v>mesC_FJD</v>
      </c>
      <c r="F264" s="44">
        <f>COUNTIF(Tabelle7[EnuValue],Tabelle7[[#This Row],[EnuValue]])</f>
        <v>1</v>
      </c>
      <c r="G264" s="44" t="str">
        <f xml:space="preserve"> "  " &amp; Tabelle7[[#This Row],[EnuValue]] &amp; " = " &amp; Tabelle7[[#This Row],[Wert]]</f>
        <v xml:space="preserve">  mesC_FJD = 30</v>
      </c>
      <c r="H264" s="44" t="str">
        <f>"  If Wert = " &amp; Tabelle7[[#This Row],[EnuValue]] &amp; " then Res = ""." &amp; Tabelle7[[#This Row],[EnuRohValue]] &amp; "."""</f>
        <v xml:space="preserve">  If Wert = mesC_FJD then Res = ".FJD."</v>
      </c>
      <c r="I264" s="44" t="str">
        <f>"  If wert = ""." &amp; Tabelle7[[#This Row],[EnuRohValue]] &amp; "."" Then Res = " &amp; Tabelle7[[#This Row],[EnuValue]]</f>
        <v xml:space="preserve">  If wert = ".FJD." Then Res = mesC_FJD</v>
      </c>
    </row>
    <row r="265" spans="2:9" x14ac:dyDescent="0.25">
      <c r="B265" s="44">
        <v>31</v>
      </c>
      <c r="C265" s="45" t="s">
        <v>1538</v>
      </c>
      <c r="D265" s="44" t="s">
        <v>3894</v>
      </c>
      <c r="E265" s="44" t="str">
        <f>VLOOKUP(Tabelle7[[#This Row],[EnumName]],Enum[[IFC-Name]:[Präfix]],5,FALSE)&amp;Tabelle7[[#This Row],[EnuRohValue]]</f>
        <v>mesC_FKP</v>
      </c>
      <c r="F265" s="44">
        <f>COUNTIF(Tabelle7[EnuValue],Tabelle7[[#This Row],[EnuValue]])</f>
        <v>1</v>
      </c>
      <c r="G265" s="44" t="str">
        <f xml:space="preserve"> "  " &amp; Tabelle7[[#This Row],[EnuValue]] &amp; " = " &amp; Tabelle7[[#This Row],[Wert]]</f>
        <v xml:space="preserve">  mesC_FKP = 31</v>
      </c>
      <c r="H265" s="44" t="str">
        <f>"  If Wert = " &amp; Tabelle7[[#This Row],[EnuValue]] &amp; " then Res = ""." &amp; Tabelle7[[#This Row],[EnuRohValue]] &amp; "."""</f>
        <v xml:space="preserve">  If Wert = mesC_FKP then Res = ".FKP."</v>
      </c>
      <c r="I265" s="44" t="str">
        <f>"  If wert = ""." &amp; Tabelle7[[#This Row],[EnuRohValue]] &amp; "."" Then Res = " &amp; Tabelle7[[#This Row],[EnuValue]]</f>
        <v xml:space="preserve">  If wert = ".FKP." Then Res = mesC_FKP</v>
      </c>
    </row>
    <row r="266" spans="2:9" x14ac:dyDescent="0.25">
      <c r="B266" s="44">
        <v>32</v>
      </c>
      <c r="C266" s="45" t="s">
        <v>1538</v>
      </c>
      <c r="D266" s="44" t="s">
        <v>3895</v>
      </c>
      <c r="E266" s="44" t="str">
        <f>VLOOKUP(Tabelle7[[#This Row],[EnumName]],Enum[[IFC-Name]:[Präfix]],5,FALSE)&amp;Tabelle7[[#This Row],[EnuRohValue]]</f>
        <v>mesC_FRF</v>
      </c>
      <c r="F266" s="44">
        <f>COUNTIF(Tabelle7[EnuValue],Tabelle7[[#This Row],[EnuValue]])</f>
        <v>1</v>
      </c>
      <c r="G266" s="44" t="str">
        <f xml:space="preserve"> "  " &amp; Tabelle7[[#This Row],[EnuValue]] &amp; " = " &amp; Tabelle7[[#This Row],[Wert]]</f>
        <v xml:space="preserve">  mesC_FRF = 32</v>
      </c>
      <c r="H266" s="44" t="str">
        <f>"  If Wert = " &amp; Tabelle7[[#This Row],[EnuValue]] &amp; " then Res = ""." &amp; Tabelle7[[#This Row],[EnuRohValue]] &amp; "."""</f>
        <v xml:space="preserve">  If Wert = mesC_FRF then Res = ".FRF."</v>
      </c>
      <c r="I266" s="44" t="str">
        <f>"  If wert = ""." &amp; Tabelle7[[#This Row],[EnuRohValue]] &amp; "."" Then Res = " &amp; Tabelle7[[#This Row],[EnuValue]]</f>
        <v xml:space="preserve">  If wert = ".FRF." Then Res = mesC_FRF</v>
      </c>
    </row>
    <row r="267" spans="2:9" x14ac:dyDescent="0.25">
      <c r="B267" s="44">
        <v>33</v>
      </c>
      <c r="C267" s="45" t="s">
        <v>1538</v>
      </c>
      <c r="D267" s="44" t="s">
        <v>3896</v>
      </c>
      <c r="E267" s="44" t="str">
        <f>VLOOKUP(Tabelle7[[#This Row],[EnumName]],Enum[[IFC-Name]:[Präfix]],5,FALSE)&amp;Tabelle7[[#This Row],[EnuRohValue]]</f>
        <v>mesC_GBP</v>
      </c>
      <c r="F267" s="44">
        <f>COUNTIF(Tabelle7[EnuValue],Tabelle7[[#This Row],[EnuValue]])</f>
        <v>1</v>
      </c>
      <c r="G267" s="44" t="str">
        <f xml:space="preserve"> "  " &amp; Tabelle7[[#This Row],[EnuValue]] &amp; " = " &amp; Tabelle7[[#This Row],[Wert]]</f>
        <v xml:space="preserve">  mesC_GBP = 33</v>
      </c>
      <c r="H267" s="44" t="str">
        <f>"  If Wert = " &amp; Tabelle7[[#This Row],[EnuValue]] &amp; " then Res = ""." &amp; Tabelle7[[#This Row],[EnuRohValue]] &amp; "."""</f>
        <v xml:space="preserve">  If Wert = mesC_GBP then Res = ".GBP."</v>
      </c>
      <c r="I267" s="44" t="str">
        <f>"  If wert = ""." &amp; Tabelle7[[#This Row],[EnuRohValue]] &amp; "."" Then Res = " &amp; Tabelle7[[#This Row],[EnuValue]]</f>
        <v xml:space="preserve">  If wert = ".GBP." Then Res = mesC_GBP</v>
      </c>
    </row>
    <row r="268" spans="2:9" x14ac:dyDescent="0.25">
      <c r="B268" s="44">
        <v>34</v>
      </c>
      <c r="C268" s="45" t="s">
        <v>1538</v>
      </c>
      <c r="D268" s="44" t="s">
        <v>3897</v>
      </c>
      <c r="E268" s="44" t="str">
        <f>VLOOKUP(Tabelle7[[#This Row],[EnumName]],Enum[[IFC-Name]:[Präfix]],5,FALSE)&amp;Tabelle7[[#This Row],[EnuRohValue]]</f>
        <v>mesC_GIP</v>
      </c>
      <c r="F268" s="44">
        <f>COUNTIF(Tabelle7[EnuValue],Tabelle7[[#This Row],[EnuValue]])</f>
        <v>1</v>
      </c>
      <c r="G268" s="44" t="str">
        <f xml:space="preserve"> "  " &amp; Tabelle7[[#This Row],[EnuValue]] &amp; " = " &amp; Tabelle7[[#This Row],[Wert]]</f>
        <v xml:space="preserve">  mesC_GIP = 34</v>
      </c>
      <c r="H268" s="44" t="str">
        <f>"  If Wert = " &amp; Tabelle7[[#This Row],[EnuValue]] &amp; " then Res = ""." &amp; Tabelle7[[#This Row],[EnuRohValue]] &amp; "."""</f>
        <v xml:space="preserve">  If Wert = mesC_GIP then Res = ".GIP."</v>
      </c>
      <c r="I268" s="44" t="str">
        <f>"  If wert = ""." &amp; Tabelle7[[#This Row],[EnuRohValue]] &amp; "."" Then Res = " &amp; Tabelle7[[#This Row],[EnuValue]]</f>
        <v xml:space="preserve">  If wert = ".GIP." Then Res = mesC_GIP</v>
      </c>
    </row>
    <row r="269" spans="2:9" x14ac:dyDescent="0.25">
      <c r="B269" s="44">
        <v>35</v>
      </c>
      <c r="C269" s="45" t="s">
        <v>1538</v>
      </c>
      <c r="D269" s="44" t="s">
        <v>3898</v>
      </c>
      <c r="E269" s="44" t="str">
        <f>VLOOKUP(Tabelle7[[#This Row],[EnumName]],Enum[[IFC-Name]:[Präfix]],5,FALSE)&amp;Tabelle7[[#This Row],[EnuRohValue]]</f>
        <v>mesC_GMD</v>
      </c>
      <c r="F269" s="44">
        <f>COUNTIF(Tabelle7[EnuValue],Tabelle7[[#This Row],[EnuValue]])</f>
        <v>1</v>
      </c>
      <c r="G269" s="44" t="str">
        <f xml:space="preserve"> "  " &amp; Tabelle7[[#This Row],[EnuValue]] &amp; " = " &amp; Tabelle7[[#This Row],[Wert]]</f>
        <v xml:space="preserve">  mesC_GMD = 35</v>
      </c>
      <c r="H269" s="44" t="str">
        <f>"  If Wert = " &amp; Tabelle7[[#This Row],[EnuValue]] &amp; " then Res = ""." &amp; Tabelle7[[#This Row],[EnuRohValue]] &amp; "."""</f>
        <v xml:space="preserve">  If Wert = mesC_GMD then Res = ".GMD."</v>
      </c>
      <c r="I269" s="44" t="str">
        <f>"  If wert = ""." &amp; Tabelle7[[#This Row],[EnuRohValue]] &amp; "."" Then Res = " &amp; Tabelle7[[#This Row],[EnuValue]]</f>
        <v xml:space="preserve">  If wert = ".GMD." Then Res = mesC_GMD</v>
      </c>
    </row>
    <row r="270" spans="2:9" x14ac:dyDescent="0.25">
      <c r="B270" s="44">
        <v>36</v>
      </c>
      <c r="C270" s="45" t="s">
        <v>1538</v>
      </c>
      <c r="D270" s="44" t="s">
        <v>3899</v>
      </c>
      <c r="E270" s="44" t="str">
        <f>VLOOKUP(Tabelle7[[#This Row],[EnumName]],Enum[[IFC-Name]:[Präfix]],5,FALSE)&amp;Tabelle7[[#This Row],[EnuRohValue]]</f>
        <v>mesC_GRX</v>
      </c>
      <c r="F270" s="44">
        <f>COUNTIF(Tabelle7[EnuValue],Tabelle7[[#This Row],[EnuValue]])</f>
        <v>1</v>
      </c>
      <c r="G270" s="44" t="str">
        <f xml:space="preserve"> "  " &amp; Tabelle7[[#This Row],[EnuValue]] &amp; " = " &amp; Tabelle7[[#This Row],[Wert]]</f>
        <v xml:space="preserve">  mesC_GRX = 36</v>
      </c>
      <c r="H270" s="44" t="str">
        <f>"  If Wert = " &amp; Tabelle7[[#This Row],[EnuValue]] &amp; " then Res = ""." &amp; Tabelle7[[#This Row],[EnuRohValue]] &amp; "."""</f>
        <v xml:space="preserve">  If Wert = mesC_GRX then Res = ".GRX."</v>
      </c>
      <c r="I270" s="44" t="str">
        <f>"  If wert = ""." &amp; Tabelle7[[#This Row],[EnuRohValue]] &amp; "."" Then Res = " &amp; Tabelle7[[#This Row],[EnuValue]]</f>
        <v xml:space="preserve">  If wert = ".GRX." Then Res = mesC_GRX</v>
      </c>
    </row>
    <row r="271" spans="2:9" x14ac:dyDescent="0.25">
      <c r="B271" s="44">
        <v>37</v>
      </c>
      <c r="C271" s="45" t="s">
        <v>1538</v>
      </c>
      <c r="D271" s="44" t="s">
        <v>3900</v>
      </c>
      <c r="E271" s="44" t="str">
        <f>VLOOKUP(Tabelle7[[#This Row],[EnumName]],Enum[[IFC-Name]:[Präfix]],5,FALSE)&amp;Tabelle7[[#This Row],[EnuRohValue]]</f>
        <v>mesC_HKD</v>
      </c>
      <c r="F271" s="44">
        <f>COUNTIF(Tabelle7[EnuValue],Tabelle7[[#This Row],[EnuValue]])</f>
        <v>1</v>
      </c>
      <c r="G271" s="44" t="str">
        <f xml:space="preserve"> "  " &amp; Tabelle7[[#This Row],[EnuValue]] &amp; " = " &amp; Tabelle7[[#This Row],[Wert]]</f>
        <v xml:space="preserve">  mesC_HKD = 37</v>
      </c>
      <c r="H271" s="44" t="str">
        <f>"  If Wert = " &amp; Tabelle7[[#This Row],[EnuValue]] &amp; " then Res = ""." &amp; Tabelle7[[#This Row],[EnuRohValue]] &amp; "."""</f>
        <v xml:space="preserve">  If Wert = mesC_HKD then Res = ".HKD."</v>
      </c>
      <c r="I271" s="44" t="str">
        <f>"  If wert = ""." &amp; Tabelle7[[#This Row],[EnuRohValue]] &amp; "."" Then Res = " &amp; Tabelle7[[#This Row],[EnuValue]]</f>
        <v xml:space="preserve">  If wert = ".HKD." Then Res = mesC_HKD</v>
      </c>
    </row>
    <row r="272" spans="2:9" x14ac:dyDescent="0.25">
      <c r="B272" s="44">
        <v>38</v>
      </c>
      <c r="C272" s="45" t="s">
        <v>1538</v>
      </c>
      <c r="D272" s="44" t="s">
        <v>3901</v>
      </c>
      <c r="E272" s="44" t="str">
        <f>VLOOKUP(Tabelle7[[#This Row],[EnumName]],Enum[[IFC-Name]:[Präfix]],5,FALSE)&amp;Tabelle7[[#This Row],[EnuRohValue]]</f>
        <v>mesC_HUF</v>
      </c>
      <c r="F272" s="44">
        <f>COUNTIF(Tabelle7[EnuValue],Tabelle7[[#This Row],[EnuValue]])</f>
        <v>1</v>
      </c>
      <c r="G272" s="44" t="str">
        <f xml:space="preserve"> "  " &amp; Tabelle7[[#This Row],[EnuValue]] &amp; " = " &amp; Tabelle7[[#This Row],[Wert]]</f>
        <v xml:space="preserve">  mesC_HUF = 38</v>
      </c>
      <c r="H272" s="44" t="str">
        <f>"  If Wert = " &amp; Tabelle7[[#This Row],[EnuValue]] &amp; " then Res = ""." &amp; Tabelle7[[#This Row],[EnuRohValue]] &amp; "."""</f>
        <v xml:space="preserve">  If Wert = mesC_HUF then Res = ".HUF."</v>
      </c>
      <c r="I272" s="44" t="str">
        <f>"  If wert = ""." &amp; Tabelle7[[#This Row],[EnuRohValue]] &amp; "."" Then Res = " &amp; Tabelle7[[#This Row],[EnuValue]]</f>
        <v xml:space="preserve">  If wert = ".HUF." Then Res = mesC_HUF</v>
      </c>
    </row>
    <row r="273" spans="2:9" x14ac:dyDescent="0.25">
      <c r="B273" s="44">
        <v>39</v>
      </c>
      <c r="C273" s="45" t="s">
        <v>1538</v>
      </c>
      <c r="D273" s="44" t="s">
        <v>3902</v>
      </c>
      <c r="E273" s="44" t="str">
        <f>VLOOKUP(Tabelle7[[#This Row],[EnumName]],Enum[[IFC-Name]:[Präfix]],5,FALSE)&amp;Tabelle7[[#This Row],[EnuRohValue]]</f>
        <v>mesC_ICK</v>
      </c>
      <c r="F273" s="44">
        <f>COUNTIF(Tabelle7[EnuValue],Tabelle7[[#This Row],[EnuValue]])</f>
        <v>1</v>
      </c>
      <c r="G273" s="44" t="str">
        <f xml:space="preserve"> "  " &amp; Tabelle7[[#This Row],[EnuValue]] &amp; " = " &amp; Tabelle7[[#This Row],[Wert]]</f>
        <v xml:space="preserve">  mesC_ICK = 39</v>
      </c>
      <c r="H273" s="44" t="str">
        <f>"  If Wert = " &amp; Tabelle7[[#This Row],[EnuValue]] &amp; " then Res = ""." &amp; Tabelle7[[#This Row],[EnuRohValue]] &amp; "."""</f>
        <v xml:space="preserve">  If Wert = mesC_ICK then Res = ".ICK."</v>
      </c>
      <c r="I273" s="44" t="str">
        <f>"  If wert = ""." &amp; Tabelle7[[#This Row],[EnuRohValue]] &amp; "."" Then Res = " &amp; Tabelle7[[#This Row],[EnuValue]]</f>
        <v xml:space="preserve">  If wert = ".ICK." Then Res = mesC_ICK</v>
      </c>
    </row>
    <row r="274" spans="2:9" x14ac:dyDescent="0.25">
      <c r="B274" s="44">
        <v>40</v>
      </c>
      <c r="C274" s="45" t="s">
        <v>1538</v>
      </c>
      <c r="D274" s="44" t="s">
        <v>3903</v>
      </c>
      <c r="E274" s="44" t="str">
        <f>VLOOKUP(Tabelle7[[#This Row],[EnumName]],Enum[[IFC-Name]:[Präfix]],5,FALSE)&amp;Tabelle7[[#This Row],[EnuRohValue]]</f>
        <v>mesC_IDR</v>
      </c>
      <c r="F274" s="44">
        <f>COUNTIF(Tabelle7[EnuValue],Tabelle7[[#This Row],[EnuValue]])</f>
        <v>1</v>
      </c>
      <c r="G274" s="44" t="str">
        <f xml:space="preserve"> "  " &amp; Tabelle7[[#This Row],[EnuValue]] &amp; " = " &amp; Tabelle7[[#This Row],[Wert]]</f>
        <v xml:space="preserve">  mesC_IDR = 40</v>
      </c>
      <c r="H274" s="44" t="str">
        <f>"  If Wert = " &amp; Tabelle7[[#This Row],[EnuValue]] &amp; " then Res = ""." &amp; Tabelle7[[#This Row],[EnuRohValue]] &amp; "."""</f>
        <v xml:space="preserve">  If Wert = mesC_IDR then Res = ".IDR."</v>
      </c>
      <c r="I274" s="44" t="str">
        <f>"  If wert = ""." &amp; Tabelle7[[#This Row],[EnuRohValue]] &amp; "."" Then Res = " &amp; Tabelle7[[#This Row],[EnuValue]]</f>
        <v xml:space="preserve">  If wert = ".IDR." Then Res = mesC_IDR</v>
      </c>
    </row>
    <row r="275" spans="2:9" x14ac:dyDescent="0.25">
      <c r="B275" s="44">
        <v>41</v>
      </c>
      <c r="C275" s="45" t="s">
        <v>1538</v>
      </c>
      <c r="D275" s="44" t="s">
        <v>3904</v>
      </c>
      <c r="E275" s="44" t="str">
        <f>VLOOKUP(Tabelle7[[#This Row],[EnumName]],Enum[[IFC-Name]:[Präfix]],5,FALSE)&amp;Tabelle7[[#This Row],[EnuRohValue]]</f>
        <v>mesC_ILS</v>
      </c>
      <c r="F275" s="44">
        <f>COUNTIF(Tabelle7[EnuValue],Tabelle7[[#This Row],[EnuValue]])</f>
        <v>1</v>
      </c>
      <c r="G275" s="44" t="str">
        <f xml:space="preserve"> "  " &amp; Tabelle7[[#This Row],[EnuValue]] &amp; " = " &amp; Tabelle7[[#This Row],[Wert]]</f>
        <v xml:space="preserve">  mesC_ILS = 41</v>
      </c>
      <c r="H275" s="44" t="str">
        <f>"  If Wert = " &amp; Tabelle7[[#This Row],[EnuValue]] &amp; " then Res = ""." &amp; Tabelle7[[#This Row],[EnuRohValue]] &amp; "."""</f>
        <v xml:space="preserve">  If Wert = mesC_ILS then Res = ".ILS."</v>
      </c>
      <c r="I275" s="44" t="str">
        <f>"  If wert = ""." &amp; Tabelle7[[#This Row],[EnuRohValue]] &amp; "."" Then Res = " &amp; Tabelle7[[#This Row],[EnuValue]]</f>
        <v xml:space="preserve">  If wert = ".ILS." Then Res = mesC_ILS</v>
      </c>
    </row>
    <row r="276" spans="2:9" x14ac:dyDescent="0.25">
      <c r="B276" s="44">
        <v>42</v>
      </c>
      <c r="C276" s="45" t="s">
        <v>1538</v>
      </c>
      <c r="D276" s="44" t="s">
        <v>3905</v>
      </c>
      <c r="E276" s="44" t="str">
        <f>VLOOKUP(Tabelle7[[#This Row],[EnumName]],Enum[[IFC-Name]:[Präfix]],5,FALSE)&amp;Tabelle7[[#This Row],[EnuRohValue]]</f>
        <v>mesC_INR</v>
      </c>
      <c r="F276" s="44">
        <f>COUNTIF(Tabelle7[EnuValue],Tabelle7[[#This Row],[EnuValue]])</f>
        <v>1</v>
      </c>
      <c r="G276" s="44" t="str">
        <f xml:space="preserve"> "  " &amp; Tabelle7[[#This Row],[EnuValue]] &amp; " = " &amp; Tabelle7[[#This Row],[Wert]]</f>
        <v xml:space="preserve">  mesC_INR = 42</v>
      </c>
      <c r="H276" s="44" t="str">
        <f>"  If Wert = " &amp; Tabelle7[[#This Row],[EnuValue]] &amp; " then Res = ""." &amp; Tabelle7[[#This Row],[EnuRohValue]] &amp; "."""</f>
        <v xml:space="preserve">  If Wert = mesC_INR then Res = ".INR."</v>
      </c>
      <c r="I276" s="44" t="str">
        <f>"  If wert = ""." &amp; Tabelle7[[#This Row],[EnuRohValue]] &amp; "."" Then Res = " &amp; Tabelle7[[#This Row],[EnuValue]]</f>
        <v xml:space="preserve">  If wert = ".INR." Then Res = mesC_INR</v>
      </c>
    </row>
    <row r="277" spans="2:9" x14ac:dyDescent="0.25">
      <c r="B277" s="44">
        <v>43</v>
      </c>
      <c r="C277" s="45" t="s">
        <v>1538</v>
      </c>
      <c r="D277" s="44" t="s">
        <v>3906</v>
      </c>
      <c r="E277" s="44" t="str">
        <f>VLOOKUP(Tabelle7[[#This Row],[EnumName]],Enum[[IFC-Name]:[Präfix]],5,FALSE)&amp;Tabelle7[[#This Row],[EnuRohValue]]</f>
        <v>mesC_IRP</v>
      </c>
      <c r="F277" s="44">
        <f>COUNTIF(Tabelle7[EnuValue],Tabelle7[[#This Row],[EnuValue]])</f>
        <v>1</v>
      </c>
      <c r="G277" s="44" t="str">
        <f xml:space="preserve"> "  " &amp; Tabelle7[[#This Row],[EnuValue]] &amp; " = " &amp; Tabelle7[[#This Row],[Wert]]</f>
        <v xml:space="preserve">  mesC_IRP = 43</v>
      </c>
      <c r="H277" s="44" t="str">
        <f>"  If Wert = " &amp; Tabelle7[[#This Row],[EnuValue]] &amp; " then Res = ""." &amp; Tabelle7[[#This Row],[EnuRohValue]] &amp; "."""</f>
        <v xml:space="preserve">  If Wert = mesC_IRP then Res = ".IRP."</v>
      </c>
      <c r="I277" s="44" t="str">
        <f>"  If wert = ""." &amp; Tabelle7[[#This Row],[EnuRohValue]] &amp; "."" Then Res = " &amp; Tabelle7[[#This Row],[EnuValue]]</f>
        <v xml:space="preserve">  If wert = ".IRP." Then Res = mesC_IRP</v>
      </c>
    </row>
    <row r="278" spans="2:9" x14ac:dyDescent="0.25">
      <c r="B278" s="44">
        <v>44</v>
      </c>
      <c r="C278" s="45" t="s">
        <v>1538</v>
      </c>
      <c r="D278" s="44" t="s">
        <v>3907</v>
      </c>
      <c r="E278" s="44" t="str">
        <f>VLOOKUP(Tabelle7[[#This Row],[EnumName]],Enum[[IFC-Name]:[Präfix]],5,FALSE)&amp;Tabelle7[[#This Row],[EnuRohValue]]</f>
        <v>mesC_ITL</v>
      </c>
      <c r="F278" s="44">
        <f>COUNTIF(Tabelle7[EnuValue],Tabelle7[[#This Row],[EnuValue]])</f>
        <v>1</v>
      </c>
      <c r="G278" s="44" t="str">
        <f xml:space="preserve"> "  " &amp; Tabelle7[[#This Row],[EnuValue]] &amp; " = " &amp; Tabelle7[[#This Row],[Wert]]</f>
        <v xml:space="preserve">  mesC_ITL = 44</v>
      </c>
      <c r="H278" s="44" t="str">
        <f>"  If Wert = " &amp; Tabelle7[[#This Row],[EnuValue]] &amp; " then Res = ""." &amp; Tabelle7[[#This Row],[EnuRohValue]] &amp; "."""</f>
        <v xml:space="preserve">  If Wert = mesC_ITL then Res = ".ITL."</v>
      </c>
      <c r="I278" s="44" t="str">
        <f>"  If wert = ""." &amp; Tabelle7[[#This Row],[EnuRohValue]] &amp; "."" Then Res = " &amp; Tabelle7[[#This Row],[EnuValue]]</f>
        <v xml:space="preserve">  If wert = ".ITL." Then Res = mesC_ITL</v>
      </c>
    </row>
    <row r="279" spans="2:9" x14ac:dyDescent="0.25">
      <c r="B279" s="44">
        <v>45</v>
      </c>
      <c r="C279" s="45" t="s">
        <v>1538</v>
      </c>
      <c r="D279" s="44" t="s">
        <v>3908</v>
      </c>
      <c r="E279" s="44" t="str">
        <f>VLOOKUP(Tabelle7[[#This Row],[EnumName]],Enum[[IFC-Name]:[Präfix]],5,FALSE)&amp;Tabelle7[[#This Row],[EnuRohValue]]</f>
        <v>mesC_JMD</v>
      </c>
      <c r="F279" s="44">
        <f>COUNTIF(Tabelle7[EnuValue],Tabelle7[[#This Row],[EnuValue]])</f>
        <v>1</v>
      </c>
      <c r="G279" s="44" t="str">
        <f xml:space="preserve"> "  " &amp; Tabelle7[[#This Row],[EnuValue]] &amp; " = " &amp; Tabelle7[[#This Row],[Wert]]</f>
        <v xml:space="preserve">  mesC_JMD = 45</v>
      </c>
      <c r="H279" s="44" t="str">
        <f>"  If Wert = " &amp; Tabelle7[[#This Row],[EnuValue]] &amp; " then Res = ""." &amp; Tabelle7[[#This Row],[EnuRohValue]] &amp; "."""</f>
        <v xml:space="preserve">  If Wert = mesC_JMD then Res = ".JMD."</v>
      </c>
      <c r="I279" s="44" t="str">
        <f>"  If wert = ""." &amp; Tabelle7[[#This Row],[EnuRohValue]] &amp; "."" Then Res = " &amp; Tabelle7[[#This Row],[EnuValue]]</f>
        <v xml:space="preserve">  If wert = ".JMD." Then Res = mesC_JMD</v>
      </c>
    </row>
    <row r="280" spans="2:9" x14ac:dyDescent="0.25">
      <c r="B280" s="44">
        <v>46</v>
      </c>
      <c r="C280" s="45" t="s">
        <v>1538</v>
      </c>
      <c r="D280" s="44" t="s">
        <v>3909</v>
      </c>
      <c r="E280" s="44" t="str">
        <f>VLOOKUP(Tabelle7[[#This Row],[EnumName]],Enum[[IFC-Name]:[Präfix]],5,FALSE)&amp;Tabelle7[[#This Row],[EnuRohValue]]</f>
        <v>mesC_JOD</v>
      </c>
      <c r="F280" s="44">
        <f>COUNTIF(Tabelle7[EnuValue],Tabelle7[[#This Row],[EnuValue]])</f>
        <v>1</v>
      </c>
      <c r="G280" s="44" t="str">
        <f xml:space="preserve"> "  " &amp; Tabelle7[[#This Row],[EnuValue]] &amp; " = " &amp; Tabelle7[[#This Row],[Wert]]</f>
        <v xml:space="preserve">  mesC_JOD = 46</v>
      </c>
      <c r="H280" s="44" t="str">
        <f>"  If Wert = " &amp; Tabelle7[[#This Row],[EnuValue]] &amp; " then Res = ""." &amp; Tabelle7[[#This Row],[EnuRohValue]] &amp; "."""</f>
        <v xml:space="preserve">  If Wert = mesC_JOD then Res = ".JOD."</v>
      </c>
      <c r="I280" s="44" t="str">
        <f>"  If wert = ""." &amp; Tabelle7[[#This Row],[EnuRohValue]] &amp; "."" Then Res = " &amp; Tabelle7[[#This Row],[EnuValue]]</f>
        <v xml:space="preserve">  If wert = ".JOD." Then Res = mesC_JOD</v>
      </c>
    </row>
    <row r="281" spans="2:9" x14ac:dyDescent="0.25">
      <c r="B281" s="44">
        <v>47</v>
      </c>
      <c r="C281" s="45" t="s">
        <v>1538</v>
      </c>
      <c r="D281" s="44" t="s">
        <v>3910</v>
      </c>
      <c r="E281" s="44" t="str">
        <f>VLOOKUP(Tabelle7[[#This Row],[EnumName]],Enum[[IFC-Name]:[Präfix]],5,FALSE)&amp;Tabelle7[[#This Row],[EnuRohValue]]</f>
        <v>mesC_JPY</v>
      </c>
      <c r="F281" s="44">
        <f>COUNTIF(Tabelle7[EnuValue],Tabelle7[[#This Row],[EnuValue]])</f>
        <v>1</v>
      </c>
      <c r="G281" s="44" t="str">
        <f xml:space="preserve"> "  " &amp; Tabelle7[[#This Row],[EnuValue]] &amp; " = " &amp; Tabelle7[[#This Row],[Wert]]</f>
        <v xml:space="preserve">  mesC_JPY = 47</v>
      </c>
      <c r="H281" s="44" t="str">
        <f>"  If Wert = " &amp; Tabelle7[[#This Row],[EnuValue]] &amp; " then Res = ""." &amp; Tabelle7[[#This Row],[EnuRohValue]] &amp; "."""</f>
        <v xml:space="preserve">  If Wert = mesC_JPY then Res = ".JPY."</v>
      </c>
      <c r="I281" s="44" t="str">
        <f>"  If wert = ""." &amp; Tabelle7[[#This Row],[EnuRohValue]] &amp; "."" Then Res = " &amp; Tabelle7[[#This Row],[EnuValue]]</f>
        <v xml:space="preserve">  If wert = ".JPY." Then Res = mesC_JPY</v>
      </c>
    </row>
    <row r="282" spans="2:9" x14ac:dyDescent="0.25">
      <c r="B282" s="44">
        <v>48</v>
      </c>
      <c r="C282" s="45" t="s">
        <v>1538</v>
      </c>
      <c r="D282" s="44" t="s">
        <v>3911</v>
      </c>
      <c r="E282" s="44" t="str">
        <f>VLOOKUP(Tabelle7[[#This Row],[EnumName]],Enum[[IFC-Name]:[Präfix]],5,FALSE)&amp;Tabelle7[[#This Row],[EnuRohValue]]</f>
        <v>mesC_KES</v>
      </c>
      <c r="F282" s="44">
        <f>COUNTIF(Tabelle7[EnuValue],Tabelle7[[#This Row],[EnuValue]])</f>
        <v>1</v>
      </c>
      <c r="G282" s="44" t="str">
        <f xml:space="preserve"> "  " &amp; Tabelle7[[#This Row],[EnuValue]] &amp; " = " &amp; Tabelle7[[#This Row],[Wert]]</f>
        <v xml:space="preserve">  mesC_KES = 48</v>
      </c>
      <c r="H282" s="44" t="str">
        <f>"  If Wert = " &amp; Tabelle7[[#This Row],[EnuValue]] &amp; " then Res = ""." &amp; Tabelle7[[#This Row],[EnuRohValue]] &amp; "."""</f>
        <v xml:space="preserve">  If Wert = mesC_KES then Res = ".KES."</v>
      </c>
      <c r="I282" s="44" t="str">
        <f>"  If wert = ""." &amp; Tabelle7[[#This Row],[EnuRohValue]] &amp; "."" Then Res = " &amp; Tabelle7[[#This Row],[EnuValue]]</f>
        <v xml:space="preserve">  If wert = ".KES." Then Res = mesC_KES</v>
      </c>
    </row>
    <row r="283" spans="2:9" x14ac:dyDescent="0.25">
      <c r="B283" s="44">
        <v>49</v>
      </c>
      <c r="C283" s="45" t="s">
        <v>1538</v>
      </c>
      <c r="D283" s="44" t="s">
        <v>3912</v>
      </c>
      <c r="E283" s="44" t="str">
        <f>VLOOKUP(Tabelle7[[#This Row],[EnumName]],Enum[[IFC-Name]:[Präfix]],5,FALSE)&amp;Tabelle7[[#This Row],[EnuRohValue]]</f>
        <v>mesC_KRW</v>
      </c>
      <c r="F283" s="44">
        <f>COUNTIF(Tabelle7[EnuValue],Tabelle7[[#This Row],[EnuValue]])</f>
        <v>1</v>
      </c>
      <c r="G283" s="44" t="str">
        <f xml:space="preserve"> "  " &amp; Tabelle7[[#This Row],[EnuValue]] &amp; " = " &amp; Tabelle7[[#This Row],[Wert]]</f>
        <v xml:space="preserve">  mesC_KRW = 49</v>
      </c>
      <c r="H283" s="44" t="str">
        <f>"  If Wert = " &amp; Tabelle7[[#This Row],[EnuValue]] &amp; " then Res = ""." &amp; Tabelle7[[#This Row],[EnuRohValue]] &amp; "."""</f>
        <v xml:space="preserve">  If Wert = mesC_KRW then Res = ".KRW."</v>
      </c>
      <c r="I283" s="44" t="str">
        <f>"  If wert = ""." &amp; Tabelle7[[#This Row],[EnuRohValue]] &amp; "."" Then Res = " &amp; Tabelle7[[#This Row],[EnuValue]]</f>
        <v xml:space="preserve">  If wert = ".KRW." Then Res = mesC_KRW</v>
      </c>
    </row>
    <row r="284" spans="2:9" x14ac:dyDescent="0.25">
      <c r="B284" s="44">
        <v>50</v>
      </c>
      <c r="C284" s="45" t="s">
        <v>1538</v>
      </c>
      <c r="D284" s="44" t="s">
        <v>3913</v>
      </c>
      <c r="E284" s="44" t="str">
        <f>VLOOKUP(Tabelle7[[#This Row],[EnumName]],Enum[[IFC-Name]:[Präfix]],5,FALSE)&amp;Tabelle7[[#This Row],[EnuRohValue]]</f>
        <v>mesC_KWD</v>
      </c>
      <c r="F284" s="44">
        <f>COUNTIF(Tabelle7[EnuValue],Tabelle7[[#This Row],[EnuValue]])</f>
        <v>1</v>
      </c>
      <c r="G284" s="44" t="str">
        <f xml:space="preserve"> "  " &amp; Tabelle7[[#This Row],[EnuValue]] &amp; " = " &amp; Tabelle7[[#This Row],[Wert]]</f>
        <v xml:space="preserve">  mesC_KWD = 50</v>
      </c>
      <c r="H284" s="44" t="str">
        <f>"  If Wert = " &amp; Tabelle7[[#This Row],[EnuValue]] &amp; " then Res = ""." &amp; Tabelle7[[#This Row],[EnuRohValue]] &amp; "."""</f>
        <v xml:space="preserve">  If Wert = mesC_KWD then Res = ".KWD."</v>
      </c>
      <c r="I284" s="44" t="str">
        <f>"  If wert = ""." &amp; Tabelle7[[#This Row],[EnuRohValue]] &amp; "."" Then Res = " &amp; Tabelle7[[#This Row],[EnuValue]]</f>
        <v xml:space="preserve">  If wert = ".KWD." Then Res = mesC_KWD</v>
      </c>
    </row>
    <row r="285" spans="2:9" x14ac:dyDescent="0.25">
      <c r="B285" s="44">
        <v>51</v>
      </c>
      <c r="C285" s="45" t="s">
        <v>1538</v>
      </c>
      <c r="D285" s="44" t="s">
        <v>3914</v>
      </c>
      <c r="E285" s="44" t="str">
        <f>VLOOKUP(Tabelle7[[#This Row],[EnumName]],Enum[[IFC-Name]:[Präfix]],5,FALSE)&amp;Tabelle7[[#This Row],[EnuRohValue]]</f>
        <v>mesC_KYD</v>
      </c>
      <c r="F285" s="44">
        <f>COUNTIF(Tabelle7[EnuValue],Tabelle7[[#This Row],[EnuValue]])</f>
        <v>1</v>
      </c>
      <c r="G285" s="44" t="str">
        <f xml:space="preserve"> "  " &amp; Tabelle7[[#This Row],[EnuValue]] &amp; " = " &amp; Tabelle7[[#This Row],[Wert]]</f>
        <v xml:space="preserve">  mesC_KYD = 51</v>
      </c>
      <c r="H285" s="44" t="str">
        <f>"  If Wert = " &amp; Tabelle7[[#This Row],[EnuValue]] &amp; " then Res = ""." &amp; Tabelle7[[#This Row],[EnuRohValue]] &amp; "."""</f>
        <v xml:space="preserve">  If Wert = mesC_KYD then Res = ".KYD."</v>
      </c>
      <c r="I285" s="44" t="str">
        <f>"  If wert = ""." &amp; Tabelle7[[#This Row],[EnuRohValue]] &amp; "."" Then Res = " &amp; Tabelle7[[#This Row],[EnuValue]]</f>
        <v xml:space="preserve">  If wert = ".KYD." Then Res = mesC_KYD</v>
      </c>
    </row>
    <row r="286" spans="2:9" x14ac:dyDescent="0.25">
      <c r="B286" s="44">
        <v>52</v>
      </c>
      <c r="C286" s="45" t="s">
        <v>1538</v>
      </c>
      <c r="D286" s="44" t="s">
        <v>3915</v>
      </c>
      <c r="E286" s="44" t="str">
        <f>VLOOKUP(Tabelle7[[#This Row],[EnumName]],Enum[[IFC-Name]:[Präfix]],5,FALSE)&amp;Tabelle7[[#This Row],[EnuRohValue]]</f>
        <v>mesC_LKR</v>
      </c>
      <c r="F286" s="44">
        <f>COUNTIF(Tabelle7[EnuValue],Tabelle7[[#This Row],[EnuValue]])</f>
        <v>1</v>
      </c>
      <c r="G286" s="44" t="str">
        <f xml:space="preserve"> "  " &amp; Tabelle7[[#This Row],[EnuValue]] &amp; " = " &amp; Tabelle7[[#This Row],[Wert]]</f>
        <v xml:space="preserve">  mesC_LKR = 52</v>
      </c>
      <c r="H286" s="44" t="str">
        <f>"  If Wert = " &amp; Tabelle7[[#This Row],[EnuValue]] &amp; " then Res = ""." &amp; Tabelle7[[#This Row],[EnuRohValue]] &amp; "."""</f>
        <v xml:space="preserve">  If Wert = mesC_LKR then Res = ".LKR."</v>
      </c>
      <c r="I286" s="44" t="str">
        <f>"  If wert = ""." &amp; Tabelle7[[#This Row],[EnuRohValue]] &amp; "."" Then Res = " &amp; Tabelle7[[#This Row],[EnuValue]]</f>
        <v xml:space="preserve">  If wert = ".LKR." Then Res = mesC_LKR</v>
      </c>
    </row>
    <row r="287" spans="2:9" x14ac:dyDescent="0.25">
      <c r="B287" s="44">
        <v>53</v>
      </c>
      <c r="C287" s="45" t="s">
        <v>1538</v>
      </c>
      <c r="D287" s="44" t="s">
        <v>3916</v>
      </c>
      <c r="E287" s="44" t="str">
        <f>VLOOKUP(Tabelle7[[#This Row],[EnumName]],Enum[[IFC-Name]:[Präfix]],5,FALSE)&amp;Tabelle7[[#This Row],[EnuRohValue]]</f>
        <v>mesC_LUF</v>
      </c>
      <c r="F287" s="44">
        <f>COUNTIF(Tabelle7[EnuValue],Tabelle7[[#This Row],[EnuValue]])</f>
        <v>1</v>
      </c>
      <c r="G287" s="44" t="str">
        <f xml:space="preserve"> "  " &amp; Tabelle7[[#This Row],[EnuValue]] &amp; " = " &amp; Tabelle7[[#This Row],[Wert]]</f>
        <v xml:space="preserve">  mesC_LUF = 53</v>
      </c>
      <c r="H287" s="44" t="str">
        <f>"  If Wert = " &amp; Tabelle7[[#This Row],[EnuValue]] &amp; " then Res = ""." &amp; Tabelle7[[#This Row],[EnuRohValue]] &amp; "."""</f>
        <v xml:space="preserve">  If Wert = mesC_LUF then Res = ".LUF."</v>
      </c>
      <c r="I287" s="44" t="str">
        <f>"  If wert = ""." &amp; Tabelle7[[#This Row],[EnuRohValue]] &amp; "."" Then Res = " &amp; Tabelle7[[#This Row],[EnuValue]]</f>
        <v xml:space="preserve">  If wert = ".LUF." Then Res = mesC_LUF</v>
      </c>
    </row>
    <row r="288" spans="2:9" x14ac:dyDescent="0.25">
      <c r="B288" s="44">
        <v>54</v>
      </c>
      <c r="C288" s="45" t="s">
        <v>1538</v>
      </c>
      <c r="D288" s="44" t="s">
        <v>3917</v>
      </c>
      <c r="E288" s="44" t="str">
        <f>VLOOKUP(Tabelle7[[#This Row],[EnumName]],Enum[[IFC-Name]:[Präfix]],5,FALSE)&amp;Tabelle7[[#This Row],[EnuRohValue]]</f>
        <v>mesC_MTL</v>
      </c>
      <c r="F288" s="44">
        <f>COUNTIF(Tabelle7[EnuValue],Tabelle7[[#This Row],[EnuValue]])</f>
        <v>1</v>
      </c>
      <c r="G288" s="44" t="str">
        <f xml:space="preserve"> "  " &amp; Tabelle7[[#This Row],[EnuValue]] &amp; " = " &amp; Tabelle7[[#This Row],[Wert]]</f>
        <v xml:space="preserve">  mesC_MTL = 54</v>
      </c>
      <c r="H288" s="44" t="str">
        <f>"  If Wert = " &amp; Tabelle7[[#This Row],[EnuValue]] &amp; " then Res = ""." &amp; Tabelle7[[#This Row],[EnuRohValue]] &amp; "."""</f>
        <v xml:space="preserve">  If Wert = mesC_MTL then Res = ".MTL."</v>
      </c>
      <c r="I288" s="44" t="str">
        <f>"  If wert = ""." &amp; Tabelle7[[#This Row],[EnuRohValue]] &amp; "."" Then Res = " &amp; Tabelle7[[#This Row],[EnuValue]]</f>
        <v xml:space="preserve">  If wert = ".MTL." Then Res = mesC_MTL</v>
      </c>
    </row>
    <row r="289" spans="2:9" x14ac:dyDescent="0.25">
      <c r="B289" s="44">
        <v>55</v>
      </c>
      <c r="C289" s="45" t="s">
        <v>1538</v>
      </c>
      <c r="D289" s="44" t="s">
        <v>3918</v>
      </c>
      <c r="E289" s="44" t="str">
        <f>VLOOKUP(Tabelle7[[#This Row],[EnumName]],Enum[[IFC-Name]:[Präfix]],5,FALSE)&amp;Tabelle7[[#This Row],[EnuRohValue]]</f>
        <v>mesC_MUR</v>
      </c>
      <c r="F289" s="44">
        <f>COUNTIF(Tabelle7[EnuValue],Tabelle7[[#This Row],[EnuValue]])</f>
        <v>1</v>
      </c>
      <c r="G289" s="44" t="str">
        <f xml:space="preserve"> "  " &amp; Tabelle7[[#This Row],[EnuValue]] &amp; " = " &amp; Tabelle7[[#This Row],[Wert]]</f>
        <v xml:space="preserve">  mesC_MUR = 55</v>
      </c>
      <c r="H289" s="44" t="str">
        <f>"  If Wert = " &amp; Tabelle7[[#This Row],[EnuValue]] &amp; " then Res = ""." &amp; Tabelle7[[#This Row],[EnuRohValue]] &amp; "."""</f>
        <v xml:space="preserve">  If Wert = mesC_MUR then Res = ".MUR."</v>
      </c>
      <c r="I289" s="44" t="str">
        <f>"  If wert = ""." &amp; Tabelle7[[#This Row],[EnuRohValue]] &amp; "."" Then Res = " &amp; Tabelle7[[#This Row],[EnuValue]]</f>
        <v xml:space="preserve">  If wert = ".MUR." Then Res = mesC_MUR</v>
      </c>
    </row>
    <row r="290" spans="2:9" x14ac:dyDescent="0.25">
      <c r="B290" s="44">
        <v>56</v>
      </c>
      <c r="C290" s="45" t="s">
        <v>1538</v>
      </c>
      <c r="D290" s="44" t="s">
        <v>3919</v>
      </c>
      <c r="E290" s="44" t="str">
        <f>VLOOKUP(Tabelle7[[#This Row],[EnumName]],Enum[[IFC-Name]:[Präfix]],5,FALSE)&amp;Tabelle7[[#This Row],[EnuRohValue]]</f>
        <v>mesC_MXN</v>
      </c>
      <c r="F290" s="44">
        <f>COUNTIF(Tabelle7[EnuValue],Tabelle7[[#This Row],[EnuValue]])</f>
        <v>1</v>
      </c>
      <c r="G290" s="44" t="str">
        <f xml:space="preserve"> "  " &amp; Tabelle7[[#This Row],[EnuValue]] &amp; " = " &amp; Tabelle7[[#This Row],[Wert]]</f>
        <v xml:space="preserve">  mesC_MXN = 56</v>
      </c>
      <c r="H290" s="44" t="str">
        <f>"  If Wert = " &amp; Tabelle7[[#This Row],[EnuValue]] &amp; " then Res = ""." &amp; Tabelle7[[#This Row],[EnuRohValue]] &amp; "."""</f>
        <v xml:space="preserve">  If Wert = mesC_MXN then Res = ".MXN."</v>
      </c>
      <c r="I290" s="44" t="str">
        <f>"  If wert = ""." &amp; Tabelle7[[#This Row],[EnuRohValue]] &amp; "."" Then Res = " &amp; Tabelle7[[#This Row],[EnuValue]]</f>
        <v xml:space="preserve">  If wert = ".MXN." Then Res = mesC_MXN</v>
      </c>
    </row>
    <row r="291" spans="2:9" x14ac:dyDescent="0.25">
      <c r="B291" s="44">
        <v>57</v>
      </c>
      <c r="C291" s="45" t="s">
        <v>1538</v>
      </c>
      <c r="D291" s="44" t="s">
        <v>3920</v>
      </c>
      <c r="E291" s="44" t="str">
        <f>VLOOKUP(Tabelle7[[#This Row],[EnumName]],Enum[[IFC-Name]:[Präfix]],5,FALSE)&amp;Tabelle7[[#This Row],[EnuRohValue]]</f>
        <v>mesC_MYR</v>
      </c>
      <c r="F291" s="44">
        <f>COUNTIF(Tabelle7[EnuValue],Tabelle7[[#This Row],[EnuValue]])</f>
        <v>1</v>
      </c>
      <c r="G291" s="44" t="str">
        <f xml:space="preserve"> "  " &amp; Tabelle7[[#This Row],[EnuValue]] &amp; " = " &amp; Tabelle7[[#This Row],[Wert]]</f>
        <v xml:space="preserve">  mesC_MYR = 57</v>
      </c>
      <c r="H291" s="44" t="str">
        <f>"  If Wert = " &amp; Tabelle7[[#This Row],[EnuValue]] &amp; " then Res = ""." &amp; Tabelle7[[#This Row],[EnuRohValue]] &amp; "."""</f>
        <v xml:space="preserve">  If Wert = mesC_MYR then Res = ".MYR."</v>
      </c>
      <c r="I291" s="44" t="str">
        <f>"  If wert = ""." &amp; Tabelle7[[#This Row],[EnuRohValue]] &amp; "."" Then Res = " &amp; Tabelle7[[#This Row],[EnuValue]]</f>
        <v xml:space="preserve">  If wert = ".MYR." Then Res = mesC_MYR</v>
      </c>
    </row>
    <row r="292" spans="2:9" x14ac:dyDescent="0.25">
      <c r="B292" s="44">
        <v>58</v>
      </c>
      <c r="C292" s="45" t="s">
        <v>1538</v>
      </c>
      <c r="D292" s="44" t="s">
        <v>3921</v>
      </c>
      <c r="E292" s="44" t="str">
        <f>VLOOKUP(Tabelle7[[#This Row],[EnumName]],Enum[[IFC-Name]:[Präfix]],5,FALSE)&amp;Tabelle7[[#This Row],[EnuRohValue]]</f>
        <v>mesC_NLG</v>
      </c>
      <c r="F292" s="44">
        <f>COUNTIF(Tabelle7[EnuValue],Tabelle7[[#This Row],[EnuValue]])</f>
        <v>1</v>
      </c>
      <c r="G292" s="44" t="str">
        <f xml:space="preserve"> "  " &amp; Tabelle7[[#This Row],[EnuValue]] &amp; " = " &amp; Tabelle7[[#This Row],[Wert]]</f>
        <v xml:space="preserve">  mesC_NLG = 58</v>
      </c>
      <c r="H292" s="44" t="str">
        <f>"  If Wert = " &amp; Tabelle7[[#This Row],[EnuValue]] &amp; " then Res = ""." &amp; Tabelle7[[#This Row],[EnuRohValue]] &amp; "."""</f>
        <v xml:space="preserve">  If Wert = mesC_NLG then Res = ".NLG."</v>
      </c>
      <c r="I292" s="44" t="str">
        <f>"  If wert = ""." &amp; Tabelle7[[#This Row],[EnuRohValue]] &amp; "."" Then Res = " &amp; Tabelle7[[#This Row],[EnuValue]]</f>
        <v xml:space="preserve">  If wert = ".NLG." Then Res = mesC_NLG</v>
      </c>
    </row>
    <row r="293" spans="2:9" x14ac:dyDescent="0.25">
      <c r="B293" s="44">
        <v>59</v>
      </c>
      <c r="C293" s="45" t="s">
        <v>1538</v>
      </c>
      <c r="D293" s="44" t="s">
        <v>3922</v>
      </c>
      <c r="E293" s="44" t="str">
        <f>VLOOKUP(Tabelle7[[#This Row],[EnumName]],Enum[[IFC-Name]:[Präfix]],5,FALSE)&amp;Tabelle7[[#This Row],[EnuRohValue]]</f>
        <v>mesC_NZD</v>
      </c>
      <c r="F293" s="44">
        <f>COUNTIF(Tabelle7[EnuValue],Tabelle7[[#This Row],[EnuValue]])</f>
        <v>1</v>
      </c>
      <c r="G293" s="44" t="str">
        <f xml:space="preserve"> "  " &amp; Tabelle7[[#This Row],[EnuValue]] &amp; " = " &amp; Tabelle7[[#This Row],[Wert]]</f>
        <v xml:space="preserve">  mesC_NZD = 59</v>
      </c>
      <c r="H293" s="44" t="str">
        <f>"  If Wert = " &amp; Tabelle7[[#This Row],[EnuValue]] &amp; " then Res = ""." &amp; Tabelle7[[#This Row],[EnuRohValue]] &amp; "."""</f>
        <v xml:space="preserve">  If Wert = mesC_NZD then Res = ".NZD."</v>
      </c>
      <c r="I293" s="44" t="str">
        <f>"  If wert = ""." &amp; Tabelle7[[#This Row],[EnuRohValue]] &amp; "."" Then Res = " &amp; Tabelle7[[#This Row],[EnuValue]]</f>
        <v xml:space="preserve">  If wert = ".NZD." Then Res = mesC_NZD</v>
      </c>
    </row>
    <row r="294" spans="2:9" x14ac:dyDescent="0.25">
      <c r="B294" s="44">
        <v>60</v>
      </c>
      <c r="C294" s="45" t="s">
        <v>1538</v>
      </c>
      <c r="D294" s="44" t="s">
        <v>3923</v>
      </c>
      <c r="E294" s="44" t="str">
        <f>VLOOKUP(Tabelle7[[#This Row],[EnumName]],Enum[[IFC-Name]:[Präfix]],5,FALSE)&amp;Tabelle7[[#This Row],[EnuRohValue]]</f>
        <v>mesC_OMR</v>
      </c>
      <c r="F294" s="44">
        <f>COUNTIF(Tabelle7[EnuValue],Tabelle7[[#This Row],[EnuValue]])</f>
        <v>1</v>
      </c>
      <c r="G294" s="44" t="str">
        <f xml:space="preserve"> "  " &amp; Tabelle7[[#This Row],[EnuValue]] &amp; " = " &amp; Tabelle7[[#This Row],[Wert]]</f>
        <v xml:space="preserve">  mesC_OMR = 60</v>
      </c>
      <c r="H294" s="44" t="str">
        <f>"  If Wert = " &amp; Tabelle7[[#This Row],[EnuValue]] &amp; " then Res = ""." &amp; Tabelle7[[#This Row],[EnuRohValue]] &amp; "."""</f>
        <v xml:space="preserve">  If Wert = mesC_OMR then Res = ".OMR."</v>
      </c>
      <c r="I294" s="44" t="str">
        <f>"  If wert = ""." &amp; Tabelle7[[#This Row],[EnuRohValue]] &amp; "."" Then Res = " &amp; Tabelle7[[#This Row],[EnuValue]]</f>
        <v xml:space="preserve">  If wert = ".OMR." Then Res = mesC_OMR</v>
      </c>
    </row>
    <row r="295" spans="2:9" x14ac:dyDescent="0.25">
      <c r="B295" s="44">
        <v>61</v>
      </c>
      <c r="C295" s="45" t="s">
        <v>1538</v>
      </c>
      <c r="D295" s="44" t="s">
        <v>3924</v>
      </c>
      <c r="E295" s="44" t="str">
        <f>VLOOKUP(Tabelle7[[#This Row],[EnumName]],Enum[[IFC-Name]:[Präfix]],5,FALSE)&amp;Tabelle7[[#This Row],[EnuRohValue]]</f>
        <v>mesC_PGK</v>
      </c>
      <c r="F295" s="44">
        <f>COUNTIF(Tabelle7[EnuValue],Tabelle7[[#This Row],[EnuValue]])</f>
        <v>1</v>
      </c>
      <c r="G295" s="44" t="str">
        <f xml:space="preserve"> "  " &amp; Tabelle7[[#This Row],[EnuValue]] &amp; " = " &amp; Tabelle7[[#This Row],[Wert]]</f>
        <v xml:space="preserve">  mesC_PGK = 61</v>
      </c>
      <c r="H295" s="44" t="str">
        <f>"  If Wert = " &amp; Tabelle7[[#This Row],[EnuValue]] &amp; " then Res = ""." &amp; Tabelle7[[#This Row],[EnuRohValue]] &amp; "."""</f>
        <v xml:space="preserve">  If Wert = mesC_PGK then Res = ".PGK."</v>
      </c>
      <c r="I295" s="44" t="str">
        <f>"  If wert = ""." &amp; Tabelle7[[#This Row],[EnuRohValue]] &amp; "."" Then Res = " &amp; Tabelle7[[#This Row],[EnuValue]]</f>
        <v xml:space="preserve">  If wert = ".PGK." Then Res = mesC_PGK</v>
      </c>
    </row>
    <row r="296" spans="2:9" x14ac:dyDescent="0.25">
      <c r="B296" s="44">
        <v>62</v>
      </c>
      <c r="C296" s="45" t="s">
        <v>1538</v>
      </c>
      <c r="D296" s="44" t="s">
        <v>3925</v>
      </c>
      <c r="E296" s="44" t="str">
        <f>VLOOKUP(Tabelle7[[#This Row],[EnumName]],Enum[[IFC-Name]:[Präfix]],5,FALSE)&amp;Tabelle7[[#This Row],[EnuRohValue]]</f>
        <v>mesC_PHP</v>
      </c>
      <c r="F296" s="44">
        <f>COUNTIF(Tabelle7[EnuValue],Tabelle7[[#This Row],[EnuValue]])</f>
        <v>1</v>
      </c>
      <c r="G296" s="44" t="str">
        <f xml:space="preserve"> "  " &amp; Tabelle7[[#This Row],[EnuValue]] &amp; " = " &amp; Tabelle7[[#This Row],[Wert]]</f>
        <v xml:space="preserve">  mesC_PHP = 62</v>
      </c>
      <c r="H296" s="44" t="str">
        <f>"  If Wert = " &amp; Tabelle7[[#This Row],[EnuValue]] &amp; " then Res = ""." &amp; Tabelle7[[#This Row],[EnuRohValue]] &amp; "."""</f>
        <v xml:space="preserve">  If Wert = mesC_PHP then Res = ".PHP."</v>
      </c>
      <c r="I296" s="44" t="str">
        <f>"  If wert = ""." &amp; Tabelle7[[#This Row],[EnuRohValue]] &amp; "."" Then Res = " &amp; Tabelle7[[#This Row],[EnuValue]]</f>
        <v xml:space="preserve">  If wert = ".PHP." Then Res = mesC_PHP</v>
      </c>
    </row>
    <row r="297" spans="2:9" x14ac:dyDescent="0.25">
      <c r="B297" s="44">
        <v>63</v>
      </c>
      <c r="C297" s="45" t="s">
        <v>1538</v>
      </c>
      <c r="D297" s="44" t="s">
        <v>3926</v>
      </c>
      <c r="E297" s="44" t="str">
        <f>VLOOKUP(Tabelle7[[#This Row],[EnumName]],Enum[[IFC-Name]:[Präfix]],5,FALSE)&amp;Tabelle7[[#This Row],[EnuRohValue]]</f>
        <v>mesC_PKR</v>
      </c>
      <c r="F297" s="44">
        <f>COUNTIF(Tabelle7[EnuValue],Tabelle7[[#This Row],[EnuValue]])</f>
        <v>1</v>
      </c>
      <c r="G297" s="44" t="str">
        <f xml:space="preserve"> "  " &amp; Tabelle7[[#This Row],[EnuValue]] &amp; " = " &amp; Tabelle7[[#This Row],[Wert]]</f>
        <v xml:space="preserve">  mesC_PKR = 63</v>
      </c>
      <c r="H297" s="44" t="str">
        <f>"  If Wert = " &amp; Tabelle7[[#This Row],[EnuValue]] &amp; " then Res = ""." &amp; Tabelle7[[#This Row],[EnuRohValue]] &amp; "."""</f>
        <v xml:space="preserve">  If Wert = mesC_PKR then Res = ".PKR."</v>
      </c>
      <c r="I297" s="44" t="str">
        <f>"  If wert = ""." &amp; Tabelle7[[#This Row],[EnuRohValue]] &amp; "."" Then Res = " &amp; Tabelle7[[#This Row],[EnuValue]]</f>
        <v xml:space="preserve">  If wert = ".PKR." Then Res = mesC_PKR</v>
      </c>
    </row>
    <row r="298" spans="2:9" x14ac:dyDescent="0.25">
      <c r="B298" s="44">
        <v>64</v>
      </c>
      <c r="C298" s="45" t="s">
        <v>1538</v>
      </c>
      <c r="D298" s="44" t="s">
        <v>3927</v>
      </c>
      <c r="E298" s="44" t="str">
        <f>VLOOKUP(Tabelle7[[#This Row],[EnumName]],Enum[[IFC-Name]:[Präfix]],5,FALSE)&amp;Tabelle7[[#This Row],[EnuRohValue]]</f>
        <v>mesC_PLN</v>
      </c>
      <c r="F298" s="44">
        <f>COUNTIF(Tabelle7[EnuValue],Tabelle7[[#This Row],[EnuValue]])</f>
        <v>1</v>
      </c>
      <c r="G298" s="44" t="str">
        <f xml:space="preserve"> "  " &amp; Tabelle7[[#This Row],[EnuValue]] &amp; " = " &amp; Tabelle7[[#This Row],[Wert]]</f>
        <v xml:space="preserve">  mesC_PLN = 64</v>
      </c>
      <c r="H298" s="44" t="str">
        <f>"  If Wert = " &amp; Tabelle7[[#This Row],[EnuValue]] &amp; " then Res = ""." &amp; Tabelle7[[#This Row],[EnuRohValue]] &amp; "."""</f>
        <v xml:space="preserve">  If Wert = mesC_PLN then Res = ".PLN."</v>
      </c>
      <c r="I298" s="44" t="str">
        <f>"  If wert = ""." &amp; Tabelle7[[#This Row],[EnuRohValue]] &amp; "."" Then Res = " &amp; Tabelle7[[#This Row],[EnuValue]]</f>
        <v xml:space="preserve">  If wert = ".PLN." Then Res = mesC_PLN</v>
      </c>
    </row>
    <row r="299" spans="2:9" x14ac:dyDescent="0.25">
      <c r="B299" s="44">
        <v>65</v>
      </c>
      <c r="C299" s="45" t="s">
        <v>1538</v>
      </c>
      <c r="D299" s="44" t="s">
        <v>3928</v>
      </c>
      <c r="E299" s="44" t="str">
        <f>VLOOKUP(Tabelle7[[#This Row],[EnumName]],Enum[[IFC-Name]:[Präfix]],5,FALSE)&amp;Tabelle7[[#This Row],[EnuRohValue]]</f>
        <v>mesC_PTN</v>
      </c>
      <c r="F299" s="44">
        <f>COUNTIF(Tabelle7[EnuValue],Tabelle7[[#This Row],[EnuValue]])</f>
        <v>1</v>
      </c>
      <c r="G299" s="44" t="str">
        <f xml:space="preserve"> "  " &amp; Tabelle7[[#This Row],[EnuValue]] &amp; " = " &amp; Tabelle7[[#This Row],[Wert]]</f>
        <v xml:space="preserve">  mesC_PTN = 65</v>
      </c>
      <c r="H299" s="44" t="str">
        <f>"  If Wert = " &amp; Tabelle7[[#This Row],[EnuValue]] &amp; " then Res = ""." &amp; Tabelle7[[#This Row],[EnuRohValue]] &amp; "."""</f>
        <v xml:space="preserve">  If Wert = mesC_PTN then Res = ".PTN."</v>
      </c>
      <c r="I299" s="44" t="str">
        <f>"  If wert = ""." &amp; Tabelle7[[#This Row],[EnuRohValue]] &amp; "."" Then Res = " &amp; Tabelle7[[#This Row],[EnuValue]]</f>
        <v xml:space="preserve">  If wert = ".PTN." Then Res = mesC_PTN</v>
      </c>
    </row>
    <row r="300" spans="2:9" x14ac:dyDescent="0.25">
      <c r="B300" s="44">
        <v>66</v>
      </c>
      <c r="C300" s="45" t="s">
        <v>1538</v>
      </c>
      <c r="D300" s="44" t="s">
        <v>3929</v>
      </c>
      <c r="E300" s="44" t="str">
        <f>VLOOKUP(Tabelle7[[#This Row],[EnumName]],Enum[[IFC-Name]:[Präfix]],5,FALSE)&amp;Tabelle7[[#This Row],[EnuRohValue]]</f>
        <v>mesC_QAR</v>
      </c>
      <c r="F300" s="44">
        <f>COUNTIF(Tabelle7[EnuValue],Tabelle7[[#This Row],[EnuValue]])</f>
        <v>1</v>
      </c>
      <c r="G300" s="44" t="str">
        <f xml:space="preserve"> "  " &amp; Tabelle7[[#This Row],[EnuValue]] &amp; " = " &amp; Tabelle7[[#This Row],[Wert]]</f>
        <v xml:space="preserve">  mesC_QAR = 66</v>
      </c>
      <c r="H300" s="44" t="str">
        <f>"  If Wert = " &amp; Tabelle7[[#This Row],[EnuValue]] &amp; " then Res = ""." &amp; Tabelle7[[#This Row],[EnuRohValue]] &amp; "."""</f>
        <v xml:space="preserve">  If Wert = mesC_QAR then Res = ".QAR."</v>
      </c>
      <c r="I300" s="44" t="str">
        <f>"  If wert = ""." &amp; Tabelle7[[#This Row],[EnuRohValue]] &amp; "."" Then Res = " &amp; Tabelle7[[#This Row],[EnuValue]]</f>
        <v xml:space="preserve">  If wert = ".QAR." Then Res = mesC_QAR</v>
      </c>
    </row>
    <row r="301" spans="2:9" x14ac:dyDescent="0.25">
      <c r="B301" s="44">
        <v>67</v>
      </c>
      <c r="C301" s="45" t="s">
        <v>1538</v>
      </c>
      <c r="D301" s="44" t="s">
        <v>3930</v>
      </c>
      <c r="E301" s="44" t="str">
        <f>VLOOKUP(Tabelle7[[#This Row],[EnumName]],Enum[[IFC-Name]:[Präfix]],5,FALSE)&amp;Tabelle7[[#This Row],[EnuRohValue]]</f>
        <v>mesC_RUR</v>
      </c>
      <c r="F301" s="44">
        <f>COUNTIF(Tabelle7[EnuValue],Tabelle7[[#This Row],[EnuValue]])</f>
        <v>1</v>
      </c>
      <c r="G301" s="44" t="str">
        <f xml:space="preserve"> "  " &amp; Tabelle7[[#This Row],[EnuValue]] &amp; " = " &amp; Tabelle7[[#This Row],[Wert]]</f>
        <v xml:space="preserve">  mesC_RUR = 67</v>
      </c>
      <c r="H301" s="44" t="str">
        <f>"  If Wert = " &amp; Tabelle7[[#This Row],[EnuValue]] &amp; " then Res = ""." &amp; Tabelle7[[#This Row],[EnuRohValue]] &amp; "."""</f>
        <v xml:space="preserve">  If Wert = mesC_RUR then Res = ".RUR."</v>
      </c>
      <c r="I301" s="44" t="str">
        <f>"  If wert = ""." &amp; Tabelle7[[#This Row],[EnuRohValue]] &amp; "."" Then Res = " &amp; Tabelle7[[#This Row],[EnuValue]]</f>
        <v xml:space="preserve">  If wert = ".RUR." Then Res = mesC_RUR</v>
      </c>
    </row>
    <row r="302" spans="2:9" x14ac:dyDescent="0.25">
      <c r="B302" s="44">
        <v>68</v>
      </c>
      <c r="C302" s="45" t="s">
        <v>1538</v>
      </c>
      <c r="D302" s="44" t="s">
        <v>3931</v>
      </c>
      <c r="E302" s="44" t="str">
        <f>VLOOKUP(Tabelle7[[#This Row],[EnumName]],Enum[[IFC-Name]:[Präfix]],5,FALSE)&amp;Tabelle7[[#This Row],[EnuRohValue]]</f>
        <v>mesC_SAR</v>
      </c>
      <c r="F302" s="44">
        <f>COUNTIF(Tabelle7[EnuValue],Tabelle7[[#This Row],[EnuValue]])</f>
        <v>1</v>
      </c>
      <c r="G302" s="44" t="str">
        <f xml:space="preserve"> "  " &amp; Tabelle7[[#This Row],[EnuValue]] &amp; " = " &amp; Tabelle7[[#This Row],[Wert]]</f>
        <v xml:space="preserve">  mesC_SAR = 68</v>
      </c>
      <c r="H302" s="44" t="str">
        <f>"  If Wert = " &amp; Tabelle7[[#This Row],[EnuValue]] &amp; " then Res = ""." &amp; Tabelle7[[#This Row],[EnuRohValue]] &amp; "."""</f>
        <v xml:space="preserve">  If Wert = mesC_SAR then Res = ".SAR."</v>
      </c>
      <c r="I302" s="44" t="str">
        <f>"  If wert = ""." &amp; Tabelle7[[#This Row],[EnuRohValue]] &amp; "."" Then Res = " &amp; Tabelle7[[#This Row],[EnuValue]]</f>
        <v xml:space="preserve">  If wert = ".SAR." Then Res = mesC_SAR</v>
      </c>
    </row>
    <row r="303" spans="2:9" x14ac:dyDescent="0.25">
      <c r="B303" s="44">
        <v>69</v>
      </c>
      <c r="C303" s="45" t="s">
        <v>1538</v>
      </c>
      <c r="D303" s="44" t="s">
        <v>3932</v>
      </c>
      <c r="E303" s="44" t="str">
        <f>VLOOKUP(Tabelle7[[#This Row],[EnumName]],Enum[[IFC-Name]:[Präfix]],5,FALSE)&amp;Tabelle7[[#This Row],[EnuRohValue]]</f>
        <v>mesC_SCR</v>
      </c>
      <c r="F303" s="44">
        <f>COUNTIF(Tabelle7[EnuValue],Tabelle7[[#This Row],[EnuValue]])</f>
        <v>1</v>
      </c>
      <c r="G303" s="44" t="str">
        <f xml:space="preserve"> "  " &amp; Tabelle7[[#This Row],[EnuValue]] &amp; " = " &amp; Tabelle7[[#This Row],[Wert]]</f>
        <v xml:space="preserve">  mesC_SCR = 69</v>
      </c>
      <c r="H303" s="44" t="str">
        <f>"  If Wert = " &amp; Tabelle7[[#This Row],[EnuValue]] &amp; " then Res = ""." &amp; Tabelle7[[#This Row],[EnuRohValue]] &amp; "."""</f>
        <v xml:space="preserve">  If Wert = mesC_SCR then Res = ".SCR."</v>
      </c>
      <c r="I303" s="44" t="str">
        <f>"  If wert = ""." &amp; Tabelle7[[#This Row],[EnuRohValue]] &amp; "."" Then Res = " &amp; Tabelle7[[#This Row],[EnuValue]]</f>
        <v xml:space="preserve">  If wert = ".SCR." Then Res = mesC_SCR</v>
      </c>
    </row>
    <row r="304" spans="2:9" x14ac:dyDescent="0.25">
      <c r="B304" s="44">
        <v>70</v>
      </c>
      <c r="C304" s="45" t="s">
        <v>1538</v>
      </c>
      <c r="D304" s="44" t="s">
        <v>3933</v>
      </c>
      <c r="E304" s="44" t="str">
        <f>VLOOKUP(Tabelle7[[#This Row],[EnumName]],Enum[[IFC-Name]:[Präfix]],5,FALSE)&amp;Tabelle7[[#This Row],[EnuRohValue]]</f>
        <v>mesC_SEK</v>
      </c>
      <c r="F304" s="44">
        <f>COUNTIF(Tabelle7[EnuValue],Tabelle7[[#This Row],[EnuValue]])</f>
        <v>1</v>
      </c>
      <c r="G304" s="44" t="str">
        <f xml:space="preserve"> "  " &amp; Tabelle7[[#This Row],[EnuValue]] &amp; " = " &amp; Tabelle7[[#This Row],[Wert]]</f>
        <v xml:space="preserve">  mesC_SEK = 70</v>
      </c>
      <c r="H304" s="44" t="str">
        <f>"  If Wert = " &amp; Tabelle7[[#This Row],[EnuValue]] &amp; " then Res = ""." &amp; Tabelle7[[#This Row],[EnuRohValue]] &amp; "."""</f>
        <v xml:space="preserve">  If Wert = mesC_SEK then Res = ".SEK."</v>
      </c>
      <c r="I304" s="44" t="str">
        <f>"  If wert = ""." &amp; Tabelle7[[#This Row],[EnuRohValue]] &amp; "."" Then Res = " &amp; Tabelle7[[#This Row],[EnuValue]]</f>
        <v xml:space="preserve">  If wert = ".SEK." Then Res = mesC_SEK</v>
      </c>
    </row>
    <row r="305" spans="2:9" x14ac:dyDescent="0.25">
      <c r="B305" s="44">
        <v>71</v>
      </c>
      <c r="C305" s="45" t="s">
        <v>1538</v>
      </c>
      <c r="D305" s="44" t="s">
        <v>3934</v>
      </c>
      <c r="E305" s="44" t="str">
        <f>VLOOKUP(Tabelle7[[#This Row],[EnumName]],Enum[[IFC-Name]:[Präfix]],5,FALSE)&amp;Tabelle7[[#This Row],[EnuRohValue]]</f>
        <v>mesC_SGD</v>
      </c>
      <c r="F305" s="44">
        <f>COUNTIF(Tabelle7[EnuValue],Tabelle7[[#This Row],[EnuValue]])</f>
        <v>1</v>
      </c>
      <c r="G305" s="44" t="str">
        <f xml:space="preserve"> "  " &amp; Tabelle7[[#This Row],[EnuValue]] &amp; " = " &amp; Tabelle7[[#This Row],[Wert]]</f>
        <v xml:space="preserve">  mesC_SGD = 71</v>
      </c>
      <c r="H305" s="44" t="str">
        <f>"  If Wert = " &amp; Tabelle7[[#This Row],[EnuValue]] &amp; " then Res = ""." &amp; Tabelle7[[#This Row],[EnuRohValue]] &amp; "."""</f>
        <v xml:space="preserve">  If Wert = mesC_SGD then Res = ".SGD."</v>
      </c>
      <c r="I305" s="44" t="str">
        <f>"  If wert = ""." &amp; Tabelle7[[#This Row],[EnuRohValue]] &amp; "."" Then Res = " &amp; Tabelle7[[#This Row],[EnuValue]]</f>
        <v xml:space="preserve">  If wert = ".SGD." Then Res = mesC_SGD</v>
      </c>
    </row>
    <row r="306" spans="2:9" x14ac:dyDescent="0.25">
      <c r="B306" s="44">
        <v>72</v>
      </c>
      <c r="C306" s="45" t="s">
        <v>1538</v>
      </c>
      <c r="D306" s="44" t="s">
        <v>3935</v>
      </c>
      <c r="E306" s="44" t="str">
        <f>VLOOKUP(Tabelle7[[#This Row],[EnumName]],Enum[[IFC-Name]:[Präfix]],5,FALSE)&amp;Tabelle7[[#This Row],[EnuRohValue]]</f>
        <v>mesC_SKP</v>
      </c>
      <c r="F306" s="44">
        <f>COUNTIF(Tabelle7[EnuValue],Tabelle7[[#This Row],[EnuValue]])</f>
        <v>1</v>
      </c>
      <c r="G306" s="44" t="str">
        <f xml:space="preserve"> "  " &amp; Tabelle7[[#This Row],[EnuValue]] &amp; " = " &amp; Tabelle7[[#This Row],[Wert]]</f>
        <v xml:space="preserve">  mesC_SKP = 72</v>
      </c>
      <c r="H306" s="44" t="str">
        <f>"  If Wert = " &amp; Tabelle7[[#This Row],[EnuValue]] &amp; " then Res = ""." &amp; Tabelle7[[#This Row],[EnuRohValue]] &amp; "."""</f>
        <v xml:space="preserve">  If Wert = mesC_SKP then Res = ".SKP."</v>
      </c>
      <c r="I306" s="44" t="str">
        <f>"  If wert = ""." &amp; Tabelle7[[#This Row],[EnuRohValue]] &amp; "."" Then Res = " &amp; Tabelle7[[#This Row],[EnuValue]]</f>
        <v xml:space="preserve">  If wert = ".SKP." Then Res = mesC_SKP</v>
      </c>
    </row>
    <row r="307" spans="2:9" x14ac:dyDescent="0.25">
      <c r="B307" s="44">
        <v>73</v>
      </c>
      <c r="C307" s="45" t="s">
        <v>1538</v>
      </c>
      <c r="D307" s="44" t="s">
        <v>3936</v>
      </c>
      <c r="E307" s="44" t="str">
        <f>VLOOKUP(Tabelle7[[#This Row],[EnumName]],Enum[[IFC-Name]:[Präfix]],5,FALSE)&amp;Tabelle7[[#This Row],[EnuRohValue]]</f>
        <v>mesC_THB</v>
      </c>
      <c r="F307" s="44">
        <f>COUNTIF(Tabelle7[EnuValue],Tabelle7[[#This Row],[EnuValue]])</f>
        <v>1</v>
      </c>
      <c r="G307" s="44" t="str">
        <f xml:space="preserve"> "  " &amp; Tabelle7[[#This Row],[EnuValue]] &amp; " = " &amp; Tabelle7[[#This Row],[Wert]]</f>
        <v xml:space="preserve">  mesC_THB = 73</v>
      </c>
      <c r="H307" s="44" t="str">
        <f>"  If Wert = " &amp; Tabelle7[[#This Row],[EnuValue]] &amp; " then Res = ""." &amp; Tabelle7[[#This Row],[EnuRohValue]] &amp; "."""</f>
        <v xml:space="preserve">  If Wert = mesC_THB then Res = ".THB."</v>
      </c>
      <c r="I307" s="44" t="str">
        <f>"  If wert = ""." &amp; Tabelle7[[#This Row],[EnuRohValue]] &amp; "."" Then Res = " &amp; Tabelle7[[#This Row],[EnuValue]]</f>
        <v xml:space="preserve">  If wert = ".THB." Then Res = mesC_THB</v>
      </c>
    </row>
    <row r="308" spans="2:9" x14ac:dyDescent="0.25">
      <c r="B308" s="44">
        <v>74</v>
      </c>
      <c r="C308" s="45" t="s">
        <v>1538</v>
      </c>
      <c r="D308" s="44" t="s">
        <v>3937</v>
      </c>
      <c r="E308" s="44" t="str">
        <f>VLOOKUP(Tabelle7[[#This Row],[EnumName]],Enum[[IFC-Name]:[Präfix]],5,FALSE)&amp;Tabelle7[[#This Row],[EnuRohValue]]</f>
        <v>mesC_TRL</v>
      </c>
      <c r="F308" s="44">
        <f>COUNTIF(Tabelle7[EnuValue],Tabelle7[[#This Row],[EnuValue]])</f>
        <v>1</v>
      </c>
      <c r="G308" s="44" t="str">
        <f xml:space="preserve"> "  " &amp; Tabelle7[[#This Row],[EnuValue]] &amp; " = " &amp; Tabelle7[[#This Row],[Wert]]</f>
        <v xml:space="preserve">  mesC_TRL = 74</v>
      </c>
      <c r="H308" s="44" t="str">
        <f>"  If Wert = " &amp; Tabelle7[[#This Row],[EnuValue]] &amp; " then Res = ""." &amp; Tabelle7[[#This Row],[EnuRohValue]] &amp; "."""</f>
        <v xml:space="preserve">  If Wert = mesC_TRL then Res = ".TRL."</v>
      </c>
      <c r="I308" s="44" t="str">
        <f>"  If wert = ""." &amp; Tabelle7[[#This Row],[EnuRohValue]] &amp; "."" Then Res = " &amp; Tabelle7[[#This Row],[EnuValue]]</f>
        <v xml:space="preserve">  If wert = ".TRL." Then Res = mesC_TRL</v>
      </c>
    </row>
    <row r="309" spans="2:9" x14ac:dyDescent="0.25">
      <c r="B309" s="44">
        <v>75</v>
      </c>
      <c r="C309" s="45" t="s">
        <v>1538</v>
      </c>
      <c r="D309" s="44" t="s">
        <v>3938</v>
      </c>
      <c r="E309" s="44" t="str">
        <f>VLOOKUP(Tabelle7[[#This Row],[EnumName]],Enum[[IFC-Name]:[Präfix]],5,FALSE)&amp;Tabelle7[[#This Row],[EnuRohValue]]</f>
        <v>mesC_TTD</v>
      </c>
      <c r="F309" s="44">
        <f>COUNTIF(Tabelle7[EnuValue],Tabelle7[[#This Row],[EnuValue]])</f>
        <v>1</v>
      </c>
      <c r="G309" s="44" t="str">
        <f xml:space="preserve"> "  " &amp; Tabelle7[[#This Row],[EnuValue]] &amp; " = " &amp; Tabelle7[[#This Row],[Wert]]</f>
        <v xml:space="preserve">  mesC_TTD = 75</v>
      </c>
      <c r="H309" s="44" t="str">
        <f>"  If Wert = " &amp; Tabelle7[[#This Row],[EnuValue]] &amp; " then Res = ""." &amp; Tabelle7[[#This Row],[EnuRohValue]] &amp; "."""</f>
        <v xml:space="preserve">  If Wert = mesC_TTD then Res = ".TTD."</v>
      </c>
      <c r="I309" s="44" t="str">
        <f>"  If wert = ""." &amp; Tabelle7[[#This Row],[EnuRohValue]] &amp; "."" Then Res = " &amp; Tabelle7[[#This Row],[EnuValue]]</f>
        <v xml:space="preserve">  If wert = ".TTD." Then Res = mesC_TTD</v>
      </c>
    </row>
    <row r="310" spans="2:9" x14ac:dyDescent="0.25">
      <c r="B310" s="44">
        <v>76</v>
      </c>
      <c r="C310" s="45" t="s">
        <v>1538</v>
      </c>
      <c r="D310" s="44" t="s">
        <v>3939</v>
      </c>
      <c r="E310" s="44" t="str">
        <f>VLOOKUP(Tabelle7[[#This Row],[EnumName]],Enum[[IFC-Name]:[Präfix]],5,FALSE)&amp;Tabelle7[[#This Row],[EnuRohValue]]</f>
        <v>mesC_TWD</v>
      </c>
      <c r="F310" s="44">
        <f>COUNTIF(Tabelle7[EnuValue],Tabelle7[[#This Row],[EnuValue]])</f>
        <v>1</v>
      </c>
      <c r="G310" s="44" t="str">
        <f xml:space="preserve"> "  " &amp; Tabelle7[[#This Row],[EnuValue]] &amp; " = " &amp; Tabelle7[[#This Row],[Wert]]</f>
        <v xml:space="preserve">  mesC_TWD = 76</v>
      </c>
      <c r="H310" s="44" t="str">
        <f>"  If Wert = " &amp; Tabelle7[[#This Row],[EnuValue]] &amp; " then Res = ""." &amp; Tabelle7[[#This Row],[EnuRohValue]] &amp; "."""</f>
        <v xml:space="preserve">  If Wert = mesC_TWD then Res = ".TWD."</v>
      </c>
      <c r="I310" s="44" t="str">
        <f>"  If wert = ""." &amp; Tabelle7[[#This Row],[EnuRohValue]] &amp; "."" Then Res = " &amp; Tabelle7[[#This Row],[EnuValue]]</f>
        <v xml:space="preserve">  If wert = ".TWD." Then Res = mesC_TWD</v>
      </c>
    </row>
    <row r="311" spans="2:9" x14ac:dyDescent="0.25">
      <c r="B311" s="44">
        <v>77</v>
      </c>
      <c r="C311" s="45" t="s">
        <v>1538</v>
      </c>
      <c r="D311" s="44" t="s">
        <v>3940</v>
      </c>
      <c r="E311" s="44" t="str">
        <f>VLOOKUP(Tabelle7[[#This Row],[EnumName]],Enum[[IFC-Name]:[Präfix]],5,FALSE)&amp;Tabelle7[[#This Row],[EnuRohValue]]</f>
        <v>mesC_USD</v>
      </c>
      <c r="F311" s="44">
        <f>COUNTIF(Tabelle7[EnuValue],Tabelle7[[#This Row],[EnuValue]])</f>
        <v>1</v>
      </c>
      <c r="G311" s="44" t="str">
        <f xml:space="preserve"> "  " &amp; Tabelle7[[#This Row],[EnuValue]] &amp; " = " &amp; Tabelle7[[#This Row],[Wert]]</f>
        <v xml:space="preserve">  mesC_USD = 77</v>
      </c>
      <c r="H311" s="44" t="str">
        <f>"  If Wert = " &amp; Tabelle7[[#This Row],[EnuValue]] &amp; " then Res = ""." &amp; Tabelle7[[#This Row],[EnuRohValue]] &amp; "."""</f>
        <v xml:space="preserve">  If Wert = mesC_USD then Res = ".USD."</v>
      </c>
      <c r="I311" s="44" t="str">
        <f>"  If wert = ""." &amp; Tabelle7[[#This Row],[EnuRohValue]] &amp; "."" Then Res = " &amp; Tabelle7[[#This Row],[EnuValue]]</f>
        <v xml:space="preserve">  If wert = ".USD." Then Res = mesC_USD</v>
      </c>
    </row>
    <row r="312" spans="2:9" x14ac:dyDescent="0.25">
      <c r="B312" s="44">
        <v>78</v>
      </c>
      <c r="C312" s="45" t="s">
        <v>1538</v>
      </c>
      <c r="D312" s="44" t="s">
        <v>3941</v>
      </c>
      <c r="E312" s="44" t="str">
        <f>VLOOKUP(Tabelle7[[#This Row],[EnumName]],Enum[[IFC-Name]:[Präfix]],5,FALSE)&amp;Tabelle7[[#This Row],[EnuRohValue]]</f>
        <v>mesC_VEB</v>
      </c>
      <c r="F312" s="44">
        <f>COUNTIF(Tabelle7[EnuValue],Tabelle7[[#This Row],[EnuValue]])</f>
        <v>1</v>
      </c>
      <c r="G312" s="44" t="str">
        <f xml:space="preserve"> "  " &amp; Tabelle7[[#This Row],[EnuValue]] &amp; " = " &amp; Tabelle7[[#This Row],[Wert]]</f>
        <v xml:space="preserve">  mesC_VEB = 78</v>
      </c>
      <c r="H312" s="44" t="str">
        <f>"  If Wert = " &amp; Tabelle7[[#This Row],[EnuValue]] &amp; " then Res = ""." &amp; Tabelle7[[#This Row],[EnuRohValue]] &amp; "."""</f>
        <v xml:space="preserve">  If Wert = mesC_VEB then Res = ".VEB."</v>
      </c>
      <c r="I312" s="44" t="str">
        <f>"  If wert = ""." &amp; Tabelle7[[#This Row],[EnuRohValue]] &amp; "."" Then Res = " &amp; Tabelle7[[#This Row],[EnuValue]]</f>
        <v xml:space="preserve">  If wert = ".VEB." Then Res = mesC_VEB</v>
      </c>
    </row>
    <row r="313" spans="2:9" x14ac:dyDescent="0.25">
      <c r="B313" s="44">
        <v>79</v>
      </c>
      <c r="C313" s="45" t="s">
        <v>1538</v>
      </c>
      <c r="D313" s="44" t="s">
        <v>3942</v>
      </c>
      <c r="E313" s="44" t="str">
        <f>VLOOKUP(Tabelle7[[#This Row],[EnumName]],Enum[[IFC-Name]:[Präfix]],5,FALSE)&amp;Tabelle7[[#This Row],[EnuRohValue]]</f>
        <v>mesC_VND</v>
      </c>
      <c r="F313" s="44">
        <f>COUNTIF(Tabelle7[EnuValue],Tabelle7[[#This Row],[EnuValue]])</f>
        <v>1</v>
      </c>
      <c r="G313" s="44" t="str">
        <f xml:space="preserve"> "  " &amp; Tabelle7[[#This Row],[EnuValue]] &amp; " = " &amp; Tabelle7[[#This Row],[Wert]]</f>
        <v xml:space="preserve">  mesC_VND = 79</v>
      </c>
      <c r="H313" s="44" t="str">
        <f>"  If Wert = " &amp; Tabelle7[[#This Row],[EnuValue]] &amp; " then Res = ""." &amp; Tabelle7[[#This Row],[EnuRohValue]] &amp; "."""</f>
        <v xml:space="preserve">  If Wert = mesC_VND then Res = ".VND."</v>
      </c>
      <c r="I313" s="44" t="str">
        <f>"  If wert = ""." &amp; Tabelle7[[#This Row],[EnuRohValue]] &amp; "."" Then Res = " &amp; Tabelle7[[#This Row],[EnuValue]]</f>
        <v xml:space="preserve">  If wert = ".VND." Then Res = mesC_VND</v>
      </c>
    </row>
    <row r="314" spans="2:9" x14ac:dyDescent="0.25">
      <c r="B314" s="44">
        <v>80</v>
      </c>
      <c r="C314" s="45" t="s">
        <v>1538</v>
      </c>
      <c r="D314" s="44" t="s">
        <v>3943</v>
      </c>
      <c r="E314" s="44" t="str">
        <f>VLOOKUP(Tabelle7[[#This Row],[EnumName]],Enum[[IFC-Name]:[Präfix]],5,FALSE)&amp;Tabelle7[[#This Row],[EnuRohValue]]</f>
        <v>mesC_XEU</v>
      </c>
      <c r="F314" s="44">
        <f>COUNTIF(Tabelle7[EnuValue],Tabelle7[[#This Row],[EnuValue]])</f>
        <v>1</v>
      </c>
      <c r="G314" s="44" t="str">
        <f xml:space="preserve"> "  " &amp; Tabelle7[[#This Row],[EnuValue]] &amp; " = " &amp; Tabelle7[[#This Row],[Wert]]</f>
        <v xml:space="preserve">  mesC_XEU = 80</v>
      </c>
      <c r="H314" s="44" t="str">
        <f>"  If Wert = " &amp; Tabelle7[[#This Row],[EnuValue]] &amp; " then Res = ""." &amp; Tabelle7[[#This Row],[EnuRohValue]] &amp; "."""</f>
        <v xml:space="preserve">  If Wert = mesC_XEU then Res = ".XEU."</v>
      </c>
      <c r="I314" s="44" t="str">
        <f>"  If wert = ""." &amp; Tabelle7[[#This Row],[EnuRohValue]] &amp; "."" Then Res = " &amp; Tabelle7[[#This Row],[EnuValue]]</f>
        <v xml:space="preserve">  If wert = ".XEU." Then Res = mesC_XEU</v>
      </c>
    </row>
    <row r="315" spans="2:9" x14ac:dyDescent="0.25">
      <c r="B315" s="44">
        <v>81</v>
      </c>
      <c r="C315" s="45" t="s">
        <v>1538</v>
      </c>
      <c r="D315" s="44" t="s">
        <v>3944</v>
      </c>
      <c r="E315" s="44" t="str">
        <f>VLOOKUP(Tabelle7[[#This Row],[EnumName]],Enum[[IFC-Name]:[Präfix]],5,FALSE)&amp;Tabelle7[[#This Row],[EnuRohValue]]</f>
        <v>mesC_ZAR</v>
      </c>
      <c r="F315" s="44">
        <f>COUNTIF(Tabelle7[EnuValue],Tabelle7[[#This Row],[EnuValue]])</f>
        <v>1</v>
      </c>
      <c r="G315" s="44" t="str">
        <f xml:space="preserve"> "  " &amp; Tabelle7[[#This Row],[EnuValue]] &amp; " = " &amp; Tabelle7[[#This Row],[Wert]]</f>
        <v xml:space="preserve">  mesC_ZAR = 81</v>
      </c>
      <c r="H315" s="44" t="str">
        <f>"  If Wert = " &amp; Tabelle7[[#This Row],[EnuValue]] &amp; " then Res = ""." &amp; Tabelle7[[#This Row],[EnuRohValue]] &amp; "."""</f>
        <v xml:space="preserve">  If Wert = mesC_ZAR then Res = ".ZAR."</v>
      </c>
      <c r="I315" s="44" t="str">
        <f>"  If wert = ""." &amp; Tabelle7[[#This Row],[EnuRohValue]] &amp; "."" Then Res = " &amp; Tabelle7[[#This Row],[EnuValue]]</f>
        <v xml:space="preserve">  If wert = ".ZAR." Then Res = mesC_ZAR</v>
      </c>
    </row>
    <row r="316" spans="2:9" x14ac:dyDescent="0.25">
      <c r="B316" s="44">
        <v>82</v>
      </c>
      <c r="C316" s="45" t="s">
        <v>1538</v>
      </c>
      <c r="D316" s="44" t="s">
        <v>3945</v>
      </c>
      <c r="E316" s="44" t="str">
        <f>VLOOKUP(Tabelle7[[#This Row],[EnumName]],Enum[[IFC-Name]:[Präfix]],5,FALSE)&amp;Tabelle7[[#This Row],[EnuRohValue]]</f>
        <v>mesC_ZWD</v>
      </c>
      <c r="F316" s="44">
        <f>COUNTIF(Tabelle7[EnuValue],Tabelle7[[#This Row],[EnuValue]])</f>
        <v>1</v>
      </c>
      <c r="G316" s="44" t="str">
        <f xml:space="preserve"> "  " &amp; Tabelle7[[#This Row],[EnuValue]] &amp; " = " &amp; Tabelle7[[#This Row],[Wert]]</f>
        <v xml:space="preserve">  mesC_ZWD = 82</v>
      </c>
      <c r="H316" s="44" t="str">
        <f>"  If Wert = " &amp; Tabelle7[[#This Row],[EnuValue]] &amp; " then Res = ""." &amp; Tabelle7[[#This Row],[EnuRohValue]] &amp; "."""</f>
        <v xml:space="preserve">  If Wert = mesC_ZWD then Res = ".ZWD."</v>
      </c>
      <c r="I316" s="44" t="str">
        <f>"  If wert = ""." &amp; Tabelle7[[#This Row],[EnuRohValue]] &amp; "."" Then Res = " &amp; Tabelle7[[#This Row],[EnuValue]]</f>
        <v xml:space="preserve">  If wert = ".ZWD." Then Res = mesC_ZWD</v>
      </c>
    </row>
    <row r="317" spans="2:9" x14ac:dyDescent="0.25">
      <c r="B317" s="44">
        <v>83</v>
      </c>
      <c r="C317" s="45" t="s">
        <v>1538</v>
      </c>
      <c r="D317" s="44" t="s">
        <v>3946</v>
      </c>
      <c r="E317" s="44" t="str">
        <f>VLOOKUP(Tabelle7[[#This Row],[EnumName]],Enum[[IFC-Name]:[Präfix]],5,FALSE)&amp;Tabelle7[[#This Row],[EnuRohValue]]</f>
        <v>mesC_NOK</v>
      </c>
      <c r="F317" s="44">
        <f>COUNTIF(Tabelle7[EnuValue],Tabelle7[[#This Row],[EnuValue]])</f>
        <v>1</v>
      </c>
      <c r="G317" s="44" t="str">
        <f xml:space="preserve"> "  " &amp; Tabelle7[[#This Row],[EnuValue]] &amp; " = " &amp; Tabelle7[[#This Row],[Wert]]</f>
        <v xml:space="preserve">  mesC_NOK = 83</v>
      </c>
      <c r="H317" s="44" t="str">
        <f>"  If Wert = " &amp; Tabelle7[[#This Row],[EnuValue]] &amp; " then Res = ""." &amp; Tabelle7[[#This Row],[EnuRohValue]] &amp; "."""</f>
        <v xml:space="preserve">  If Wert = mesC_NOK then Res = ".NOK."</v>
      </c>
      <c r="I317" s="44" t="str">
        <f>"  If wert = ""." &amp; Tabelle7[[#This Row],[EnuRohValue]] &amp; "."" Then Res = " &amp; Tabelle7[[#This Row],[EnuValue]]</f>
        <v xml:space="preserve">  If wert = ".NOK." Then Res = mesC_NOK</v>
      </c>
    </row>
    <row r="318" spans="2:9" x14ac:dyDescent="0.25">
      <c r="B318" s="44">
        <v>1</v>
      </c>
      <c r="C318" s="45" t="s">
        <v>1539</v>
      </c>
      <c r="D318" s="44" t="s">
        <v>3682</v>
      </c>
      <c r="E318" s="44" t="str">
        <f>VLOOKUP(Tabelle7[[#This Row],[EnumName]],Enum[[IFC-Name]:[Präfix]],5,FALSE)&amp;Tabelle7[[#This Row],[EnuRohValue]]</f>
        <v>sbeCWT_USERDEFINED</v>
      </c>
      <c r="F318" s="44">
        <f>COUNTIF(Tabelle7[EnuValue],Tabelle7[[#This Row],[EnuValue]])</f>
        <v>1</v>
      </c>
      <c r="G318" s="44" t="str">
        <f xml:space="preserve"> "  " &amp; Tabelle7[[#This Row],[EnuValue]] &amp; " = " &amp; Tabelle7[[#This Row],[Wert]]</f>
        <v xml:space="preserve">  sbeCWT_USERDEFINED = 1</v>
      </c>
      <c r="H318" s="44" t="str">
        <f>"  If Wert = " &amp; Tabelle7[[#This Row],[EnuValue]] &amp; " then Res = ""." &amp; Tabelle7[[#This Row],[EnuRohValue]] &amp; "."""</f>
        <v xml:space="preserve">  If Wert = sbeCWT_USERDEFINED then Res = ".USERDEFINED."</v>
      </c>
      <c r="I318" s="44" t="str">
        <f>"  If wert = ""." &amp; Tabelle7[[#This Row],[EnuRohValue]] &amp; "."" Then Res = " &amp; Tabelle7[[#This Row],[EnuValue]]</f>
        <v xml:space="preserve">  If wert = ".USERDEFINED." Then Res = sbeCWT_USERDEFINED</v>
      </c>
    </row>
    <row r="319" spans="2:9" x14ac:dyDescent="0.25">
      <c r="B319" s="44">
        <v>2</v>
      </c>
      <c r="C319" s="45" t="s">
        <v>1539</v>
      </c>
      <c r="D319" s="44" t="s">
        <v>3683</v>
      </c>
      <c r="E319" s="44" t="str">
        <f>VLOOKUP(Tabelle7[[#This Row],[EnumName]],Enum[[IFC-Name]:[Präfix]],5,FALSE)&amp;Tabelle7[[#This Row],[EnuRohValue]]</f>
        <v>sbeCWT_NOTDEFINED</v>
      </c>
      <c r="F319" s="44">
        <f>COUNTIF(Tabelle7[EnuValue],Tabelle7[[#This Row],[EnuValue]])</f>
        <v>1</v>
      </c>
      <c r="G319" s="44" t="str">
        <f xml:space="preserve"> "  " &amp; Tabelle7[[#This Row],[EnuValue]] &amp; " = " &amp; Tabelle7[[#This Row],[Wert]]</f>
        <v xml:space="preserve">  sbeCWT_NOTDEFINED = 2</v>
      </c>
      <c r="H319" s="44" t="str">
        <f>"  If Wert = " &amp; Tabelle7[[#This Row],[EnuValue]] &amp; " then Res = ""." &amp; Tabelle7[[#This Row],[EnuRohValue]] &amp; "."""</f>
        <v xml:space="preserve">  If Wert = sbeCWT_NOTDEFINED then Res = ".NOTDEFINED."</v>
      </c>
      <c r="I319" s="44" t="str">
        <f>"  If wert = ""." &amp; Tabelle7[[#This Row],[EnuRohValue]] &amp; "."" Then Res = " &amp; Tabelle7[[#This Row],[EnuValue]]</f>
        <v xml:space="preserve">  If wert = ".NOTDEFINED." Then Res = sbeCWT_NOTDEFINED</v>
      </c>
    </row>
    <row r="320" spans="2:9" x14ac:dyDescent="0.25">
      <c r="B320" s="44">
        <v>1</v>
      </c>
      <c r="C320" s="45" t="s">
        <v>1540</v>
      </c>
      <c r="D320" s="44" t="s">
        <v>3947</v>
      </c>
      <c r="E320" s="44" t="str">
        <f>VLOOKUP(Tabelle7[[#This Row],[EnumName]],Enum[[IFC-Name]:[Präfix]],5,FALSE)&amp;Tabelle7[[#This Row],[EnuRohValue]]</f>
        <v>hvacDT_CONTROLDAMPER</v>
      </c>
      <c r="F320" s="44">
        <f>COUNTIF(Tabelle7[EnuValue],Tabelle7[[#This Row],[EnuValue]])</f>
        <v>1</v>
      </c>
      <c r="G320" s="44" t="str">
        <f xml:space="preserve"> "  " &amp; Tabelle7[[#This Row],[EnuValue]] &amp; " = " &amp; Tabelle7[[#This Row],[Wert]]</f>
        <v xml:space="preserve">  hvacDT_CONTROLDAMPER = 1</v>
      </c>
      <c r="H320" s="44" t="str">
        <f>"  If Wert = " &amp; Tabelle7[[#This Row],[EnuValue]] &amp; " then Res = ""." &amp; Tabelle7[[#This Row],[EnuRohValue]] &amp; "."""</f>
        <v xml:space="preserve">  If Wert = hvacDT_CONTROLDAMPER then Res = ".CONTROLDAMPER."</v>
      </c>
      <c r="I320" s="44" t="str">
        <f>"  If wert = ""." &amp; Tabelle7[[#This Row],[EnuRohValue]] &amp; "."" Then Res = " &amp; Tabelle7[[#This Row],[EnuValue]]</f>
        <v xml:space="preserve">  If wert = ".CONTROLDAMPER." Then Res = hvacDT_CONTROLDAMPER</v>
      </c>
    </row>
    <row r="321" spans="2:9" x14ac:dyDescent="0.25">
      <c r="B321" s="44">
        <v>2</v>
      </c>
      <c r="C321" s="45" t="s">
        <v>1540</v>
      </c>
      <c r="D321" s="44" t="s">
        <v>3948</v>
      </c>
      <c r="E321" s="44" t="str">
        <f>VLOOKUP(Tabelle7[[#This Row],[EnumName]],Enum[[IFC-Name]:[Präfix]],5,FALSE)&amp;Tabelle7[[#This Row],[EnuRohValue]]</f>
        <v>hvacDT_FIREDAMPER</v>
      </c>
      <c r="F321" s="44">
        <f>COUNTIF(Tabelle7[EnuValue],Tabelle7[[#This Row],[EnuValue]])</f>
        <v>1</v>
      </c>
      <c r="G321" s="44" t="str">
        <f xml:space="preserve"> "  " &amp; Tabelle7[[#This Row],[EnuValue]] &amp; " = " &amp; Tabelle7[[#This Row],[Wert]]</f>
        <v xml:space="preserve">  hvacDT_FIREDAMPER = 2</v>
      </c>
      <c r="H321" s="44" t="str">
        <f>"  If Wert = " &amp; Tabelle7[[#This Row],[EnuValue]] &amp; " then Res = ""." &amp; Tabelle7[[#This Row],[EnuRohValue]] &amp; "."""</f>
        <v xml:space="preserve">  If Wert = hvacDT_FIREDAMPER then Res = ".FIREDAMPER."</v>
      </c>
      <c r="I321" s="44" t="str">
        <f>"  If wert = ""." &amp; Tabelle7[[#This Row],[EnuRohValue]] &amp; "."" Then Res = " &amp; Tabelle7[[#This Row],[EnuValue]]</f>
        <v xml:space="preserve">  If wert = ".FIREDAMPER." Then Res = hvacDT_FIREDAMPER</v>
      </c>
    </row>
    <row r="322" spans="2:9" x14ac:dyDescent="0.25">
      <c r="B322" s="44">
        <v>3</v>
      </c>
      <c r="C322" s="45" t="s">
        <v>1540</v>
      </c>
      <c r="D322" s="44" t="s">
        <v>3949</v>
      </c>
      <c r="E322" s="44" t="str">
        <f>VLOOKUP(Tabelle7[[#This Row],[EnumName]],Enum[[IFC-Name]:[Präfix]],5,FALSE)&amp;Tabelle7[[#This Row],[EnuRohValue]]</f>
        <v>hvacDT_SMOKEDAMPER</v>
      </c>
      <c r="F322" s="44">
        <f>COUNTIF(Tabelle7[EnuValue],Tabelle7[[#This Row],[EnuValue]])</f>
        <v>1</v>
      </c>
      <c r="G322" s="44" t="str">
        <f xml:space="preserve"> "  " &amp; Tabelle7[[#This Row],[EnuValue]] &amp; " = " &amp; Tabelle7[[#This Row],[Wert]]</f>
        <v xml:space="preserve">  hvacDT_SMOKEDAMPER = 3</v>
      </c>
      <c r="H322" s="44" t="str">
        <f>"  If Wert = " &amp; Tabelle7[[#This Row],[EnuValue]] &amp; " then Res = ""." &amp; Tabelle7[[#This Row],[EnuRohValue]] &amp; "."""</f>
        <v xml:space="preserve">  If Wert = hvacDT_SMOKEDAMPER then Res = ".SMOKEDAMPER."</v>
      </c>
      <c r="I322" s="44" t="str">
        <f>"  If wert = ""." &amp; Tabelle7[[#This Row],[EnuRohValue]] &amp; "."" Then Res = " &amp; Tabelle7[[#This Row],[EnuValue]]</f>
        <v xml:space="preserve">  If wert = ".SMOKEDAMPER." Then Res = hvacDT_SMOKEDAMPER</v>
      </c>
    </row>
    <row r="323" spans="2:9" x14ac:dyDescent="0.25">
      <c r="B323" s="44">
        <v>4</v>
      </c>
      <c r="C323" s="45" t="s">
        <v>1540</v>
      </c>
      <c r="D323" s="44" t="s">
        <v>3950</v>
      </c>
      <c r="E323" s="44" t="str">
        <f>VLOOKUP(Tabelle7[[#This Row],[EnumName]],Enum[[IFC-Name]:[Präfix]],5,FALSE)&amp;Tabelle7[[#This Row],[EnuRohValue]]</f>
        <v>hvacDT_FIRESMOKEDAMPER</v>
      </c>
      <c r="F323" s="44">
        <f>COUNTIF(Tabelle7[EnuValue],Tabelle7[[#This Row],[EnuValue]])</f>
        <v>1</v>
      </c>
      <c r="G323" s="44" t="str">
        <f xml:space="preserve"> "  " &amp; Tabelle7[[#This Row],[EnuValue]] &amp; " = " &amp; Tabelle7[[#This Row],[Wert]]</f>
        <v xml:space="preserve">  hvacDT_FIRESMOKEDAMPER = 4</v>
      </c>
      <c r="H323" s="44" t="str">
        <f>"  If Wert = " &amp; Tabelle7[[#This Row],[EnuValue]] &amp; " then Res = ""." &amp; Tabelle7[[#This Row],[EnuRohValue]] &amp; "."""</f>
        <v xml:space="preserve">  If Wert = hvacDT_FIRESMOKEDAMPER then Res = ".FIRESMOKEDAMPER."</v>
      </c>
      <c r="I323" s="44" t="str">
        <f>"  If wert = ""." &amp; Tabelle7[[#This Row],[EnuRohValue]] &amp; "."" Then Res = " &amp; Tabelle7[[#This Row],[EnuValue]]</f>
        <v xml:space="preserve">  If wert = ".FIRESMOKEDAMPER." Then Res = hvacDT_FIRESMOKEDAMPER</v>
      </c>
    </row>
    <row r="324" spans="2:9" x14ac:dyDescent="0.25">
      <c r="B324" s="44">
        <v>5</v>
      </c>
      <c r="C324" s="45" t="s">
        <v>1540</v>
      </c>
      <c r="D324" s="44" t="s">
        <v>3951</v>
      </c>
      <c r="E324" s="44" t="str">
        <f>VLOOKUP(Tabelle7[[#This Row],[EnumName]],Enum[[IFC-Name]:[Präfix]],5,FALSE)&amp;Tabelle7[[#This Row],[EnuRohValue]]</f>
        <v>hvacDT_BACKDRAFTDAMPER</v>
      </c>
      <c r="F324" s="44">
        <f>COUNTIF(Tabelle7[EnuValue],Tabelle7[[#This Row],[EnuValue]])</f>
        <v>1</v>
      </c>
      <c r="G324" s="44" t="str">
        <f xml:space="preserve"> "  " &amp; Tabelle7[[#This Row],[EnuValue]] &amp; " = " &amp; Tabelle7[[#This Row],[Wert]]</f>
        <v xml:space="preserve">  hvacDT_BACKDRAFTDAMPER = 5</v>
      </c>
      <c r="H324" s="44" t="str">
        <f>"  If Wert = " &amp; Tabelle7[[#This Row],[EnuValue]] &amp; " then Res = ""." &amp; Tabelle7[[#This Row],[EnuRohValue]] &amp; "."""</f>
        <v xml:space="preserve">  If Wert = hvacDT_BACKDRAFTDAMPER then Res = ".BACKDRAFTDAMPER."</v>
      </c>
      <c r="I324" s="44" t="str">
        <f>"  If wert = ""." &amp; Tabelle7[[#This Row],[EnuRohValue]] &amp; "."" Then Res = " &amp; Tabelle7[[#This Row],[EnuValue]]</f>
        <v xml:space="preserve">  If wert = ".BACKDRAFTDAMPER." Then Res = hvacDT_BACKDRAFTDAMPER</v>
      </c>
    </row>
    <row r="325" spans="2:9" x14ac:dyDescent="0.25">
      <c r="B325" s="44">
        <v>6</v>
      </c>
      <c r="C325" s="45" t="s">
        <v>1540</v>
      </c>
      <c r="D325" s="44" t="s">
        <v>3952</v>
      </c>
      <c r="E325" s="44" t="str">
        <f>VLOOKUP(Tabelle7[[#This Row],[EnumName]],Enum[[IFC-Name]:[Präfix]],5,FALSE)&amp;Tabelle7[[#This Row],[EnuRohValue]]</f>
        <v>hvacDT_RELIEFDAMPER</v>
      </c>
      <c r="F325" s="44">
        <f>COUNTIF(Tabelle7[EnuValue],Tabelle7[[#This Row],[EnuValue]])</f>
        <v>1</v>
      </c>
      <c r="G325" s="44" t="str">
        <f xml:space="preserve"> "  " &amp; Tabelle7[[#This Row],[EnuValue]] &amp; " = " &amp; Tabelle7[[#This Row],[Wert]]</f>
        <v xml:space="preserve">  hvacDT_RELIEFDAMPER = 6</v>
      </c>
      <c r="H325" s="44" t="str">
        <f>"  If Wert = " &amp; Tabelle7[[#This Row],[EnuValue]] &amp; " then Res = ""." &amp; Tabelle7[[#This Row],[EnuRohValue]] &amp; "."""</f>
        <v xml:space="preserve">  If Wert = hvacDT_RELIEFDAMPER then Res = ".RELIEFDAMPER."</v>
      </c>
      <c r="I325" s="44" t="str">
        <f>"  If wert = ""." &amp; Tabelle7[[#This Row],[EnuRohValue]] &amp; "."" Then Res = " &amp; Tabelle7[[#This Row],[EnuValue]]</f>
        <v xml:space="preserve">  If wert = ".RELIEFDAMPER." Then Res = hvacDT_RELIEFDAMPER</v>
      </c>
    </row>
    <row r="326" spans="2:9" x14ac:dyDescent="0.25">
      <c r="B326" s="44">
        <v>7</v>
      </c>
      <c r="C326" s="45" t="s">
        <v>1540</v>
      </c>
      <c r="D326" s="44" t="s">
        <v>3953</v>
      </c>
      <c r="E326" s="44" t="str">
        <f>VLOOKUP(Tabelle7[[#This Row],[EnumName]],Enum[[IFC-Name]:[Präfix]],5,FALSE)&amp;Tabelle7[[#This Row],[EnuRohValue]]</f>
        <v>hvacDT_BLASTDAMPER</v>
      </c>
      <c r="F326" s="44">
        <f>COUNTIF(Tabelle7[EnuValue],Tabelle7[[#This Row],[EnuValue]])</f>
        <v>1</v>
      </c>
      <c r="G326" s="44" t="str">
        <f xml:space="preserve"> "  " &amp; Tabelle7[[#This Row],[EnuValue]] &amp; " = " &amp; Tabelle7[[#This Row],[Wert]]</f>
        <v xml:space="preserve">  hvacDT_BLASTDAMPER = 7</v>
      </c>
      <c r="H326" s="44" t="str">
        <f>"  If Wert = " &amp; Tabelle7[[#This Row],[EnuValue]] &amp; " then Res = ""." &amp; Tabelle7[[#This Row],[EnuRohValue]] &amp; "."""</f>
        <v xml:space="preserve">  If Wert = hvacDT_BLASTDAMPER then Res = ".BLASTDAMPER."</v>
      </c>
      <c r="I326" s="44" t="str">
        <f>"  If wert = ""." &amp; Tabelle7[[#This Row],[EnuRohValue]] &amp; "."" Then Res = " &amp; Tabelle7[[#This Row],[EnuValue]]</f>
        <v xml:space="preserve">  If wert = ".BLASTDAMPER." Then Res = hvacDT_BLASTDAMPER</v>
      </c>
    </row>
    <row r="327" spans="2:9" x14ac:dyDescent="0.25">
      <c r="B327" s="44">
        <v>8</v>
      </c>
      <c r="C327" s="45" t="s">
        <v>1540</v>
      </c>
      <c r="D327" s="44" t="s">
        <v>3954</v>
      </c>
      <c r="E327" s="44" t="str">
        <f>VLOOKUP(Tabelle7[[#This Row],[EnumName]],Enum[[IFC-Name]:[Präfix]],5,FALSE)&amp;Tabelle7[[#This Row],[EnuRohValue]]</f>
        <v>hvacDT_GRAVITYDAMPER</v>
      </c>
      <c r="F327" s="44">
        <f>COUNTIF(Tabelle7[EnuValue],Tabelle7[[#This Row],[EnuValue]])</f>
        <v>1</v>
      </c>
      <c r="G327" s="44" t="str">
        <f xml:space="preserve"> "  " &amp; Tabelle7[[#This Row],[EnuValue]] &amp; " = " &amp; Tabelle7[[#This Row],[Wert]]</f>
        <v xml:space="preserve">  hvacDT_GRAVITYDAMPER = 8</v>
      </c>
      <c r="H327" s="44" t="str">
        <f>"  If Wert = " &amp; Tabelle7[[#This Row],[EnuValue]] &amp; " then Res = ""." &amp; Tabelle7[[#This Row],[EnuRohValue]] &amp; "."""</f>
        <v xml:space="preserve">  If Wert = hvacDT_GRAVITYDAMPER then Res = ".GRAVITYDAMPER."</v>
      </c>
      <c r="I327" s="44" t="str">
        <f>"  If wert = ""." &amp; Tabelle7[[#This Row],[EnuRohValue]] &amp; "."" Then Res = " &amp; Tabelle7[[#This Row],[EnuValue]]</f>
        <v xml:space="preserve">  If wert = ".GRAVITYDAMPER." Then Res = hvacDT_GRAVITYDAMPER</v>
      </c>
    </row>
    <row r="328" spans="2:9" x14ac:dyDescent="0.25">
      <c r="B328" s="44">
        <v>9</v>
      </c>
      <c r="C328" s="45" t="s">
        <v>1540</v>
      </c>
      <c r="D328" s="44" t="s">
        <v>3955</v>
      </c>
      <c r="E328" s="44" t="str">
        <f>VLOOKUP(Tabelle7[[#This Row],[EnumName]],Enum[[IFC-Name]:[Präfix]],5,FALSE)&amp;Tabelle7[[#This Row],[EnuRohValue]]</f>
        <v>hvacDT_GRAVITYRELIEFDAMPER</v>
      </c>
      <c r="F328" s="44">
        <f>COUNTIF(Tabelle7[EnuValue],Tabelle7[[#This Row],[EnuValue]])</f>
        <v>1</v>
      </c>
      <c r="G328" s="44" t="str">
        <f xml:space="preserve"> "  " &amp; Tabelle7[[#This Row],[EnuValue]] &amp; " = " &amp; Tabelle7[[#This Row],[Wert]]</f>
        <v xml:space="preserve">  hvacDT_GRAVITYRELIEFDAMPER = 9</v>
      </c>
      <c r="H328" s="44" t="str">
        <f>"  If Wert = " &amp; Tabelle7[[#This Row],[EnuValue]] &amp; " then Res = ""." &amp; Tabelle7[[#This Row],[EnuRohValue]] &amp; "."""</f>
        <v xml:space="preserve">  If Wert = hvacDT_GRAVITYRELIEFDAMPER then Res = ".GRAVITYRELIEFDAMPER."</v>
      </c>
      <c r="I328" s="44" t="str">
        <f>"  If wert = ""." &amp; Tabelle7[[#This Row],[EnuRohValue]] &amp; "."" Then Res = " &amp; Tabelle7[[#This Row],[EnuValue]]</f>
        <v xml:space="preserve">  If wert = ".GRAVITYRELIEFDAMPER." Then Res = hvacDT_GRAVITYRELIEFDAMPER</v>
      </c>
    </row>
    <row r="329" spans="2:9" x14ac:dyDescent="0.25">
      <c r="B329" s="44">
        <v>10</v>
      </c>
      <c r="C329" s="45" t="s">
        <v>1540</v>
      </c>
      <c r="D329" s="44" t="s">
        <v>3956</v>
      </c>
      <c r="E329" s="44" t="str">
        <f>VLOOKUP(Tabelle7[[#This Row],[EnumName]],Enum[[IFC-Name]:[Präfix]],5,FALSE)&amp;Tabelle7[[#This Row],[EnuRohValue]]</f>
        <v>hvacDT_BALANCINGDAMPER</v>
      </c>
      <c r="F329" s="44">
        <f>COUNTIF(Tabelle7[EnuValue],Tabelle7[[#This Row],[EnuValue]])</f>
        <v>1</v>
      </c>
      <c r="G329" s="44" t="str">
        <f xml:space="preserve"> "  " &amp; Tabelle7[[#This Row],[EnuValue]] &amp; " = " &amp; Tabelle7[[#This Row],[Wert]]</f>
        <v xml:space="preserve">  hvacDT_BALANCINGDAMPER = 10</v>
      </c>
      <c r="H329" s="44" t="str">
        <f>"  If Wert = " &amp; Tabelle7[[#This Row],[EnuValue]] &amp; " then Res = ""." &amp; Tabelle7[[#This Row],[EnuRohValue]] &amp; "."""</f>
        <v xml:space="preserve">  If Wert = hvacDT_BALANCINGDAMPER then Res = ".BALANCINGDAMPER."</v>
      </c>
      <c r="I329" s="44" t="str">
        <f>"  If wert = ""." &amp; Tabelle7[[#This Row],[EnuRohValue]] &amp; "."" Then Res = " &amp; Tabelle7[[#This Row],[EnuValue]]</f>
        <v xml:space="preserve">  If wert = ".BALANCINGDAMPER." Then Res = hvacDT_BALANCINGDAMPER</v>
      </c>
    </row>
    <row r="330" spans="2:9" x14ac:dyDescent="0.25">
      <c r="B330" s="44">
        <v>11</v>
      </c>
      <c r="C330" s="45" t="s">
        <v>1540</v>
      </c>
      <c r="D330" s="44" t="s">
        <v>3957</v>
      </c>
      <c r="E330" s="44" t="str">
        <f>VLOOKUP(Tabelle7[[#This Row],[EnumName]],Enum[[IFC-Name]:[Präfix]],5,FALSE)&amp;Tabelle7[[#This Row],[EnuRohValue]]</f>
        <v>hvacDT_FUMEHOODEXHAUST</v>
      </c>
      <c r="F330" s="44">
        <f>COUNTIF(Tabelle7[EnuValue],Tabelle7[[#This Row],[EnuValue]])</f>
        <v>1</v>
      </c>
      <c r="G330" s="44" t="str">
        <f xml:space="preserve"> "  " &amp; Tabelle7[[#This Row],[EnuValue]] &amp; " = " &amp; Tabelle7[[#This Row],[Wert]]</f>
        <v xml:space="preserve">  hvacDT_FUMEHOODEXHAUST = 11</v>
      </c>
      <c r="H330" s="44" t="str">
        <f>"  If Wert = " &amp; Tabelle7[[#This Row],[EnuValue]] &amp; " then Res = ""." &amp; Tabelle7[[#This Row],[EnuRohValue]] &amp; "."""</f>
        <v xml:space="preserve">  If Wert = hvacDT_FUMEHOODEXHAUST then Res = ".FUMEHOODEXHAUST."</v>
      </c>
      <c r="I330" s="44" t="str">
        <f>"  If wert = ""." &amp; Tabelle7[[#This Row],[EnuRohValue]] &amp; "."" Then Res = " &amp; Tabelle7[[#This Row],[EnuValue]]</f>
        <v xml:space="preserve">  If wert = ".FUMEHOODEXHAUST." Then Res = hvacDT_FUMEHOODEXHAUST</v>
      </c>
    </row>
    <row r="331" spans="2:9" x14ac:dyDescent="0.25">
      <c r="B331" s="44">
        <v>12</v>
      </c>
      <c r="C331" s="45" t="s">
        <v>1540</v>
      </c>
      <c r="D331" s="44" t="s">
        <v>3682</v>
      </c>
      <c r="E331" s="44" t="str">
        <f>VLOOKUP(Tabelle7[[#This Row],[EnumName]],Enum[[IFC-Name]:[Präfix]],5,FALSE)&amp;Tabelle7[[#This Row],[EnuRohValue]]</f>
        <v>hvacDT_USERDEFINED</v>
      </c>
      <c r="F331" s="44">
        <f>COUNTIF(Tabelle7[EnuValue],Tabelle7[[#This Row],[EnuValue]])</f>
        <v>1</v>
      </c>
      <c r="G331" s="44" t="str">
        <f xml:space="preserve"> "  " &amp; Tabelle7[[#This Row],[EnuValue]] &amp; " = " &amp; Tabelle7[[#This Row],[Wert]]</f>
        <v xml:space="preserve">  hvacDT_USERDEFINED = 12</v>
      </c>
      <c r="H331" s="44" t="str">
        <f>"  If Wert = " &amp; Tabelle7[[#This Row],[EnuValue]] &amp; " then Res = ""." &amp; Tabelle7[[#This Row],[EnuRohValue]] &amp; "."""</f>
        <v xml:space="preserve">  If Wert = hvacDT_USERDEFINED then Res = ".USERDEFINED."</v>
      </c>
      <c r="I331" s="44" t="str">
        <f>"  If wert = ""." &amp; Tabelle7[[#This Row],[EnuRohValue]] &amp; "."" Then Res = " &amp; Tabelle7[[#This Row],[EnuValue]]</f>
        <v xml:space="preserve">  If wert = ".USERDEFINED." Then Res = hvacDT_USERDEFINED</v>
      </c>
    </row>
    <row r="332" spans="2:9" x14ac:dyDescent="0.25">
      <c r="B332" s="44">
        <v>13</v>
      </c>
      <c r="C332" s="45" t="s">
        <v>1540</v>
      </c>
      <c r="D332" s="44" t="s">
        <v>3683</v>
      </c>
      <c r="E332" s="44" t="str">
        <f>VLOOKUP(Tabelle7[[#This Row],[EnumName]],Enum[[IFC-Name]:[Präfix]],5,FALSE)&amp;Tabelle7[[#This Row],[EnuRohValue]]</f>
        <v>hvacDT_NOTDEFINED</v>
      </c>
      <c r="F332" s="44">
        <f>COUNTIF(Tabelle7[EnuValue],Tabelle7[[#This Row],[EnuValue]])</f>
        <v>1</v>
      </c>
      <c r="G332" s="44" t="str">
        <f xml:space="preserve"> "  " &amp; Tabelle7[[#This Row],[EnuValue]] &amp; " = " &amp; Tabelle7[[#This Row],[Wert]]</f>
        <v xml:space="preserve">  hvacDT_NOTDEFINED = 13</v>
      </c>
      <c r="H332" s="44" t="str">
        <f>"  If Wert = " &amp; Tabelle7[[#This Row],[EnuValue]] &amp; " then Res = ""." &amp; Tabelle7[[#This Row],[EnuRohValue]] &amp; "."""</f>
        <v xml:space="preserve">  If Wert = hvacDT_NOTDEFINED then Res = ".NOTDEFINED."</v>
      </c>
      <c r="I332" s="44" t="str">
        <f>"  If wert = ""." &amp; Tabelle7[[#This Row],[EnuRohValue]] &amp; "."" Then Res = " &amp; Tabelle7[[#This Row],[EnuValue]]</f>
        <v xml:space="preserve">  If wert = ".NOTDEFINED." Then Res = hvacDT_NOTDEFINED</v>
      </c>
    </row>
    <row r="333" spans="2:9" x14ac:dyDescent="0.25">
      <c r="B333" s="44">
        <v>1</v>
      </c>
      <c r="C333" s="45" t="s">
        <v>1541</v>
      </c>
      <c r="D333" s="44" t="s">
        <v>3958</v>
      </c>
      <c r="E333" s="44" t="str">
        <f>VLOOKUP(Tabelle7[[#This Row],[EnumName]],Enum[[IFC-Name]:[Präfix]],5,FALSE)&amp;Tabelle7[[#This Row],[EnuRohValue]]</f>
        <v>tisDO_MEASURED</v>
      </c>
      <c r="F333" s="44">
        <f>COUNTIF(Tabelle7[EnuValue],Tabelle7[[#This Row],[EnuValue]])</f>
        <v>1</v>
      </c>
      <c r="G333" s="44" t="str">
        <f xml:space="preserve"> "  " &amp; Tabelle7[[#This Row],[EnuValue]] &amp; " = " &amp; Tabelle7[[#This Row],[Wert]]</f>
        <v xml:space="preserve">  tisDO_MEASURED = 1</v>
      </c>
      <c r="H333" s="44" t="str">
        <f>"  If Wert = " &amp; Tabelle7[[#This Row],[EnuValue]] &amp; " then Res = ""." &amp; Tabelle7[[#This Row],[EnuRohValue]] &amp; "."""</f>
        <v xml:space="preserve">  If Wert = tisDO_MEASURED then Res = ".MEASURED."</v>
      </c>
      <c r="I333" s="44" t="str">
        <f>"  If wert = ""." &amp; Tabelle7[[#This Row],[EnuRohValue]] &amp; "."" Then Res = " &amp; Tabelle7[[#This Row],[EnuValue]]</f>
        <v xml:space="preserve">  If wert = ".MEASURED." Then Res = tisDO_MEASURED</v>
      </c>
    </row>
    <row r="334" spans="2:9" x14ac:dyDescent="0.25">
      <c r="B334" s="44">
        <v>2</v>
      </c>
      <c r="C334" s="45" t="s">
        <v>1541</v>
      </c>
      <c r="D334" s="44" t="s">
        <v>3959</v>
      </c>
      <c r="E334" s="44" t="str">
        <f>VLOOKUP(Tabelle7[[#This Row],[EnumName]],Enum[[IFC-Name]:[Präfix]],5,FALSE)&amp;Tabelle7[[#This Row],[EnuRohValue]]</f>
        <v>tisDO_PREDICTED</v>
      </c>
      <c r="F334" s="44">
        <f>COUNTIF(Tabelle7[EnuValue],Tabelle7[[#This Row],[EnuValue]])</f>
        <v>1</v>
      </c>
      <c r="G334" s="44" t="str">
        <f xml:space="preserve"> "  " &amp; Tabelle7[[#This Row],[EnuValue]] &amp; " = " &amp; Tabelle7[[#This Row],[Wert]]</f>
        <v xml:space="preserve">  tisDO_PREDICTED = 2</v>
      </c>
      <c r="H334" s="44" t="str">
        <f>"  If Wert = " &amp; Tabelle7[[#This Row],[EnuValue]] &amp; " then Res = ""." &amp; Tabelle7[[#This Row],[EnuRohValue]] &amp; "."""</f>
        <v xml:space="preserve">  If Wert = tisDO_PREDICTED then Res = ".PREDICTED."</v>
      </c>
      <c r="I334" s="44" t="str">
        <f>"  If wert = ""." &amp; Tabelle7[[#This Row],[EnuRohValue]] &amp; "."" Then Res = " &amp; Tabelle7[[#This Row],[EnuValue]]</f>
        <v xml:space="preserve">  If wert = ".PREDICTED." Then Res = tisDO_PREDICTED</v>
      </c>
    </row>
    <row r="335" spans="2:9" x14ac:dyDescent="0.25">
      <c r="B335" s="44">
        <v>3</v>
      </c>
      <c r="C335" s="45" t="s">
        <v>1541</v>
      </c>
      <c r="D335" s="44" t="s">
        <v>3960</v>
      </c>
      <c r="E335" s="44" t="str">
        <f>VLOOKUP(Tabelle7[[#This Row],[EnumName]],Enum[[IFC-Name]:[Präfix]],5,FALSE)&amp;Tabelle7[[#This Row],[EnuRohValue]]</f>
        <v>tisDO_SIMULATED</v>
      </c>
      <c r="F335" s="44">
        <f>COUNTIF(Tabelle7[EnuValue],Tabelle7[[#This Row],[EnuValue]])</f>
        <v>1</v>
      </c>
      <c r="G335" s="44" t="str">
        <f xml:space="preserve"> "  " &amp; Tabelle7[[#This Row],[EnuValue]] &amp; " = " &amp; Tabelle7[[#This Row],[Wert]]</f>
        <v xml:space="preserve">  tisDO_SIMULATED = 3</v>
      </c>
      <c r="H335" s="44" t="str">
        <f>"  If Wert = " &amp; Tabelle7[[#This Row],[EnuValue]] &amp; " then Res = ""." &amp; Tabelle7[[#This Row],[EnuRohValue]] &amp; "."""</f>
        <v xml:space="preserve">  If Wert = tisDO_SIMULATED then Res = ".SIMULATED."</v>
      </c>
      <c r="I335" s="44" t="str">
        <f>"  If wert = ""." &amp; Tabelle7[[#This Row],[EnuRohValue]] &amp; "."" Then Res = " &amp; Tabelle7[[#This Row],[EnuValue]]</f>
        <v xml:space="preserve">  If wert = ".SIMULATED." Then Res = tisDO_SIMULATED</v>
      </c>
    </row>
    <row r="336" spans="2:9" x14ac:dyDescent="0.25">
      <c r="B336" s="44">
        <v>4</v>
      </c>
      <c r="C336" s="45" t="s">
        <v>1541</v>
      </c>
      <c r="D336" s="44" t="s">
        <v>3682</v>
      </c>
      <c r="E336" s="44" t="str">
        <f>VLOOKUP(Tabelle7[[#This Row],[EnumName]],Enum[[IFC-Name]:[Präfix]],5,FALSE)&amp;Tabelle7[[#This Row],[EnuRohValue]]</f>
        <v>tisDO_USERDEFINED</v>
      </c>
      <c r="F336" s="44">
        <f>COUNTIF(Tabelle7[EnuValue],Tabelle7[[#This Row],[EnuValue]])</f>
        <v>1</v>
      </c>
      <c r="G336" s="44" t="str">
        <f xml:space="preserve"> "  " &amp; Tabelle7[[#This Row],[EnuValue]] &amp; " = " &amp; Tabelle7[[#This Row],[Wert]]</f>
        <v xml:space="preserve">  tisDO_USERDEFINED = 4</v>
      </c>
      <c r="H336" s="44" t="str">
        <f>"  If Wert = " &amp; Tabelle7[[#This Row],[EnuValue]] &amp; " then Res = ""." &amp; Tabelle7[[#This Row],[EnuRohValue]] &amp; "."""</f>
        <v xml:space="preserve">  If Wert = tisDO_USERDEFINED then Res = ".USERDEFINED."</v>
      </c>
      <c r="I336" s="44" t="str">
        <f>"  If wert = ""." &amp; Tabelle7[[#This Row],[EnuRohValue]] &amp; "."" Then Res = " &amp; Tabelle7[[#This Row],[EnuValue]]</f>
        <v xml:space="preserve">  If wert = ".USERDEFINED." Then Res = tisDO_USERDEFINED</v>
      </c>
    </row>
    <row r="337" spans="2:9" x14ac:dyDescent="0.25">
      <c r="B337" s="44">
        <v>5</v>
      </c>
      <c r="C337" s="45" t="s">
        <v>1541</v>
      </c>
      <c r="D337" s="44" t="s">
        <v>3683</v>
      </c>
      <c r="E337" s="44" t="str">
        <f>VLOOKUP(Tabelle7[[#This Row],[EnumName]],Enum[[IFC-Name]:[Präfix]],5,FALSE)&amp;Tabelle7[[#This Row],[EnuRohValue]]</f>
        <v>tisDO_NOTDEFINED</v>
      </c>
      <c r="F337" s="44">
        <f>COUNTIF(Tabelle7[EnuValue],Tabelle7[[#This Row],[EnuValue]])</f>
        <v>1</v>
      </c>
      <c r="G337" s="44" t="str">
        <f xml:space="preserve"> "  " &amp; Tabelle7[[#This Row],[EnuValue]] &amp; " = " &amp; Tabelle7[[#This Row],[Wert]]</f>
        <v xml:space="preserve">  tisDO_NOTDEFINED = 5</v>
      </c>
      <c r="H337" s="44" t="str">
        <f>"  If Wert = " &amp; Tabelle7[[#This Row],[EnuValue]] &amp; " then Res = ""." &amp; Tabelle7[[#This Row],[EnuRohValue]] &amp; "."""</f>
        <v xml:space="preserve">  If Wert = tisDO_NOTDEFINED then Res = ".NOTDEFINED."</v>
      </c>
      <c r="I337" s="44" t="str">
        <f>"  If wert = ""." &amp; Tabelle7[[#This Row],[EnuRohValue]] &amp; "."" Then Res = " &amp; Tabelle7[[#This Row],[EnuValue]]</f>
        <v xml:space="preserve">  If wert = ".NOTDEFINED." Then Res = tisDO_NOTDEFINED</v>
      </c>
    </row>
    <row r="338" spans="2:9" x14ac:dyDescent="0.25">
      <c r="B338" s="44">
        <v>1</v>
      </c>
      <c r="C338" s="45" t="s">
        <v>1542</v>
      </c>
      <c r="D338" s="44" t="s">
        <v>3961</v>
      </c>
      <c r="E338" s="44" t="str">
        <f>VLOOKUP(Tabelle7[[#This Row],[EnumName]],Enum[[IFC-Name]:[Präfix]],5,FALSE)&amp;Tabelle7[[#This Row],[EnuRohValue]]</f>
        <v>mesDU_ANGULARVELOCITYUNIT</v>
      </c>
      <c r="F338" s="44">
        <f>COUNTIF(Tabelle7[EnuValue],Tabelle7[[#This Row],[EnuValue]])</f>
        <v>1</v>
      </c>
      <c r="G338" s="44" t="str">
        <f xml:space="preserve"> "  " &amp; Tabelle7[[#This Row],[EnuValue]] &amp; " = " &amp; Tabelle7[[#This Row],[Wert]]</f>
        <v xml:space="preserve">  mesDU_ANGULARVELOCITYUNIT = 1</v>
      </c>
      <c r="H338" s="44" t="str">
        <f>"  If Wert = " &amp; Tabelle7[[#This Row],[EnuValue]] &amp; " then Res = ""." &amp; Tabelle7[[#This Row],[EnuRohValue]] &amp; "."""</f>
        <v xml:space="preserve">  If Wert = mesDU_ANGULARVELOCITYUNIT then Res = ".ANGULARVELOCITYUNIT."</v>
      </c>
      <c r="I338" s="44" t="str">
        <f>"  If wert = ""." &amp; Tabelle7[[#This Row],[EnuRohValue]] &amp; "."" Then Res = " &amp; Tabelle7[[#This Row],[EnuValue]]</f>
        <v xml:space="preserve">  If wert = ".ANGULARVELOCITYUNIT." Then Res = mesDU_ANGULARVELOCITYUNIT</v>
      </c>
    </row>
    <row r="339" spans="2:9" x14ac:dyDescent="0.25">
      <c r="B339" s="44">
        <v>2</v>
      </c>
      <c r="C339" s="45" t="s">
        <v>1542</v>
      </c>
      <c r="D339" s="44" t="s">
        <v>3962</v>
      </c>
      <c r="E339" s="44" t="str">
        <f>VLOOKUP(Tabelle7[[#This Row],[EnumName]],Enum[[IFC-Name]:[Präfix]],5,FALSE)&amp;Tabelle7[[#This Row],[EnuRohValue]]</f>
        <v>mesDU_COMPOUNDPLANEANGLEUNIT</v>
      </c>
      <c r="F339" s="44">
        <f>COUNTIF(Tabelle7[EnuValue],Tabelle7[[#This Row],[EnuValue]])</f>
        <v>1</v>
      </c>
      <c r="G339" s="44" t="str">
        <f xml:space="preserve"> "  " &amp; Tabelle7[[#This Row],[EnuValue]] &amp; " = " &amp; Tabelle7[[#This Row],[Wert]]</f>
        <v xml:space="preserve">  mesDU_COMPOUNDPLANEANGLEUNIT = 2</v>
      </c>
      <c r="H339" s="44" t="str">
        <f>"  If Wert = " &amp; Tabelle7[[#This Row],[EnuValue]] &amp; " then Res = ""." &amp; Tabelle7[[#This Row],[EnuRohValue]] &amp; "."""</f>
        <v xml:space="preserve">  If Wert = mesDU_COMPOUNDPLANEANGLEUNIT then Res = ".COMPOUNDPLANEANGLEUNIT."</v>
      </c>
      <c r="I339" s="44" t="str">
        <f>"  If wert = ""." &amp; Tabelle7[[#This Row],[EnuRohValue]] &amp; "."" Then Res = " &amp; Tabelle7[[#This Row],[EnuValue]]</f>
        <v xml:space="preserve">  If wert = ".COMPOUNDPLANEANGLEUNIT." Then Res = mesDU_COMPOUNDPLANEANGLEUNIT</v>
      </c>
    </row>
    <row r="340" spans="2:9" x14ac:dyDescent="0.25">
      <c r="B340" s="44">
        <v>3</v>
      </c>
      <c r="C340" s="45" t="s">
        <v>1542</v>
      </c>
      <c r="D340" s="44" t="s">
        <v>3963</v>
      </c>
      <c r="E340" s="44" t="str">
        <f>VLOOKUP(Tabelle7[[#This Row],[EnumName]],Enum[[IFC-Name]:[Präfix]],5,FALSE)&amp;Tabelle7[[#This Row],[EnuRohValue]]</f>
        <v>mesDU_DYNAMICVISCOSITYUNIT</v>
      </c>
      <c r="F340" s="44">
        <f>COUNTIF(Tabelle7[EnuValue],Tabelle7[[#This Row],[EnuValue]])</f>
        <v>1</v>
      </c>
      <c r="G340" s="44" t="str">
        <f xml:space="preserve"> "  " &amp; Tabelle7[[#This Row],[EnuValue]] &amp; " = " &amp; Tabelle7[[#This Row],[Wert]]</f>
        <v xml:space="preserve">  mesDU_DYNAMICVISCOSITYUNIT = 3</v>
      </c>
      <c r="H340" s="44" t="str">
        <f>"  If Wert = " &amp; Tabelle7[[#This Row],[EnuValue]] &amp; " then Res = ""." &amp; Tabelle7[[#This Row],[EnuRohValue]] &amp; "."""</f>
        <v xml:space="preserve">  If Wert = mesDU_DYNAMICVISCOSITYUNIT then Res = ".DYNAMICVISCOSITYUNIT."</v>
      </c>
      <c r="I340" s="44" t="str">
        <f>"  If wert = ""." &amp; Tabelle7[[#This Row],[EnuRohValue]] &amp; "."" Then Res = " &amp; Tabelle7[[#This Row],[EnuValue]]</f>
        <v xml:space="preserve">  If wert = ".DYNAMICVISCOSITYUNIT." Then Res = mesDU_DYNAMICVISCOSITYUNIT</v>
      </c>
    </row>
    <row r="341" spans="2:9" x14ac:dyDescent="0.25">
      <c r="B341" s="44">
        <v>4</v>
      </c>
      <c r="C341" s="45" t="s">
        <v>1542</v>
      </c>
      <c r="D341" s="44" t="s">
        <v>3964</v>
      </c>
      <c r="E341" s="44" t="str">
        <f>VLOOKUP(Tabelle7[[#This Row],[EnumName]],Enum[[IFC-Name]:[Präfix]],5,FALSE)&amp;Tabelle7[[#This Row],[EnuRohValue]]</f>
        <v>mesDU_HEATFLUXDENSITYUNIT</v>
      </c>
      <c r="F341" s="44">
        <f>COUNTIF(Tabelle7[EnuValue],Tabelle7[[#This Row],[EnuValue]])</f>
        <v>1</v>
      </c>
      <c r="G341" s="44" t="str">
        <f xml:space="preserve"> "  " &amp; Tabelle7[[#This Row],[EnuValue]] &amp; " = " &amp; Tabelle7[[#This Row],[Wert]]</f>
        <v xml:space="preserve">  mesDU_HEATFLUXDENSITYUNIT = 4</v>
      </c>
      <c r="H341" s="44" t="str">
        <f>"  If Wert = " &amp; Tabelle7[[#This Row],[EnuValue]] &amp; " then Res = ""." &amp; Tabelle7[[#This Row],[EnuRohValue]] &amp; "."""</f>
        <v xml:space="preserve">  If Wert = mesDU_HEATFLUXDENSITYUNIT then Res = ".HEATFLUXDENSITYUNIT."</v>
      </c>
      <c r="I341" s="44" t="str">
        <f>"  If wert = ""." &amp; Tabelle7[[#This Row],[EnuRohValue]] &amp; "."" Then Res = " &amp; Tabelle7[[#This Row],[EnuValue]]</f>
        <v xml:space="preserve">  If wert = ".HEATFLUXDENSITYUNIT." Then Res = mesDU_HEATFLUXDENSITYUNIT</v>
      </c>
    </row>
    <row r="342" spans="2:9" x14ac:dyDescent="0.25">
      <c r="B342" s="44">
        <v>5</v>
      </c>
      <c r="C342" s="45" t="s">
        <v>1542</v>
      </c>
      <c r="D342" s="44" t="s">
        <v>3965</v>
      </c>
      <c r="E342" s="44" t="str">
        <f>VLOOKUP(Tabelle7[[#This Row],[EnumName]],Enum[[IFC-Name]:[Präfix]],5,FALSE)&amp;Tabelle7[[#This Row],[EnuRohValue]]</f>
        <v>mesDU_INTEGERCOUNTRATEUNIT</v>
      </c>
      <c r="F342" s="44">
        <f>COUNTIF(Tabelle7[EnuValue],Tabelle7[[#This Row],[EnuValue]])</f>
        <v>1</v>
      </c>
      <c r="G342" s="44" t="str">
        <f xml:space="preserve"> "  " &amp; Tabelle7[[#This Row],[EnuValue]] &amp; " = " &amp; Tabelle7[[#This Row],[Wert]]</f>
        <v xml:space="preserve">  mesDU_INTEGERCOUNTRATEUNIT = 5</v>
      </c>
      <c r="H342" s="44" t="str">
        <f>"  If Wert = " &amp; Tabelle7[[#This Row],[EnuValue]] &amp; " then Res = ""." &amp; Tabelle7[[#This Row],[EnuRohValue]] &amp; "."""</f>
        <v xml:space="preserve">  If Wert = mesDU_INTEGERCOUNTRATEUNIT then Res = ".INTEGERCOUNTRATEUNIT."</v>
      </c>
      <c r="I342" s="44" t="str">
        <f>"  If wert = ""." &amp; Tabelle7[[#This Row],[EnuRohValue]] &amp; "."" Then Res = " &amp; Tabelle7[[#This Row],[EnuValue]]</f>
        <v xml:space="preserve">  If wert = ".INTEGERCOUNTRATEUNIT." Then Res = mesDU_INTEGERCOUNTRATEUNIT</v>
      </c>
    </row>
    <row r="343" spans="2:9" x14ac:dyDescent="0.25">
      <c r="B343" s="44">
        <v>6</v>
      </c>
      <c r="C343" s="45" t="s">
        <v>1542</v>
      </c>
      <c r="D343" s="44" t="s">
        <v>3966</v>
      </c>
      <c r="E343" s="44" t="str">
        <f>VLOOKUP(Tabelle7[[#This Row],[EnumName]],Enum[[IFC-Name]:[Präfix]],5,FALSE)&amp;Tabelle7[[#This Row],[EnuRohValue]]</f>
        <v>mesDU_ISOTHERMALMOISTURECAPACITYUNIT</v>
      </c>
      <c r="F343" s="44">
        <f>COUNTIF(Tabelle7[EnuValue],Tabelle7[[#This Row],[EnuValue]])</f>
        <v>1</v>
      </c>
      <c r="G343" s="44" t="str">
        <f xml:space="preserve"> "  " &amp; Tabelle7[[#This Row],[EnuValue]] &amp; " = " &amp; Tabelle7[[#This Row],[Wert]]</f>
        <v xml:space="preserve">  mesDU_ISOTHERMALMOISTURECAPACITYUNIT = 6</v>
      </c>
      <c r="H343" s="44" t="str">
        <f>"  If Wert = " &amp; Tabelle7[[#This Row],[EnuValue]] &amp; " then Res = ""." &amp; Tabelle7[[#This Row],[EnuRohValue]] &amp; "."""</f>
        <v xml:space="preserve">  If Wert = mesDU_ISOTHERMALMOISTURECAPACITYUNIT then Res = ".ISOTHERMALMOISTURECAPACITYUNIT."</v>
      </c>
      <c r="I343" s="44" t="str">
        <f>"  If wert = ""." &amp; Tabelle7[[#This Row],[EnuRohValue]] &amp; "."" Then Res = " &amp; Tabelle7[[#This Row],[EnuValue]]</f>
        <v xml:space="preserve">  If wert = ".ISOTHERMALMOISTURECAPACITYUNIT." Then Res = mesDU_ISOTHERMALMOISTURECAPACITYUNIT</v>
      </c>
    </row>
    <row r="344" spans="2:9" x14ac:dyDescent="0.25">
      <c r="B344" s="44">
        <v>7</v>
      </c>
      <c r="C344" s="45" t="s">
        <v>1542</v>
      </c>
      <c r="D344" s="44" t="s">
        <v>3967</v>
      </c>
      <c r="E344" s="44" t="str">
        <f>VLOOKUP(Tabelle7[[#This Row],[EnumName]],Enum[[IFC-Name]:[Präfix]],5,FALSE)&amp;Tabelle7[[#This Row],[EnuRohValue]]</f>
        <v>mesDU_KINEMATICVISCOSITYUNIT</v>
      </c>
      <c r="F344" s="44">
        <f>COUNTIF(Tabelle7[EnuValue],Tabelle7[[#This Row],[EnuValue]])</f>
        <v>1</v>
      </c>
      <c r="G344" s="44" t="str">
        <f xml:space="preserve"> "  " &amp; Tabelle7[[#This Row],[EnuValue]] &amp; " = " &amp; Tabelle7[[#This Row],[Wert]]</f>
        <v xml:space="preserve">  mesDU_KINEMATICVISCOSITYUNIT = 7</v>
      </c>
      <c r="H344" s="44" t="str">
        <f>"  If Wert = " &amp; Tabelle7[[#This Row],[EnuValue]] &amp; " then Res = ""." &amp; Tabelle7[[#This Row],[EnuRohValue]] &amp; "."""</f>
        <v xml:space="preserve">  If Wert = mesDU_KINEMATICVISCOSITYUNIT then Res = ".KINEMATICVISCOSITYUNIT."</v>
      </c>
      <c r="I344" s="44" t="str">
        <f>"  If wert = ""." &amp; Tabelle7[[#This Row],[EnuRohValue]] &amp; "."" Then Res = " &amp; Tabelle7[[#This Row],[EnuValue]]</f>
        <v xml:space="preserve">  If wert = ".KINEMATICVISCOSITYUNIT." Then Res = mesDU_KINEMATICVISCOSITYUNIT</v>
      </c>
    </row>
    <row r="345" spans="2:9" x14ac:dyDescent="0.25">
      <c r="B345" s="44">
        <v>8</v>
      </c>
      <c r="C345" s="45" t="s">
        <v>1542</v>
      </c>
      <c r="D345" s="44" t="s">
        <v>3968</v>
      </c>
      <c r="E345" s="44" t="str">
        <f>VLOOKUP(Tabelle7[[#This Row],[EnumName]],Enum[[IFC-Name]:[Präfix]],5,FALSE)&amp;Tabelle7[[#This Row],[EnuRohValue]]</f>
        <v>mesDU_LINEARVELOCITYUNIT</v>
      </c>
      <c r="F345" s="44">
        <f>COUNTIF(Tabelle7[EnuValue],Tabelle7[[#This Row],[EnuValue]])</f>
        <v>1</v>
      </c>
      <c r="G345" s="44" t="str">
        <f xml:space="preserve"> "  " &amp; Tabelle7[[#This Row],[EnuValue]] &amp; " = " &amp; Tabelle7[[#This Row],[Wert]]</f>
        <v xml:space="preserve">  mesDU_LINEARVELOCITYUNIT = 8</v>
      </c>
      <c r="H345" s="44" t="str">
        <f>"  If Wert = " &amp; Tabelle7[[#This Row],[EnuValue]] &amp; " then Res = ""." &amp; Tabelle7[[#This Row],[EnuRohValue]] &amp; "."""</f>
        <v xml:space="preserve">  If Wert = mesDU_LINEARVELOCITYUNIT then Res = ".LINEARVELOCITYUNIT."</v>
      </c>
      <c r="I345" s="44" t="str">
        <f>"  If wert = ""." &amp; Tabelle7[[#This Row],[EnuRohValue]] &amp; "."" Then Res = " &amp; Tabelle7[[#This Row],[EnuValue]]</f>
        <v xml:space="preserve">  If wert = ".LINEARVELOCITYUNIT." Then Res = mesDU_LINEARVELOCITYUNIT</v>
      </c>
    </row>
    <row r="346" spans="2:9" x14ac:dyDescent="0.25">
      <c r="B346" s="44">
        <v>9</v>
      </c>
      <c r="C346" s="45" t="s">
        <v>1542</v>
      </c>
      <c r="D346" s="44" t="s">
        <v>3969</v>
      </c>
      <c r="E346" s="44" t="str">
        <f>VLOOKUP(Tabelle7[[#This Row],[EnumName]],Enum[[IFC-Name]:[Präfix]],5,FALSE)&amp;Tabelle7[[#This Row],[EnuRohValue]]</f>
        <v>mesDU_MASSDENSITYUNIT</v>
      </c>
      <c r="F346" s="44">
        <f>COUNTIF(Tabelle7[EnuValue],Tabelle7[[#This Row],[EnuValue]])</f>
        <v>1</v>
      </c>
      <c r="G346" s="44" t="str">
        <f xml:space="preserve"> "  " &amp; Tabelle7[[#This Row],[EnuValue]] &amp; " = " &amp; Tabelle7[[#This Row],[Wert]]</f>
        <v xml:space="preserve">  mesDU_MASSDENSITYUNIT = 9</v>
      </c>
      <c r="H346" s="44" t="str">
        <f>"  If Wert = " &amp; Tabelle7[[#This Row],[EnuValue]] &amp; " then Res = ""." &amp; Tabelle7[[#This Row],[EnuRohValue]] &amp; "."""</f>
        <v xml:space="preserve">  If Wert = mesDU_MASSDENSITYUNIT then Res = ".MASSDENSITYUNIT."</v>
      </c>
      <c r="I346" s="44" t="str">
        <f>"  If wert = ""." &amp; Tabelle7[[#This Row],[EnuRohValue]] &amp; "."" Then Res = " &amp; Tabelle7[[#This Row],[EnuValue]]</f>
        <v xml:space="preserve">  If wert = ".MASSDENSITYUNIT." Then Res = mesDU_MASSDENSITYUNIT</v>
      </c>
    </row>
    <row r="347" spans="2:9" x14ac:dyDescent="0.25">
      <c r="B347" s="44">
        <v>10</v>
      </c>
      <c r="C347" s="45" t="s">
        <v>1542</v>
      </c>
      <c r="D347" s="44" t="s">
        <v>3970</v>
      </c>
      <c r="E347" s="44" t="str">
        <f>VLOOKUP(Tabelle7[[#This Row],[EnumName]],Enum[[IFC-Name]:[Präfix]],5,FALSE)&amp;Tabelle7[[#This Row],[EnuRohValue]]</f>
        <v>mesDU_MASSFLOWRATEUNIT</v>
      </c>
      <c r="F347" s="44">
        <f>COUNTIF(Tabelle7[EnuValue],Tabelle7[[#This Row],[EnuValue]])</f>
        <v>1</v>
      </c>
      <c r="G347" s="44" t="str">
        <f xml:space="preserve"> "  " &amp; Tabelle7[[#This Row],[EnuValue]] &amp; " = " &amp; Tabelle7[[#This Row],[Wert]]</f>
        <v xml:space="preserve">  mesDU_MASSFLOWRATEUNIT = 10</v>
      </c>
      <c r="H347" s="44" t="str">
        <f>"  If Wert = " &amp; Tabelle7[[#This Row],[EnuValue]] &amp; " then Res = ""." &amp; Tabelle7[[#This Row],[EnuRohValue]] &amp; "."""</f>
        <v xml:space="preserve">  If Wert = mesDU_MASSFLOWRATEUNIT then Res = ".MASSFLOWRATEUNIT."</v>
      </c>
      <c r="I347" s="44" t="str">
        <f>"  If wert = ""." &amp; Tabelle7[[#This Row],[EnuRohValue]] &amp; "."" Then Res = " &amp; Tabelle7[[#This Row],[EnuValue]]</f>
        <v xml:space="preserve">  If wert = ".MASSFLOWRATEUNIT." Then Res = mesDU_MASSFLOWRATEUNIT</v>
      </c>
    </row>
    <row r="348" spans="2:9" x14ac:dyDescent="0.25">
      <c r="B348" s="44">
        <v>11</v>
      </c>
      <c r="C348" s="45" t="s">
        <v>1542</v>
      </c>
      <c r="D348" s="44" t="s">
        <v>3971</v>
      </c>
      <c r="E348" s="44" t="str">
        <f>VLOOKUP(Tabelle7[[#This Row],[EnumName]],Enum[[IFC-Name]:[Präfix]],5,FALSE)&amp;Tabelle7[[#This Row],[EnuRohValue]]</f>
        <v>mesDU_MOISTUREDIFFUSIVITYUNIT</v>
      </c>
      <c r="F348" s="44">
        <f>COUNTIF(Tabelle7[EnuValue],Tabelle7[[#This Row],[EnuValue]])</f>
        <v>1</v>
      </c>
      <c r="G348" s="44" t="str">
        <f xml:space="preserve"> "  " &amp; Tabelle7[[#This Row],[EnuValue]] &amp; " = " &amp; Tabelle7[[#This Row],[Wert]]</f>
        <v xml:space="preserve">  mesDU_MOISTUREDIFFUSIVITYUNIT = 11</v>
      </c>
      <c r="H348" s="44" t="str">
        <f>"  If Wert = " &amp; Tabelle7[[#This Row],[EnuValue]] &amp; " then Res = ""." &amp; Tabelle7[[#This Row],[EnuRohValue]] &amp; "."""</f>
        <v xml:space="preserve">  If Wert = mesDU_MOISTUREDIFFUSIVITYUNIT then Res = ".MOISTUREDIFFUSIVITYUNIT."</v>
      </c>
      <c r="I348" s="44" t="str">
        <f>"  If wert = ""." &amp; Tabelle7[[#This Row],[EnuRohValue]] &amp; "."" Then Res = " &amp; Tabelle7[[#This Row],[EnuValue]]</f>
        <v xml:space="preserve">  If wert = ".MOISTUREDIFFUSIVITYUNIT." Then Res = mesDU_MOISTUREDIFFUSIVITYUNIT</v>
      </c>
    </row>
    <row r="349" spans="2:9" x14ac:dyDescent="0.25">
      <c r="B349" s="44">
        <v>12</v>
      </c>
      <c r="C349" s="45" t="s">
        <v>1542</v>
      </c>
      <c r="D349" s="44" t="s">
        <v>3972</v>
      </c>
      <c r="E349" s="44" t="str">
        <f>VLOOKUP(Tabelle7[[#This Row],[EnumName]],Enum[[IFC-Name]:[Präfix]],5,FALSE)&amp;Tabelle7[[#This Row],[EnuRohValue]]</f>
        <v>mesDU_MOLECULARWEIGHTUNIT</v>
      </c>
      <c r="F349" s="44">
        <f>COUNTIF(Tabelle7[EnuValue],Tabelle7[[#This Row],[EnuValue]])</f>
        <v>1</v>
      </c>
      <c r="G349" s="44" t="str">
        <f xml:space="preserve"> "  " &amp; Tabelle7[[#This Row],[EnuValue]] &amp; " = " &amp; Tabelle7[[#This Row],[Wert]]</f>
        <v xml:space="preserve">  mesDU_MOLECULARWEIGHTUNIT = 12</v>
      </c>
      <c r="H349" s="44" t="str">
        <f>"  If Wert = " &amp; Tabelle7[[#This Row],[EnuValue]] &amp; " then Res = ""." &amp; Tabelle7[[#This Row],[EnuRohValue]] &amp; "."""</f>
        <v xml:space="preserve">  If Wert = mesDU_MOLECULARWEIGHTUNIT then Res = ".MOLECULARWEIGHTUNIT."</v>
      </c>
      <c r="I349" s="44" t="str">
        <f>"  If wert = ""." &amp; Tabelle7[[#This Row],[EnuRohValue]] &amp; "."" Then Res = " &amp; Tabelle7[[#This Row],[EnuValue]]</f>
        <v xml:space="preserve">  If wert = ".MOLECULARWEIGHTUNIT." Then Res = mesDU_MOLECULARWEIGHTUNIT</v>
      </c>
    </row>
    <row r="350" spans="2:9" x14ac:dyDescent="0.25">
      <c r="B350" s="44">
        <v>13</v>
      </c>
      <c r="C350" s="45" t="s">
        <v>1542</v>
      </c>
      <c r="D350" s="44" t="s">
        <v>3973</v>
      </c>
      <c r="E350" s="44" t="str">
        <f>VLOOKUP(Tabelle7[[#This Row],[EnumName]],Enum[[IFC-Name]:[Präfix]],5,FALSE)&amp;Tabelle7[[#This Row],[EnuRohValue]]</f>
        <v>mesDU_SPECIFICHEATCAPACITYUNIT</v>
      </c>
      <c r="F350" s="44">
        <f>COUNTIF(Tabelle7[EnuValue],Tabelle7[[#This Row],[EnuValue]])</f>
        <v>1</v>
      </c>
      <c r="G350" s="44" t="str">
        <f xml:space="preserve"> "  " &amp; Tabelle7[[#This Row],[EnuValue]] &amp; " = " &amp; Tabelle7[[#This Row],[Wert]]</f>
        <v xml:space="preserve">  mesDU_SPECIFICHEATCAPACITYUNIT = 13</v>
      </c>
      <c r="H350" s="44" t="str">
        <f>"  If Wert = " &amp; Tabelle7[[#This Row],[EnuValue]] &amp; " then Res = ""." &amp; Tabelle7[[#This Row],[EnuRohValue]] &amp; "."""</f>
        <v xml:space="preserve">  If Wert = mesDU_SPECIFICHEATCAPACITYUNIT then Res = ".SPECIFICHEATCAPACITYUNIT."</v>
      </c>
      <c r="I350" s="44" t="str">
        <f>"  If wert = ""." &amp; Tabelle7[[#This Row],[EnuRohValue]] &amp; "."" Then Res = " &amp; Tabelle7[[#This Row],[EnuValue]]</f>
        <v xml:space="preserve">  If wert = ".SPECIFICHEATCAPACITYUNIT." Then Res = mesDU_SPECIFICHEATCAPACITYUNIT</v>
      </c>
    </row>
    <row r="351" spans="2:9" x14ac:dyDescent="0.25">
      <c r="B351" s="44">
        <v>14</v>
      </c>
      <c r="C351" s="45" t="s">
        <v>1542</v>
      </c>
      <c r="D351" s="44" t="s">
        <v>3974</v>
      </c>
      <c r="E351" s="44" t="str">
        <f>VLOOKUP(Tabelle7[[#This Row],[EnumName]],Enum[[IFC-Name]:[Präfix]],5,FALSE)&amp;Tabelle7[[#This Row],[EnuRohValue]]</f>
        <v>mesDU_THERMALADMITTANCEUNIT</v>
      </c>
      <c r="F351" s="44">
        <f>COUNTIF(Tabelle7[EnuValue],Tabelle7[[#This Row],[EnuValue]])</f>
        <v>1</v>
      </c>
      <c r="G351" s="44" t="str">
        <f xml:space="preserve"> "  " &amp; Tabelle7[[#This Row],[EnuValue]] &amp; " = " &amp; Tabelle7[[#This Row],[Wert]]</f>
        <v xml:space="preserve">  mesDU_THERMALADMITTANCEUNIT = 14</v>
      </c>
      <c r="H351" s="44" t="str">
        <f>"  If Wert = " &amp; Tabelle7[[#This Row],[EnuValue]] &amp; " then Res = ""." &amp; Tabelle7[[#This Row],[EnuRohValue]] &amp; "."""</f>
        <v xml:space="preserve">  If Wert = mesDU_THERMALADMITTANCEUNIT then Res = ".THERMALADMITTANCEUNIT."</v>
      </c>
      <c r="I351" s="44" t="str">
        <f>"  If wert = ""." &amp; Tabelle7[[#This Row],[EnuRohValue]] &amp; "."" Then Res = " &amp; Tabelle7[[#This Row],[EnuValue]]</f>
        <v xml:space="preserve">  If wert = ".THERMALADMITTANCEUNIT." Then Res = mesDU_THERMALADMITTANCEUNIT</v>
      </c>
    </row>
    <row r="352" spans="2:9" x14ac:dyDescent="0.25">
      <c r="B352" s="44">
        <v>15</v>
      </c>
      <c r="C352" s="45" t="s">
        <v>1542</v>
      </c>
      <c r="D352" s="44" t="s">
        <v>3975</v>
      </c>
      <c r="E352" s="44" t="str">
        <f>VLOOKUP(Tabelle7[[#This Row],[EnumName]],Enum[[IFC-Name]:[Präfix]],5,FALSE)&amp;Tabelle7[[#This Row],[EnuRohValue]]</f>
        <v>mesDU_THERMALCONDUCTANCEUNIT</v>
      </c>
      <c r="F352" s="44">
        <f>COUNTIF(Tabelle7[EnuValue],Tabelle7[[#This Row],[EnuValue]])</f>
        <v>1</v>
      </c>
      <c r="G352" s="44" t="str">
        <f xml:space="preserve"> "  " &amp; Tabelle7[[#This Row],[EnuValue]] &amp; " = " &amp; Tabelle7[[#This Row],[Wert]]</f>
        <v xml:space="preserve">  mesDU_THERMALCONDUCTANCEUNIT = 15</v>
      </c>
      <c r="H352" s="44" t="str">
        <f>"  If Wert = " &amp; Tabelle7[[#This Row],[EnuValue]] &amp; " then Res = ""." &amp; Tabelle7[[#This Row],[EnuRohValue]] &amp; "."""</f>
        <v xml:space="preserve">  If Wert = mesDU_THERMALCONDUCTANCEUNIT then Res = ".THERMALCONDUCTANCEUNIT."</v>
      </c>
      <c r="I352" s="44" t="str">
        <f>"  If wert = ""." &amp; Tabelle7[[#This Row],[EnuRohValue]] &amp; "."" Then Res = " &amp; Tabelle7[[#This Row],[EnuValue]]</f>
        <v xml:space="preserve">  If wert = ".THERMALCONDUCTANCEUNIT." Then Res = mesDU_THERMALCONDUCTANCEUNIT</v>
      </c>
    </row>
    <row r="353" spans="2:9" x14ac:dyDescent="0.25">
      <c r="B353" s="44">
        <v>16</v>
      </c>
      <c r="C353" s="45" t="s">
        <v>1542</v>
      </c>
      <c r="D353" s="44" t="s">
        <v>3976</v>
      </c>
      <c r="E353" s="44" t="str">
        <f>VLOOKUP(Tabelle7[[#This Row],[EnumName]],Enum[[IFC-Name]:[Präfix]],5,FALSE)&amp;Tabelle7[[#This Row],[EnuRohValue]]</f>
        <v>mesDU_THERMALRESISTANCEUNIT</v>
      </c>
      <c r="F353" s="44">
        <f>COUNTIF(Tabelle7[EnuValue],Tabelle7[[#This Row],[EnuValue]])</f>
        <v>1</v>
      </c>
      <c r="G353" s="44" t="str">
        <f xml:space="preserve"> "  " &amp; Tabelle7[[#This Row],[EnuValue]] &amp; " = " &amp; Tabelle7[[#This Row],[Wert]]</f>
        <v xml:space="preserve">  mesDU_THERMALRESISTANCEUNIT = 16</v>
      </c>
      <c r="H353" s="44" t="str">
        <f>"  If Wert = " &amp; Tabelle7[[#This Row],[EnuValue]] &amp; " then Res = ""." &amp; Tabelle7[[#This Row],[EnuRohValue]] &amp; "."""</f>
        <v xml:space="preserve">  If Wert = mesDU_THERMALRESISTANCEUNIT then Res = ".THERMALRESISTANCEUNIT."</v>
      </c>
      <c r="I353" s="44" t="str">
        <f>"  If wert = ""." &amp; Tabelle7[[#This Row],[EnuRohValue]] &amp; "."" Then Res = " &amp; Tabelle7[[#This Row],[EnuValue]]</f>
        <v xml:space="preserve">  If wert = ".THERMALRESISTANCEUNIT." Then Res = mesDU_THERMALRESISTANCEUNIT</v>
      </c>
    </row>
    <row r="354" spans="2:9" x14ac:dyDescent="0.25">
      <c r="B354" s="44">
        <v>17</v>
      </c>
      <c r="C354" s="45" t="s">
        <v>1542</v>
      </c>
      <c r="D354" s="44" t="s">
        <v>3977</v>
      </c>
      <c r="E354" s="44" t="str">
        <f>VLOOKUP(Tabelle7[[#This Row],[EnumName]],Enum[[IFC-Name]:[Präfix]],5,FALSE)&amp;Tabelle7[[#This Row],[EnuRohValue]]</f>
        <v>mesDU_THERMALTRANSMITTANCEUNIT</v>
      </c>
      <c r="F354" s="44">
        <f>COUNTIF(Tabelle7[EnuValue],Tabelle7[[#This Row],[EnuValue]])</f>
        <v>1</v>
      </c>
      <c r="G354" s="44" t="str">
        <f xml:space="preserve"> "  " &amp; Tabelle7[[#This Row],[EnuValue]] &amp; " = " &amp; Tabelle7[[#This Row],[Wert]]</f>
        <v xml:space="preserve">  mesDU_THERMALTRANSMITTANCEUNIT = 17</v>
      </c>
      <c r="H354" s="44" t="str">
        <f>"  If Wert = " &amp; Tabelle7[[#This Row],[EnuValue]] &amp; " then Res = ""." &amp; Tabelle7[[#This Row],[EnuRohValue]] &amp; "."""</f>
        <v xml:space="preserve">  If Wert = mesDU_THERMALTRANSMITTANCEUNIT then Res = ".THERMALTRANSMITTANCEUNIT."</v>
      </c>
      <c r="I354" s="44" t="str">
        <f>"  If wert = ""." &amp; Tabelle7[[#This Row],[EnuRohValue]] &amp; "."" Then Res = " &amp; Tabelle7[[#This Row],[EnuValue]]</f>
        <v xml:space="preserve">  If wert = ".THERMALTRANSMITTANCEUNIT." Then Res = mesDU_THERMALTRANSMITTANCEUNIT</v>
      </c>
    </row>
    <row r="355" spans="2:9" x14ac:dyDescent="0.25">
      <c r="B355" s="44">
        <v>18</v>
      </c>
      <c r="C355" s="45" t="s">
        <v>1542</v>
      </c>
      <c r="D355" s="44" t="s">
        <v>3978</v>
      </c>
      <c r="E355" s="44" t="str">
        <f>VLOOKUP(Tabelle7[[#This Row],[EnumName]],Enum[[IFC-Name]:[Präfix]],5,FALSE)&amp;Tabelle7[[#This Row],[EnuRohValue]]</f>
        <v>mesDU_VAPORPERMEABILITYUNIT</v>
      </c>
      <c r="F355" s="44">
        <f>COUNTIF(Tabelle7[EnuValue],Tabelle7[[#This Row],[EnuValue]])</f>
        <v>1</v>
      </c>
      <c r="G355" s="44" t="str">
        <f xml:space="preserve"> "  " &amp; Tabelle7[[#This Row],[EnuValue]] &amp; " = " &amp; Tabelle7[[#This Row],[Wert]]</f>
        <v xml:space="preserve">  mesDU_VAPORPERMEABILITYUNIT = 18</v>
      </c>
      <c r="H355" s="44" t="str">
        <f>"  If Wert = " &amp; Tabelle7[[#This Row],[EnuValue]] &amp; " then Res = ""." &amp; Tabelle7[[#This Row],[EnuRohValue]] &amp; "."""</f>
        <v xml:space="preserve">  If Wert = mesDU_VAPORPERMEABILITYUNIT then Res = ".VAPORPERMEABILITYUNIT."</v>
      </c>
      <c r="I355" s="44" t="str">
        <f>"  If wert = ""." &amp; Tabelle7[[#This Row],[EnuRohValue]] &amp; "."" Then Res = " &amp; Tabelle7[[#This Row],[EnuValue]]</f>
        <v xml:space="preserve">  If wert = ".VAPORPERMEABILITYUNIT." Then Res = mesDU_VAPORPERMEABILITYUNIT</v>
      </c>
    </row>
    <row r="356" spans="2:9" x14ac:dyDescent="0.25">
      <c r="B356" s="44">
        <v>19</v>
      </c>
      <c r="C356" s="45" t="s">
        <v>1542</v>
      </c>
      <c r="D356" s="44" t="s">
        <v>3979</v>
      </c>
      <c r="E356" s="44" t="str">
        <f>VLOOKUP(Tabelle7[[#This Row],[EnumName]],Enum[[IFC-Name]:[Präfix]],5,FALSE)&amp;Tabelle7[[#This Row],[EnuRohValue]]</f>
        <v>mesDU_VOLUMETRICFLOWRATEUNIT</v>
      </c>
      <c r="F356" s="44">
        <f>COUNTIF(Tabelle7[EnuValue],Tabelle7[[#This Row],[EnuValue]])</f>
        <v>1</v>
      </c>
      <c r="G356" s="44" t="str">
        <f xml:space="preserve"> "  " &amp; Tabelle7[[#This Row],[EnuValue]] &amp; " = " &amp; Tabelle7[[#This Row],[Wert]]</f>
        <v xml:space="preserve">  mesDU_VOLUMETRICFLOWRATEUNIT = 19</v>
      </c>
      <c r="H356" s="44" t="str">
        <f>"  If Wert = " &amp; Tabelle7[[#This Row],[EnuValue]] &amp; " then Res = ""." &amp; Tabelle7[[#This Row],[EnuRohValue]] &amp; "."""</f>
        <v xml:space="preserve">  If Wert = mesDU_VOLUMETRICFLOWRATEUNIT then Res = ".VOLUMETRICFLOWRATEUNIT."</v>
      </c>
      <c r="I356" s="44" t="str">
        <f>"  If wert = ""." &amp; Tabelle7[[#This Row],[EnuRohValue]] &amp; "."" Then Res = " &amp; Tabelle7[[#This Row],[EnuValue]]</f>
        <v xml:space="preserve">  If wert = ".VOLUMETRICFLOWRATEUNIT." Then Res = mesDU_VOLUMETRICFLOWRATEUNIT</v>
      </c>
    </row>
    <row r="357" spans="2:9" x14ac:dyDescent="0.25">
      <c r="B357" s="44">
        <v>20</v>
      </c>
      <c r="C357" s="45" t="s">
        <v>1542</v>
      </c>
      <c r="D357" s="44" t="s">
        <v>3980</v>
      </c>
      <c r="E357" s="44" t="str">
        <f>VLOOKUP(Tabelle7[[#This Row],[EnumName]],Enum[[IFC-Name]:[Präfix]],5,FALSE)&amp;Tabelle7[[#This Row],[EnuRohValue]]</f>
        <v>mesDU_ROTATIONALFREQUENCYUNIT</v>
      </c>
      <c r="F357" s="44">
        <f>COUNTIF(Tabelle7[EnuValue],Tabelle7[[#This Row],[EnuValue]])</f>
        <v>1</v>
      </c>
      <c r="G357" s="44" t="str">
        <f xml:space="preserve"> "  " &amp; Tabelle7[[#This Row],[EnuValue]] &amp; " = " &amp; Tabelle7[[#This Row],[Wert]]</f>
        <v xml:space="preserve">  mesDU_ROTATIONALFREQUENCYUNIT = 20</v>
      </c>
      <c r="H357" s="44" t="str">
        <f>"  If Wert = " &amp; Tabelle7[[#This Row],[EnuValue]] &amp; " then Res = ""." &amp; Tabelle7[[#This Row],[EnuRohValue]] &amp; "."""</f>
        <v xml:space="preserve">  If Wert = mesDU_ROTATIONALFREQUENCYUNIT then Res = ".ROTATIONALFREQUENCYUNIT."</v>
      </c>
      <c r="I357" s="44" t="str">
        <f>"  If wert = ""." &amp; Tabelle7[[#This Row],[EnuRohValue]] &amp; "."" Then Res = " &amp; Tabelle7[[#This Row],[EnuValue]]</f>
        <v xml:space="preserve">  If wert = ".ROTATIONALFREQUENCYUNIT." Then Res = mesDU_ROTATIONALFREQUENCYUNIT</v>
      </c>
    </row>
    <row r="358" spans="2:9" x14ac:dyDescent="0.25">
      <c r="B358" s="44">
        <v>21</v>
      </c>
      <c r="C358" s="45" t="s">
        <v>1542</v>
      </c>
      <c r="D358" s="44" t="s">
        <v>3981</v>
      </c>
      <c r="E358" s="44" t="str">
        <f>VLOOKUP(Tabelle7[[#This Row],[EnumName]],Enum[[IFC-Name]:[Präfix]],5,FALSE)&amp;Tabelle7[[#This Row],[EnuRohValue]]</f>
        <v>mesDU_TORQUEUNIT</v>
      </c>
      <c r="F358" s="44">
        <f>COUNTIF(Tabelle7[EnuValue],Tabelle7[[#This Row],[EnuValue]])</f>
        <v>1</v>
      </c>
      <c r="G358" s="44" t="str">
        <f xml:space="preserve"> "  " &amp; Tabelle7[[#This Row],[EnuValue]] &amp; " = " &amp; Tabelle7[[#This Row],[Wert]]</f>
        <v xml:space="preserve">  mesDU_TORQUEUNIT = 21</v>
      </c>
      <c r="H358" s="44" t="str">
        <f>"  If Wert = " &amp; Tabelle7[[#This Row],[EnuValue]] &amp; " then Res = ""." &amp; Tabelle7[[#This Row],[EnuRohValue]] &amp; "."""</f>
        <v xml:space="preserve">  If Wert = mesDU_TORQUEUNIT then Res = ".TORQUEUNIT."</v>
      </c>
      <c r="I358" s="44" t="str">
        <f>"  If wert = ""." &amp; Tabelle7[[#This Row],[EnuRohValue]] &amp; "."" Then Res = " &amp; Tabelle7[[#This Row],[EnuValue]]</f>
        <v xml:space="preserve">  If wert = ".TORQUEUNIT." Then Res = mesDU_TORQUEUNIT</v>
      </c>
    </row>
    <row r="359" spans="2:9" x14ac:dyDescent="0.25">
      <c r="B359" s="44">
        <v>22</v>
      </c>
      <c r="C359" s="45" t="s">
        <v>1542</v>
      </c>
      <c r="D359" s="44" t="s">
        <v>3982</v>
      </c>
      <c r="E359" s="44" t="str">
        <f>VLOOKUP(Tabelle7[[#This Row],[EnumName]],Enum[[IFC-Name]:[Präfix]],5,FALSE)&amp;Tabelle7[[#This Row],[EnuRohValue]]</f>
        <v>mesDU_MOMENTOFINERTIAUNIT</v>
      </c>
      <c r="F359" s="44">
        <f>COUNTIF(Tabelle7[EnuValue],Tabelle7[[#This Row],[EnuValue]])</f>
        <v>1</v>
      </c>
      <c r="G359" s="44" t="str">
        <f xml:space="preserve"> "  " &amp; Tabelle7[[#This Row],[EnuValue]] &amp; " = " &amp; Tabelle7[[#This Row],[Wert]]</f>
        <v xml:space="preserve">  mesDU_MOMENTOFINERTIAUNIT = 22</v>
      </c>
      <c r="H359" s="44" t="str">
        <f>"  If Wert = " &amp; Tabelle7[[#This Row],[EnuValue]] &amp; " then Res = ""." &amp; Tabelle7[[#This Row],[EnuRohValue]] &amp; "."""</f>
        <v xml:space="preserve">  If Wert = mesDU_MOMENTOFINERTIAUNIT then Res = ".MOMENTOFINERTIAUNIT."</v>
      </c>
      <c r="I359" s="44" t="str">
        <f>"  If wert = ""." &amp; Tabelle7[[#This Row],[EnuRohValue]] &amp; "."" Then Res = " &amp; Tabelle7[[#This Row],[EnuValue]]</f>
        <v xml:space="preserve">  If wert = ".MOMENTOFINERTIAUNIT." Then Res = mesDU_MOMENTOFINERTIAUNIT</v>
      </c>
    </row>
    <row r="360" spans="2:9" x14ac:dyDescent="0.25">
      <c r="B360" s="44">
        <v>23</v>
      </c>
      <c r="C360" s="45" t="s">
        <v>1542</v>
      </c>
      <c r="D360" s="44" t="s">
        <v>3983</v>
      </c>
      <c r="E360" s="44" t="str">
        <f>VLOOKUP(Tabelle7[[#This Row],[EnumName]],Enum[[IFC-Name]:[Präfix]],5,FALSE)&amp;Tabelle7[[#This Row],[EnuRohValue]]</f>
        <v>mesDU_LINEARMOMENTUNIT</v>
      </c>
      <c r="F360" s="44">
        <f>COUNTIF(Tabelle7[EnuValue],Tabelle7[[#This Row],[EnuValue]])</f>
        <v>1</v>
      </c>
      <c r="G360" s="44" t="str">
        <f xml:space="preserve"> "  " &amp; Tabelle7[[#This Row],[EnuValue]] &amp; " = " &amp; Tabelle7[[#This Row],[Wert]]</f>
        <v xml:space="preserve">  mesDU_LINEARMOMENTUNIT = 23</v>
      </c>
      <c r="H360" s="44" t="str">
        <f>"  If Wert = " &amp; Tabelle7[[#This Row],[EnuValue]] &amp; " then Res = ""." &amp; Tabelle7[[#This Row],[EnuRohValue]] &amp; "."""</f>
        <v xml:space="preserve">  If Wert = mesDU_LINEARMOMENTUNIT then Res = ".LINEARMOMENTUNIT."</v>
      </c>
      <c r="I360" s="44" t="str">
        <f>"  If wert = ""." &amp; Tabelle7[[#This Row],[EnuRohValue]] &amp; "."" Then Res = " &amp; Tabelle7[[#This Row],[EnuValue]]</f>
        <v xml:space="preserve">  If wert = ".LINEARMOMENTUNIT." Then Res = mesDU_LINEARMOMENTUNIT</v>
      </c>
    </row>
    <row r="361" spans="2:9" x14ac:dyDescent="0.25">
      <c r="B361" s="44">
        <v>24</v>
      </c>
      <c r="C361" s="45" t="s">
        <v>1542</v>
      </c>
      <c r="D361" s="44" t="s">
        <v>3984</v>
      </c>
      <c r="E361" s="44" t="str">
        <f>VLOOKUP(Tabelle7[[#This Row],[EnumName]],Enum[[IFC-Name]:[Präfix]],5,FALSE)&amp;Tabelle7[[#This Row],[EnuRohValue]]</f>
        <v>mesDU_LINEARFORCEUNIT</v>
      </c>
      <c r="F361" s="44">
        <f>COUNTIF(Tabelle7[EnuValue],Tabelle7[[#This Row],[EnuValue]])</f>
        <v>1</v>
      </c>
      <c r="G361" s="44" t="str">
        <f xml:space="preserve"> "  " &amp; Tabelle7[[#This Row],[EnuValue]] &amp; " = " &amp; Tabelle7[[#This Row],[Wert]]</f>
        <v xml:space="preserve">  mesDU_LINEARFORCEUNIT = 24</v>
      </c>
      <c r="H361" s="44" t="str">
        <f>"  If Wert = " &amp; Tabelle7[[#This Row],[EnuValue]] &amp; " then Res = ""." &amp; Tabelle7[[#This Row],[EnuRohValue]] &amp; "."""</f>
        <v xml:space="preserve">  If Wert = mesDU_LINEARFORCEUNIT then Res = ".LINEARFORCEUNIT."</v>
      </c>
      <c r="I361" s="44" t="str">
        <f>"  If wert = ""." &amp; Tabelle7[[#This Row],[EnuRohValue]] &amp; "."" Then Res = " &amp; Tabelle7[[#This Row],[EnuValue]]</f>
        <v xml:space="preserve">  If wert = ".LINEARFORCEUNIT." Then Res = mesDU_LINEARFORCEUNIT</v>
      </c>
    </row>
    <row r="362" spans="2:9" x14ac:dyDescent="0.25">
      <c r="B362" s="44">
        <v>25</v>
      </c>
      <c r="C362" s="45" t="s">
        <v>1542</v>
      </c>
      <c r="D362" s="44" t="s">
        <v>3985</v>
      </c>
      <c r="E362" s="44" t="str">
        <f>VLOOKUP(Tabelle7[[#This Row],[EnumName]],Enum[[IFC-Name]:[Präfix]],5,FALSE)&amp;Tabelle7[[#This Row],[EnuRohValue]]</f>
        <v>mesDU_PLANARFORCEUNIT</v>
      </c>
      <c r="F362" s="44">
        <f>COUNTIF(Tabelle7[EnuValue],Tabelle7[[#This Row],[EnuValue]])</f>
        <v>1</v>
      </c>
      <c r="G362" s="44" t="str">
        <f xml:space="preserve"> "  " &amp; Tabelle7[[#This Row],[EnuValue]] &amp; " = " &amp; Tabelle7[[#This Row],[Wert]]</f>
        <v xml:space="preserve">  mesDU_PLANARFORCEUNIT = 25</v>
      </c>
      <c r="H362" s="44" t="str">
        <f>"  If Wert = " &amp; Tabelle7[[#This Row],[EnuValue]] &amp; " then Res = ""." &amp; Tabelle7[[#This Row],[EnuRohValue]] &amp; "."""</f>
        <v xml:space="preserve">  If Wert = mesDU_PLANARFORCEUNIT then Res = ".PLANARFORCEUNIT."</v>
      </c>
      <c r="I362" s="44" t="str">
        <f>"  If wert = ""." &amp; Tabelle7[[#This Row],[EnuRohValue]] &amp; "."" Then Res = " &amp; Tabelle7[[#This Row],[EnuValue]]</f>
        <v xml:space="preserve">  If wert = ".PLANARFORCEUNIT." Then Res = mesDU_PLANARFORCEUNIT</v>
      </c>
    </row>
    <row r="363" spans="2:9" x14ac:dyDescent="0.25">
      <c r="B363" s="44">
        <v>26</v>
      </c>
      <c r="C363" s="45" t="s">
        <v>1542</v>
      </c>
      <c r="D363" s="44" t="s">
        <v>3986</v>
      </c>
      <c r="E363" s="44" t="str">
        <f>VLOOKUP(Tabelle7[[#This Row],[EnumName]],Enum[[IFC-Name]:[Präfix]],5,FALSE)&amp;Tabelle7[[#This Row],[EnuRohValue]]</f>
        <v>mesDU_MODULUSOFELASTICITYUNIT</v>
      </c>
      <c r="F363" s="44">
        <f>COUNTIF(Tabelle7[EnuValue],Tabelle7[[#This Row],[EnuValue]])</f>
        <v>1</v>
      </c>
      <c r="G363" s="44" t="str">
        <f xml:space="preserve"> "  " &amp; Tabelle7[[#This Row],[EnuValue]] &amp; " = " &amp; Tabelle7[[#This Row],[Wert]]</f>
        <v xml:space="preserve">  mesDU_MODULUSOFELASTICITYUNIT = 26</v>
      </c>
      <c r="H363" s="44" t="str">
        <f>"  If Wert = " &amp; Tabelle7[[#This Row],[EnuValue]] &amp; " then Res = ""." &amp; Tabelle7[[#This Row],[EnuRohValue]] &amp; "."""</f>
        <v xml:space="preserve">  If Wert = mesDU_MODULUSOFELASTICITYUNIT then Res = ".MODULUSOFELASTICITYUNIT."</v>
      </c>
      <c r="I363" s="44" t="str">
        <f>"  If wert = ""." &amp; Tabelle7[[#This Row],[EnuRohValue]] &amp; "."" Then Res = " &amp; Tabelle7[[#This Row],[EnuValue]]</f>
        <v xml:space="preserve">  If wert = ".MODULUSOFELASTICITYUNIT." Then Res = mesDU_MODULUSOFELASTICITYUNIT</v>
      </c>
    </row>
    <row r="364" spans="2:9" x14ac:dyDescent="0.25">
      <c r="B364" s="44">
        <v>27</v>
      </c>
      <c r="C364" s="45" t="s">
        <v>1542</v>
      </c>
      <c r="D364" s="44" t="s">
        <v>3987</v>
      </c>
      <c r="E364" s="44" t="str">
        <f>VLOOKUP(Tabelle7[[#This Row],[EnumName]],Enum[[IFC-Name]:[Präfix]],5,FALSE)&amp;Tabelle7[[#This Row],[EnuRohValue]]</f>
        <v>mesDU_SHEARMODULUSUNIT</v>
      </c>
      <c r="F364" s="44">
        <f>COUNTIF(Tabelle7[EnuValue],Tabelle7[[#This Row],[EnuValue]])</f>
        <v>1</v>
      </c>
      <c r="G364" s="44" t="str">
        <f xml:space="preserve"> "  " &amp; Tabelle7[[#This Row],[EnuValue]] &amp; " = " &amp; Tabelle7[[#This Row],[Wert]]</f>
        <v xml:space="preserve">  mesDU_SHEARMODULUSUNIT = 27</v>
      </c>
      <c r="H364" s="44" t="str">
        <f>"  If Wert = " &amp; Tabelle7[[#This Row],[EnuValue]] &amp; " then Res = ""." &amp; Tabelle7[[#This Row],[EnuRohValue]] &amp; "."""</f>
        <v xml:space="preserve">  If Wert = mesDU_SHEARMODULUSUNIT then Res = ".SHEARMODULUSUNIT."</v>
      </c>
      <c r="I364" s="44" t="str">
        <f>"  If wert = ""." &amp; Tabelle7[[#This Row],[EnuRohValue]] &amp; "."" Then Res = " &amp; Tabelle7[[#This Row],[EnuValue]]</f>
        <v xml:space="preserve">  If wert = ".SHEARMODULUSUNIT." Then Res = mesDU_SHEARMODULUSUNIT</v>
      </c>
    </row>
    <row r="365" spans="2:9" x14ac:dyDescent="0.25">
      <c r="B365" s="44">
        <v>28</v>
      </c>
      <c r="C365" s="45" t="s">
        <v>1542</v>
      </c>
      <c r="D365" s="44" t="s">
        <v>3988</v>
      </c>
      <c r="E365" s="44" t="str">
        <f>VLOOKUP(Tabelle7[[#This Row],[EnumName]],Enum[[IFC-Name]:[Präfix]],5,FALSE)&amp;Tabelle7[[#This Row],[EnuRohValue]]</f>
        <v>mesDU_LINEARSTIFFNESSUNIT</v>
      </c>
      <c r="F365" s="44">
        <f>COUNTIF(Tabelle7[EnuValue],Tabelle7[[#This Row],[EnuValue]])</f>
        <v>1</v>
      </c>
      <c r="G365" s="44" t="str">
        <f xml:space="preserve"> "  " &amp; Tabelle7[[#This Row],[EnuValue]] &amp; " = " &amp; Tabelle7[[#This Row],[Wert]]</f>
        <v xml:space="preserve">  mesDU_LINEARSTIFFNESSUNIT = 28</v>
      </c>
      <c r="H365" s="44" t="str">
        <f>"  If Wert = " &amp; Tabelle7[[#This Row],[EnuValue]] &amp; " then Res = ""." &amp; Tabelle7[[#This Row],[EnuRohValue]] &amp; "."""</f>
        <v xml:space="preserve">  If Wert = mesDU_LINEARSTIFFNESSUNIT then Res = ".LINEARSTIFFNESSUNIT."</v>
      </c>
      <c r="I365" s="44" t="str">
        <f>"  If wert = ""." &amp; Tabelle7[[#This Row],[EnuRohValue]] &amp; "."" Then Res = " &amp; Tabelle7[[#This Row],[EnuValue]]</f>
        <v xml:space="preserve">  If wert = ".LINEARSTIFFNESSUNIT." Then Res = mesDU_LINEARSTIFFNESSUNIT</v>
      </c>
    </row>
    <row r="366" spans="2:9" x14ac:dyDescent="0.25">
      <c r="B366" s="44">
        <v>29</v>
      </c>
      <c r="C366" s="45" t="s">
        <v>1542</v>
      </c>
      <c r="D366" s="44" t="s">
        <v>3989</v>
      </c>
      <c r="E366" s="44" t="str">
        <f>VLOOKUP(Tabelle7[[#This Row],[EnumName]],Enum[[IFC-Name]:[Präfix]],5,FALSE)&amp;Tabelle7[[#This Row],[EnuRohValue]]</f>
        <v>mesDU_ROTATIONALSTIFFNESSUNIT</v>
      </c>
      <c r="F366" s="44">
        <f>COUNTIF(Tabelle7[EnuValue],Tabelle7[[#This Row],[EnuValue]])</f>
        <v>1</v>
      </c>
      <c r="G366" s="44" t="str">
        <f xml:space="preserve"> "  " &amp; Tabelle7[[#This Row],[EnuValue]] &amp; " = " &amp; Tabelle7[[#This Row],[Wert]]</f>
        <v xml:space="preserve">  mesDU_ROTATIONALSTIFFNESSUNIT = 29</v>
      </c>
      <c r="H366" s="44" t="str">
        <f>"  If Wert = " &amp; Tabelle7[[#This Row],[EnuValue]] &amp; " then Res = ""." &amp; Tabelle7[[#This Row],[EnuRohValue]] &amp; "."""</f>
        <v xml:space="preserve">  If Wert = mesDU_ROTATIONALSTIFFNESSUNIT then Res = ".ROTATIONALSTIFFNESSUNIT."</v>
      </c>
      <c r="I366" s="44" t="str">
        <f>"  If wert = ""." &amp; Tabelle7[[#This Row],[EnuRohValue]] &amp; "."" Then Res = " &amp; Tabelle7[[#This Row],[EnuValue]]</f>
        <v xml:space="preserve">  If wert = ".ROTATIONALSTIFFNESSUNIT." Then Res = mesDU_ROTATIONALSTIFFNESSUNIT</v>
      </c>
    </row>
    <row r="367" spans="2:9" x14ac:dyDescent="0.25">
      <c r="B367" s="44">
        <v>30</v>
      </c>
      <c r="C367" s="45" t="s">
        <v>1542</v>
      </c>
      <c r="D367" s="44" t="s">
        <v>3990</v>
      </c>
      <c r="E367" s="44" t="str">
        <f>VLOOKUP(Tabelle7[[#This Row],[EnumName]],Enum[[IFC-Name]:[Präfix]],5,FALSE)&amp;Tabelle7[[#This Row],[EnuRohValue]]</f>
        <v>mesDU_MODULUSOFSUBGRADEREACTIONUNIT</v>
      </c>
      <c r="F367" s="44">
        <f>COUNTIF(Tabelle7[EnuValue],Tabelle7[[#This Row],[EnuValue]])</f>
        <v>1</v>
      </c>
      <c r="G367" s="44" t="str">
        <f xml:space="preserve"> "  " &amp; Tabelle7[[#This Row],[EnuValue]] &amp; " = " &amp; Tabelle7[[#This Row],[Wert]]</f>
        <v xml:space="preserve">  mesDU_MODULUSOFSUBGRADEREACTIONUNIT = 30</v>
      </c>
      <c r="H367" s="44" t="str">
        <f>"  If Wert = " &amp; Tabelle7[[#This Row],[EnuValue]] &amp; " then Res = ""." &amp; Tabelle7[[#This Row],[EnuRohValue]] &amp; "."""</f>
        <v xml:space="preserve">  If Wert = mesDU_MODULUSOFSUBGRADEREACTIONUNIT then Res = ".MODULUSOFSUBGRADEREACTIONUNIT."</v>
      </c>
      <c r="I367" s="44" t="str">
        <f>"  If wert = ""." &amp; Tabelle7[[#This Row],[EnuRohValue]] &amp; "."" Then Res = " &amp; Tabelle7[[#This Row],[EnuValue]]</f>
        <v xml:space="preserve">  If wert = ".MODULUSOFSUBGRADEREACTIONUNIT." Then Res = mesDU_MODULUSOFSUBGRADEREACTIONUNIT</v>
      </c>
    </row>
    <row r="368" spans="2:9" x14ac:dyDescent="0.25">
      <c r="B368" s="44">
        <v>31</v>
      </c>
      <c r="C368" s="45" t="s">
        <v>1542</v>
      </c>
      <c r="D368" s="44" t="s">
        <v>3991</v>
      </c>
      <c r="E368" s="44" t="str">
        <f>VLOOKUP(Tabelle7[[#This Row],[EnumName]],Enum[[IFC-Name]:[Präfix]],5,FALSE)&amp;Tabelle7[[#This Row],[EnuRohValue]]</f>
        <v>mesDU_ACCELERATIONUNIT</v>
      </c>
      <c r="F368" s="44">
        <f>COUNTIF(Tabelle7[EnuValue],Tabelle7[[#This Row],[EnuValue]])</f>
        <v>1</v>
      </c>
      <c r="G368" s="44" t="str">
        <f xml:space="preserve"> "  " &amp; Tabelle7[[#This Row],[EnuValue]] &amp; " = " &amp; Tabelle7[[#This Row],[Wert]]</f>
        <v xml:space="preserve">  mesDU_ACCELERATIONUNIT = 31</v>
      </c>
      <c r="H368" s="44" t="str">
        <f>"  If Wert = " &amp; Tabelle7[[#This Row],[EnuValue]] &amp; " then Res = ""." &amp; Tabelle7[[#This Row],[EnuRohValue]] &amp; "."""</f>
        <v xml:space="preserve">  If Wert = mesDU_ACCELERATIONUNIT then Res = ".ACCELERATIONUNIT."</v>
      </c>
      <c r="I368" s="44" t="str">
        <f>"  If wert = ""." &amp; Tabelle7[[#This Row],[EnuRohValue]] &amp; "."" Then Res = " &amp; Tabelle7[[#This Row],[EnuValue]]</f>
        <v xml:space="preserve">  If wert = ".ACCELERATIONUNIT." Then Res = mesDU_ACCELERATIONUNIT</v>
      </c>
    </row>
    <row r="369" spans="2:9" x14ac:dyDescent="0.25">
      <c r="B369" s="44">
        <v>32</v>
      </c>
      <c r="C369" s="45" t="s">
        <v>1542</v>
      </c>
      <c r="D369" s="44" t="s">
        <v>3992</v>
      </c>
      <c r="E369" s="44" t="str">
        <f>VLOOKUP(Tabelle7[[#This Row],[EnumName]],Enum[[IFC-Name]:[Präfix]],5,FALSE)&amp;Tabelle7[[#This Row],[EnuRohValue]]</f>
        <v>mesDU_CURVATUREUNIT</v>
      </c>
      <c r="F369" s="44">
        <f>COUNTIF(Tabelle7[EnuValue],Tabelle7[[#This Row],[EnuValue]])</f>
        <v>1</v>
      </c>
      <c r="G369" s="44" t="str">
        <f xml:space="preserve"> "  " &amp; Tabelle7[[#This Row],[EnuValue]] &amp; " = " &amp; Tabelle7[[#This Row],[Wert]]</f>
        <v xml:space="preserve">  mesDU_CURVATUREUNIT = 32</v>
      </c>
      <c r="H369" s="44" t="str">
        <f>"  If Wert = " &amp; Tabelle7[[#This Row],[EnuValue]] &amp; " then Res = ""." &amp; Tabelle7[[#This Row],[EnuRohValue]] &amp; "."""</f>
        <v xml:space="preserve">  If Wert = mesDU_CURVATUREUNIT then Res = ".CURVATUREUNIT."</v>
      </c>
      <c r="I369" s="44" t="str">
        <f>"  If wert = ""." &amp; Tabelle7[[#This Row],[EnuRohValue]] &amp; "."" Then Res = " &amp; Tabelle7[[#This Row],[EnuValue]]</f>
        <v xml:space="preserve">  If wert = ".CURVATUREUNIT." Then Res = mesDU_CURVATUREUNIT</v>
      </c>
    </row>
    <row r="370" spans="2:9" x14ac:dyDescent="0.25">
      <c r="B370" s="44">
        <v>33</v>
      </c>
      <c r="C370" s="45" t="s">
        <v>1542</v>
      </c>
      <c r="D370" s="44" t="s">
        <v>3993</v>
      </c>
      <c r="E370" s="44" t="str">
        <f>VLOOKUP(Tabelle7[[#This Row],[EnumName]],Enum[[IFC-Name]:[Präfix]],5,FALSE)&amp;Tabelle7[[#This Row],[EnuRohValue]]</f>
        <v>mesDU_HEATINGVALUEUNIT</v>
      </c>
      <c r="F370" s="44">
        <f>COUNTIF(Tabelle7[EnuValue],Tabelle7[[#This Row],[EnuValue]])</f>
        <v>1</v>
      </c>
      <c r="G370" s="44" t="str">
        <f xml:space="preserve"> "  " &amp; Tabelle7[[#This Row],[EnuValue]] &amp; " = " &amp; Tabelle7[[#This Row],[Wert]]</f>
        <v xml:space="preserve">  mesDU_HEATINGVALUEUNIT = 33</v>
      </c>
      <c r="H370" s="44" t="str">
        <f>"  If Wert = " &amp; Tabelle7[[#This Row],[EnuValue]] &amp; " then Res = ""." &amp; Tabelle7[[#This Row],[EnuRohValue]] &amp; "."""</f>
        <v xml:space="preserve">  If Wert = mesDU_HEATINGVALUEUNIT then Res = ".HEATINGVALUEUNIT."</v>
      </c>
      <c r="I370" s="44" t="str">
        <f>"  If wert = ""." &amp; Tabelle7[[#This Row],[EnuRohValue]] &amp; "."" Then Res = " &amp; Tabelle7[[#This Row],[EnuValue]]</f>
        <v xml:space="preserve">  If wert = ".HEATINGVALUEUNIT." Then Res = mesDU_HEATINGVALUEUNIT</v>
      </c>
    </row>
    <row r="371" spans="2:9" x14ac:dyDescent="0.25">
      <c r="B371" s="44">
        <v>34</v>
      </c>
      <c r="C371" s="45" t="s">
        <v>1542</v>
      </c>
      <c r="D371" s="44" t="s">
        <v>3994</v>
      </c>
      <c r="E371" s="44" t="str">
        <f>VLOOKUP(Tabelle7[[#This Row],[EnumName]],Enum[[IFC-Name]:[Präfix]],5,FALSE)&amp;Tabelle7[[#This Row],[EnuRohValue]]</f>
        <v>mesDU_IONCONCENTRATIONUNIT</v>
      </c>
      <c r="F371" s="44">
        <f>COUNTIF(Tabelle7[EnuValue],Tabelle7[[#This Row],[EnuValue]])</f>
        <v>1</v>
      </c>
      <c r="G371" s="44" t="str">
        <f xml:space="preserve"> "  " &amp; Tabelle7[[#This Row],[EnuValue]] &amp; " = " &amp; Tabelle7[[#This Row],[Wert]]</f>
        <v xml:space="preserve">  mesDU_IONCONCENTRATIONUNIT = 34</v>
      </c>
      <c r="H371" s="44" t="str">
        <f>"  If Wert = " &amp; Tabelle7[[#This Row],[EnuValue]] &amp; " then Res = ""." &amp; Tabelle7[[#This Row],[EnuRohValue]] &amp; "."""</f>
        <v xml:space="preserve">  If Wert = mesDU_IONCONCENTRATIONUNIT then Res = ".IONCONCENTRATIONUNIT."</v>
      </c>
      <c r="I371" s="44" t="str">
        <f>"  If wert = ""." &amp; Tabelle7[[#This Row],[EnuRohValue]] &amp; "."" Then Res = " &amp; Tabelle7[[#This Row],[EnuValue]]</f>
        <v xml:space="preserve">  If wert = ".IONCONCENTRATIONUNIT." Then Res = mesDU_IONCONCENTRATIONUNIT</v>
      </c>
    </row>
    <row r="372" spans="2:9" x14ac:dyDescent="0.25">
      <c r="B372" s="44">
        <v>35</v>
      </c>
      <c r="C372" s="45" t="s">
        <v>1542</v>
      </c>
      <c r="D372" s="44" t="s">
        <v>3995</v>
      </c>
      <c r="E372" s="44" t="str">
        <f>VLOOKUP(Tabelle7[[#This Row],[EnumName]],Enum[[IFC-Name]:[Präfix]],5,FALSE)&amp;Tabelle7[[#This Row],[EnuRohValue]]</f>
        <v>mesDU_LUMINOUSINTENSITYDISTRIBUTIONUNIT</v>
      </c>
      <c r="F372" s="44">
        <f>COUNTIF(Tabelle7[EnuValue],Tabelle7[[#This Row],[EnuValue]])</f>
        <v>1</v>
      </c>
      <c r="G372" s="44" t="str">
        <f xml:space="preserve"> "  " &amp; Tabelle7[[#This Row],[EnuValue]] &amp; " = " &amp; Tabelle7[[#This Row],[Wert]]</f>
        <v xml:space="preserve">  mesDU_LUMINOUSINTENSITYDISTRIBUTIONUNIT = 35</v>
      </c>
      <c r="H372" s="44" t="str">
        <f>"  If Wert = " &amp; Tabelle7[[#This Row],[EnuValue]] &amp; " then Res = ""." &amp; Tabelle7[[#This Row],[EnuRohValue]] &amp; "."""</f>
        <v xml:space="preserve">  If Wert = mesDU_LUMINOUSINTENSITYDISTRIBUTIONUNIT then Res = ".LUMINOUSINTENSITYDISTRIBUTIONUNIT."</v>
      </c>
      <c r="I372" s="44" t="str">
        <f>"  If wert = ""." &amp; Tabelle7[[#This Row],[EnuRohValue]] &amp; "."" Then Res = " &amp; Tabelle7[[#This Row],[EnuValue]]</f>
        <v xml:space="preserve">  If wert = ".LUMINOUSINTENSITYDISTRIBUTIONUNIT." Then Res = mesDU_LUMINOUSINTENSITYDISTRIBUTIONUNIT</v>
      </c>
    </row>
    <row r="373" spans="2:9" x14ac:dyDescent="0.25">
      <c r="B373" s="44">
        <v>36</v>
      </c>
      <c r="C373" s="45" t="s">
        <v>1542</v>
      </c>
      <c r="D373" s="44" t="s">
        <v>3996</v>
      </c>
      <c r="E373" s="44" t="str">
        <f>VLOOKUP(Tabelle7[[#This Row],[EnumName]],Enum[[IFC-Name]:[Präfix]],5,FALSE)&amp;Tabelle7[[#This Row],[EnuRohValue]]</f>
        <v>mesDU_MASSPERLENGTHUNIT</v>
      </c>
      <c r="F373" s="44">
        <f>COUNTIF(Tabelle7[EnuValue],Tabelle7[[#This Row],[EnuValue]])</f>
        <v>1</v>
      </c>
      <c r="G373" s="44" t="str">
        <f xml:space="preserve"> "  " &amp; Tabelle7[[#This Row],[EnuValue]] &amp; " = " &amp; Tabelle7[[#This Row],[Wert]]</f>
        <v xml:space="preserve">  mesDU_MASSPERLENGTHUNIT = 36</v>
      </c>
      <c r="H373" s="44" t="str">
        <f>"  If Wert = " &amp; Tabelle7[[#This Row],[EnuValue]] &amp; " then Res = ""." &amp; Tabelle7[[#This Row],[EnuRohValue]] &amp; "."""</f>
        <v xml:space="preserve">  If Wert = mesDU_MASSPERLENGTHUNIT then Res = ".MASSPERLENGTHUNIT."</v>
      </c>
      <c r="I373" s="44" t="str">
        <f>"  If wert = ""." &amp; Tabelle7[[#This Row],[EnuRohValue]] &amp; "."" Then Res = " &amp; Tabelle7[[#This Row],[EnuValue]]</f>
        <v xml:space="preserve">  If wert = ".MASSPERLENGTHUNIT." Then Res = mesDU_MASSPERLENGTHUNIT</v>
      </c>
    </row>
    <row r="374" spans="2:9" x14ac:dyDescent="0.25">
      <c r="B374" s="44">
        <v>37</v>
      </c>
      <c r="C374" s="45" t="s">
        <v>1542</v>
      </c>
      <c r="D374" s="44" t="s">
        <v>3997</v>
      </c>
      <c r="E374" s="44" t="str">
        <f>VLOOKUP(Tabelle7[[#This Row],[EnumName]],Enum[[IFC-Name]:[Präfix]],5,FALSE)&amp;Tabelle7[[#This Row],[EnuRohValue]]</f>
        <v>mesDU_MODULUSOFLINEARSUBGRADEREACTIONUNIT</v>
      </c>
      <c r="F374" s="44">
        <f>COUNTIF(Tabelle7[EnuValue],Tabelle7[[#This Row],[EnuValue]])</f>
        <v>1</v>
      </c>
      <c r="G374" s="44" t="str">
        <f xml:space="preserve"> "  " &amp; Tabelle7[[#This Row],[EnuValue]] &amp; " = " &amp; Tabelle7[[#This Row],[Wert]]</f>
        <v xml:space="preserve">  mesDU_MODULUSOFLINEARSUBGRADEREACTIONUNIT = 37</v>
      </c>
      <c r="H374" s="44" t="str">
        <f>"  If Wert = " &amp; Tabelle7[[#This Row],[EnuValue]] &amp; " then Res = ""." &amp; Tabelle7[[#This Row],[EnuRohValue]] &amp; "."""</f>
        <v xml:space="preserve">  If Wert = mesDU_MODULUSOFLINEARSUBGRADEREACTIONUNIT then Res = ".MODULUSOFLINEARSUBGRADEREACTIONUNIT."</v>
      </c>
      <c r="I374" s="44" t="str">
        <f>"  If wert = ""." &amp; Tabelle7[[#This Row],[EnuRohValue]] &amp; "."" Then Res = " &amp; Tabelle7[[#This Row],[EnuValue]]</f>
        <v xml:space="preserve">  If wert = ".MODULUSOFLINEARSUBGRADEREACTIONUNIT." Then Res = mesDU_MODULUSOFLINEARSUBGRADEREACTIONUNIT</v>
      </c>
    </row>
    <row r="375" spans="2:9" x14ac:dyDescent="0.25">
      <c r="B375" s="44">
        <v>38</v>
      </c>
      <c r="C375" s="45" t="s">
        <v>1542</v>
      </c>
      <c r="D375" s="44" t="s">
        <v>3998</v>
      </c>
      <c r="E375" s="44" t="str">
        <f>VLOOKUP(Tabelle7[[#This Row],[EnumName]],Enum[[IFC-Name]:[Präfix]],5,FALSE)&amp;Tabelle7[[#This Row],[EnuRohValue]]</f>
        <v>mesDU_MODULUSOFROTATIONALSUBGRADEREACTIONUNIT</v>
      </c>
      <c r="F375" s="44">
        <f>COUNTIF(Tabelle7[EnuValue],Tabelle7[[#This Row],[EnuValue]])</f>
        <v>1</v>
      </c>
      <c r="G375" s="44" t="str">
        <f xml:space="preserve"> "  " &amp; Tabelle7[[#This Row],[EnuValue]] &amp; " = " &amp; Tabelle7[[#This Row],[Wert]]</f>
        <v xml:space="preserve">  mesDU_MODULUSOFROTATIONALSUBGRADEREACTIONUNIT = 38</v>
      </c>
      <c r="H375" s="44" t="str">
        <f>"  If Wert = " &amp; Tabelle7[[#This Row],[EnuValue]] &amp; " then Res = ""." &amp; Tabelle7[[#This Row],[EnuRohValue]] &amp; "."""</f>
        <v xml:space="preserve">  If Wert = mesDU_MODULUSOFROTATIONALSUBGRADEREACTIONUNIT then Res = ".MODULUSOFROTATIONALSUBGRADEREACTIONUNIT."</v>
      </c>
      <c r="I375" s="44" t="str">
        <f>"  If wert = ""." &amp; Tabelle7[[#This Row],[EnuRohValue]] &amp; "."" Then Res = " &amp; Tabelle7[[#This Row],[EnuValue]]</f>
        <v xml:space="preserve">  If wert = ".MODULUSOFROTATIONALSUBGRADEREACTIONUNIT." Then Res = mesDU_MODULUSOFROTATIONALSUBGRADEREACTIONUNIT</v>
      </c>
    </row>
    <row r="376" spans="2:9" x14ac:dyDescent="0.25">
      <c r="B376" s="44">
        <v>39</v>
      </c>
      <c r="C376" s="45" t="s">
        <v>1542</v>
      </c>
      <c r="D376" s="44" t="s">
        <v>3999</v>
      </c>
      <c r="E376" s="44" t="str">
        <f>VLOOKUP(Tabelle7[[#This Row],[EnumName]],Enum[[IFC-Name]:[Präfix]],5,FALSE)&amp;Tabelle7[[#This Row],[EnuRohValue]]</f>
        <v>mesDU_PHUNIT</v>
      </c>
      <c r="F376" s="44">
        <f>COUNTIF(Tabelle7[EnuValue],Tabelle7[[#This Row],[EnuValue]])</f>
        <v>1</v>
      </c>
      <c r="G376" s="44" t="str">
        <f xml:space="preserve"> "  " &amp; Tabelle7[[#This Row],[EnuValue]] &amp; " = " &amp; Tabelle7[[#This Row],[Wert]]</f>
        <v xml:space="preserve">  mesDU_PHUNIT = 39</v>
      </c>
      <c r="H376" s="44" t="str">
        <f>"  If Wert = " &amp; Tabelle7[[#This Row],[EnuValue]] &amp; " then Res = ""." &amp; Tabelle7[[#This Row],[EnuRohValue]] &amp; "."""</f>
        <v xml:space="preserve">  If Wert = mesDU_PHUNIT then Res = ".PHUNIT."</v>
      </c>
      <c r="I376" s="44" t="str">
        <f>"  If wert = ""." &amp; Tabelle7[[#This Row],[EnuRohValue]] &amp; "."" Then Res = " &amp; Tabelle7[[#This Row],[EnuValue]]</f>
        <v xml:space="preserve">  If wert = ".PHUNIT." Then Res = mesDU_PHUNIT</v>
      </c>
    </row>
    <row r="377" spans="2:9" x14ac:dyDescent="0.25">
      <c r="B377" s="44">
        <v>40</v>
      </c>
      <c r="C377" s="45" t="s">
        <v>1542</v>
      </c>
      <c r="D377" s="44" t="s">
        <v>4000</v>
      </c>
      <c r="E377" s="44" t="str">
        <f>VLOOKUP(Tabelle7[[#This Row],[EnumName]],Enum[[IFC-Name]:[Präfix]],5,FALSE)&amp;Tabelle7[[#This Row],[EnuRohValue]]</f>
        <v>mesDU_ROTATIONALMASSUNIT</v>
      </c>
      <c r="F377" s="44">
        <f>COUNTIF(Tabelle7[EnuValue],Tabelle7[[#This Row],[EnuValue]])</f>
        <v>1</v>
      </c>
      <c r="G377" s="44" t="str">
        <f xml:space="preserve"> "  " &amp; Tabelle7[[#This Row],[EnuValue]] &amp; " = " &amp; Tabelle7[[#This Row],[Wert]]</f>
        <v xml:space="preserve">  mesDU_ROTATIONALMASSUNIT = 40</v>
      </c>
      <c r="H377" s="44" t="str">
        <f>"  If Wert = " &amp; Tabelle7[[#This Row],[EnuValue]] &amp; " then Res = ""." &amp; Tabelle7[[#This Row],[EnuRohValue]] &amp; "."""</f>
        <v xml:space="preserve">  If Wert = mesDU_ROTATIONALMASSUNIT then Res = ".ROTATIONALMASSUNIT."</v>
      </c>
      <c r="I377" s="44" t="str">
        <f>"  If wert = ""." &amp; Tabelle7[[#This Row],[EnuRohValue]] &amp; "."" Then Res = " &amp; Tabelle7[[#This Row],[EnuValue]]</f>
        <v xml:space="preserve">  If wert = ".ROTATIONALMASSUNIT." Then Res = mesDU_ROTATIONALMASSUNIT</v>
      </c>
    </row>
    <row r="378" spans="2:9" x14ac:dyDescent="0.25">
      <c r="B378" s="44">
        <v>41</v>
      </c>
      <c r="C378" s="45" t="s">
        <v>1542</v>
      </c>
      <c r="D378" s="44" t="s">
        <v>4001</v>
      </c>
      <c r="E378" s="44" t="str">
        <f>VLOOKUP(Tabelle7[[#This Row],[EnumName]],Enum[[IFC-Name]:[Präfix]],5,FALSE)&amp;Tabelle7[[#This Row],[EnuRohValue]]</f>
        <v>mesDU_SECTIONAREAINTEGRALUNIT</v>
      </c>
      <c r="F378" s="44">
        <f>COUNTIF(Tabelle7[EnuValue],Tabelle7[[#This Row],[EnuValue]])</f>
        <v>1</v>
      </c>
      <c r="G378" s="44" t="str">
        <f xml:space="preserve"> "  " &amp; Tabelle7[[#This Row],[EnuValue]] &amp; " = " &amp; Tabelle7[[#This Row],[Wert]]</f>
        <v xml:space="preserve">  mesDU_SECTIONAREAINTEGRALUNIT = 41</v>
      </c>
      <c r="H378" s="44" t="str">
        <f>"  If Wert = " &amp; Tabelle7[[#This Row],[EnuValue]] &amp; " then Res = ""." &amp; Tabelle7[[#This Row],[EnuRohValue]] &amp; "."""</f>
        <v xml:space="preserve">  If Wert = mesDU_SECTIONAREAINTEGRALUNIT then Res = ".SECTIONAREAINTEGRALUNIT."</v>
      </c>
      <c r="I378" s="44" t="str">
        <f>"  If wert = ""." &amp; Tabelle7[[#This Row],[EnuRohValue]] &amp; "."" Then Res = " &amp; Tabelle7[[#This Row],[EnuValue]]</f>
        <v xml:space="preserve">  If wert = ".SECTIONAREAINTEGRALUNIT." Then Res = mesDU_SECTIONAREAINTEGRALUNIT</v>
      </c>
    </row>
    <row r="379" spans="2:9" x14ac:dyDescent="0.25">
      <c r="B379" s="44">
        <v>42</v>
      </c>
      <c r="C379" s="45" t="s">
        <v>1542</v>
      </c>
      <c r="D379" s="44" t="s">
        <v>4002</v>
      </c>
      <c r="E379" s="44" t="str">
        <f>VLOOKUP(Tabelle7[[#This Row],[EnumName]],Enum[[IFC-Name]:[Präfix]],5,FALSE)&amp;Tabelle7[[#This Row],[EnuRohValue]]</f>
        <v>mesDU_SECTIONMODULUSUNIT</v>
      </c>
      <c r="F379" s="44">
        <f>COUNTIF(Tabelle7[EnuValue],Tabelle7[[#This Row],[EnuValue]])</f>
        <v>1</v>
      </c>
      <c r="G379" s="44" t="str">
        <f xml:space="preserve"> "  " &amp; Tabelle7[[#This Row],[EnuValue]] &amp; " = " &amp; Tabelle7[[#This Row],[Wert]]</f>
        <v xml:space="preserve">  mesDU_SECTIONMODULUSUNIT = 42</v>
      </c>
      <c r="H379" s="44" t="str">
        <f>"  If Wert = " &amp; Tabelle7[[#This Row],[EnuValue]] &amp; " then Res = ""." &amp; Tabelle7[[#This Row],[EnuRohValue]] &amp; "."""</f>
        <v xml:space="preserve">  If Wert = mesDU_SECTIONMODULUSUNIT then Res = ".SECTIONMODULUSUNIT."</v>
      </c>
      <c r="I379" s="44" t="str">
        <f>"  If wert = ""." &amp; Tabelle7[[#This Row],[EnuRohValue]] &amp; "."" Then Res = " &amp; Tabelle7[[#This Row],[EnuValue]]</f>
        <v xml:space="preserve">  If wert = ".SECTIONMODULUSUNIT." Then Res = mesDU_SECTIONMODULUSUNIT</v>
      </c>
    </row>
    <row r="380" spans="2:9" x14ac:dyDescent="0.25">
      <c r="B380" s="44">
        <v>43</v>
      </c>
      <c r="C380" s="45" t="s">
        <v>1542</v>
      </c>
      <c r="D380" s="44" t="s">
        <v>4003</v>
      </c>
      <c r="E380" s="44" t="str">
        <f>VLOOKUP(Tabelle7[[#This Row],[EnumName]],Enum[[IFC-Name]:[Präfix]],5,FALSE)&amp;Tabelle7[[#This Row],[EnuRohValue]]</f>
        <v>mesDU_SOUNDPOWERUNIT</v>
      </c>
      <c r="F380" s="44">
        <f>COUNTIF(Tabelle7[EnuValue],Tabelle7[[#This Row],[EnuValue]])</f>
        <v>1</v>
      </c>
      <c r="G380" s="44" t="str">
        <f xml:space="preserve"> "  " &amp; Tabelle7[[#This Row],[EnuValue]] &amp; " = " &amp; Tabelle7[[#This Row],[Wert]]</f>
        <v xml:space="preserve">  mesDU_SOUNDPOWERUNIT = 43</v>
      </c>
      <c r="H380" s="44" t="str">
        <f>"  If Wert = " &amp; Tabelle7[[#This Row],[EnuValue]] &amp; " then Res = ""." &amp; Tabelle7[[#This Row],[EnuRohValue]] &amp; "."""</f>
        <v xml:space="preserve">  If Wert = mesDU_SOUNDPOWERUNIT then Res = ".SOUNDPOWERUNIT."</v>
      </c>
      <c r="I380" s="44" t="str">
        <f>"  If wert = ""." &amp; Tabelle7[[#This Row],[EnuRohValue]] &amp; "."" Then Res = " &amp; Tabelle7[[#This Row],[EnuValue]]</f>
        <v xml:space="preserve">  If wert = ".SOUNDPOWERUNIT." Then Res = mesDU_SOUNDPOWERUNIT</v>
      </c>
    </row>
    <row r="381" spans="2:9" x14ac:dyDescent="0.25">
      <c r="B381" s="44">
        <v>44</v>
      </c>
      <c r="C381" s="45" t="s">
        <v>1542</v>
      </c>
      <c r="D381" s="44" t="s">
        <v>4004</v>
      </c>
      <c r="E381" s="44" t="str">
        <f>VLOOKUP(Tabelle7[[#This Row],[EnumName]],Enum[[IFC-Name]:[Präfix]],5,FALSE)&amp;Tabelle7[[#This Row],[EnuRohValue]]</f>
        <v>mesDU_SOUNDPRESSUREUNIT</v>
      </c>
      <c r="F381" s="44">
        <f>COUNTIF(Tabelle7[EnuValue],Tabelle7[[#This Row],[EnuValue]])</f>
        <v>1</v>
      </c>
      <c r="G381" s="44" t="str">
        <f xml:space="preserve"> "  " &amp; Tabelle7[[#This Row],[EnuValue]] &amp; " = " &amp; Tabelle7[[#This Row],[Wert]]</f>
        <v xml:space="preserve">  mesDU_SOUNDPRESSUREUNIT = 44</v>
      </c>
      <c r="H381" s="44" t="str">
        <f>"  If Wert = " &amp; Tabelle7[[#This Row],[EnuValue]] &amp; " then Res = ""." &amp; Tabelle7[[#This Row],[EnuRohValue]] &amp; "."""</f>
        <v xml:space="preserve">  If Wert = mesDU_SOUNDPRESSUREUNIT then Res = ".SOUNDPRESSUREUNIT."</v>
      </c>
      <c r="I381" s="44" t="str">
        <f>"  If wert = ""." &amp; Tabelle7[[#This Row],[EnuRohValue]] &amp; "."" Then Res = " &amp; Tabelle7[[#This Row],[EnuValue]]</f>
        <v xml:space="preserve">  If wert = ".SOUNDPRESSUREUNIT." Then Res = mesDU_SOUNDPRESSUREUNIT</v>
      </c>
    </row>
    <row r="382" spans="2:9" x14ac:dyDescent="0.25">
      <c r="B382" s="44">
        <v>45</v>
      </c>
      <c r="C382" s="45" t="s">
        <v>1542</v>
      </c>
      <c r="D382" s="44" t="s">
        <v>4005</v>
      </c>
      <c r="E382" s="44" t="str">
        <f>VLOOKUP(Tabelle7[[#This Row],[EnumName]],Enum[[IFC-Name]:[Präfix]],5,FALSE)&amp;Tabelle7[[#This Row],[EnuRohValue]]</f>
        <v>mesDU_TEMPERATUREGRADIENTUNIT</v>
      </c>
      <c r="F382" s="44">
        <f>COUNTIF(Tabelle7[EnuValue],Tabelle7[[#This Row],[EnuValue]])</f>
        <v>1</v>
      </c>
      <c r="G382" s="44" t="str">
        <f xml:space="preserve"> "  " &amp; Tabelle7[[#This Row],[EnuValue]] &amp; " = " &amp; Tabelle7[[#This Row],[Wert]]</f>
        <v xml:space="preserve">  mesDU_TEMPERATUREGRADIENTUNIT = 45</v>
      </c>
      <c r="H382" s="44" t="str">
        <f>"  If Wert = " &amp; Tabelle7[[#This Row],[EnuValue]] &amp; " then Res = ""." &amp; Tabelle7[[#This Row],[EnuRohValue]] &amp; "."""</f>
        <v xml:space="preserve">  If Wert = mesDU_TEMPERATUREGRADIENTUNIT then Res = ".TEMPERATUREGRADIENTUNIT."</v>
      </c>
      <c r="I382" s="44" t="str">
        <f>"  If wert = ""." &amp; Tabelle7[[#This Row],[EnuRohValue]] &amp; "."" Then Res = " &amp; Tabelle7[[#This Row],[EnuValue]]</f>
        <v xml:space="preserve">  If wert = ".TEMPERATUREGRADIENTUNIT." Then Res = mesDU_TEMPERATUREGRADIENTUNIT</v>
      </c>
    </row>
    <row r="383" spans="2:9" x14ac:dyDescent="0.25">
      <c r="B383" s="44">
        <v>46</v>
      </c>
      <c r="C383" s="45" t="s">
        <v>1542</v>
      </c>
      <c r="D383" s="44" t="s">
        <v>4006</v>
      </c>
      <c r="E383" s="44" t="str">
        <f>VLOOKUP(Tabelle7[[#This Row],[EnumName]],Enum[[IFC-Name]:[Präfix]],5,FALSE)&amp;Tabelle7[[#This Row],[EnuRohValue]]</f>
        <v>mesDU_THERMALEXPANSIONCOEFFICIENTUNIT</v>
      </c>
      <c r="F383" s="44">
        <f>COUNTIF(Tabelle7[EnuValue],Tabelle7[[#This Row],[EnuValue]])</f>
        <v>1</v>
      </c>
      <c r="G383" s="44" t="str">
        <f xml:space="preserve"> "  " &amp; Tabelle7[[#This Row],[EnuValue]] &amp; " = " &amp; Tabelle7[[#This Row],[Wert]]</f>
        <v xml:space="preserve">  mesDU_THERMALEXPANSIONCOEFFICIENTUNIT = 46</v>
      </c>
      <c r="H383" s="44" t="str">
        <f>"  If Wert = " &amp; Tabelle7[[#This Row],[EnuValue]] &amp; " then Res = ""." &amp; Tabelle7[[#This Row],[EnuRohValue]] &amp; "."""</f>
        <v xml:space="preserve">  If Wert = mesDU_THERMALEXPANSIONCOEFFICIENTUNIT then Res = ".THERMALEXPANSIONCOEFFICIENTUNIT."</v>
      </c>
      <c r="I383" s="44" t="str">
        <f>"  If wert = ""." &amp; Tabelle7[[#This Row],[EnuRohValue]] &amp; "."" Then Res = " &amp; Tabelle7[[#This Row],[EnuValue]]</f>
        <v xml:space="preserve">  If wert = ".THERMALEXPANSIONCOEFFICIENTUNIT." Then Res = mesDU_THERMALEXPANSIONCOEFFICIENTUNIT</v>
      </c>
    </row>
    <row r="384" spans="2:9" x14ac:dyDescent="0.25">
      <c r="B384" s="44">
        <v>47</v>
      </c>
      <c r="C384" s="45" t="s">
        <v>1542</v>
      </c>
      <c r="D384" s="44" t="s">
        <v>4007</v>
      </c>
      <c r="E384" s="44" t="str">
        <f>VLOOKUP(Tabelle7[[#This Row],[EnumName]],Enum[[IFC-Name]:[Präfix]],5,FALSE)&amp;Tabelle7[[#This Row],[EnuRohValue]]</f>
        <v>mesDU_WARPINGCONSTANTUNIT</v>
      </c>
      <c r="F384" s="44">
        <f>COUNTIF(Tabelle7[EnuValue],Tabelle7[[#This Row],[EnuValue]])</f>
        <v>1</v>
      </c>
      <c r="G384" s="44" t="str">
        <f xml:space="preserve"> "  " &amp; Tabelle7[[#This Row],[EnuValue]] &amp; " = " &amp; Tabelle7[[#This Row],[Wert]]</f>
        <v xml:space="preserve">  mesDU_WARPINGCONSTANTUNIT = 47</v>
      </c>
      <c r="H384" s="44" t="str">
        <f>"  If Wert = " &amp; Tabelle7[[#This Row],[EnuValue]] &amp; " then Res = ""." &amp; Tabelle7[[#This Row],[EnuRohValue]] &amp; "."""</f>
        <v xml:space="preserve">  If Wert = mesDU_WARPINGCONSTANTUNIT then Res = ".WARPINGCONSTANTUNIT."</v>
      </c>
      <c r="I384" s="44" t="str">
        <f>"  If wert = ""." &amp; Tabelle7[[#This Row],[EnuRohValue]] &amp; "."" Then Res = " &amp; Tabelle7[[#This Row],[EnuValue]]</f>
        <v xml:space="preserve">  If wert = ".WARPINGCONSTANTUNIT." Then Res = mesDU_WARPINGCONSTANTUNIT</v>
      </c>
    </row>
    <row r="385" spans="2:9" x14ac:dyDescent="0.25">
      <c r="B385" s="44">
        <v>48</v>
      </c>
      <c r="C385" s="45" t="s">
        <v>1542</v>
      </c>
      <c r="D385" s="44" t="s">
        <v>4008</v>
      </c>
      <c r="E385" s="44" t="str">
        <f>VLOOKUP(Tabelle7[[#This Row],[EnumName]],Enum[[IFC-Name]:[Präfix]],5,FALSE)&amp;Tabelle7[[#This Row],[EnuRohValue]]</f>
        <v>mesDU_WARPINGMOMENTUNIT</v>
      </c>
      <c r="F385" s="44">
        <f>COUNTIF(Tabelle7[EnuValue],Tabelle7[[#This Row],[EnuValue]])</f>
        <v>1</v>
      </c>
      <c r="G385" s="44" t="str">
        <f xml:space="preserve"> "  " &amp; Tabelle7[[#This Row],[EnuValue]] &amp; " = " &amp; Tabelle7[[#This Row],[Wert]]</f>
        <v xml:space="preserve">  mesDU_WARPINGMOMENTUNIT = 48</v>
      </c>
      <c r="H385" s="44" t="str">
        <f>"  If Wert = " &amp; Tabelle7[[#This Row],[EnuValue]] &amp; " then Res = ""." &amp; Tabelle7[[#This Row],[EnuRohValue]] &amp; "."""</f>
        <v xml:space="preserve">  If Wert = mesDU_WARPINGMOMENTUNIT then Res = ".WARPINGMOMENTUNIT."</v>
      </c>
      <c r="I385" s="44" t="str">
        <f>"  If wert = ""." &amp; Tabelle7[[#This Row],[EnuRohValue]] &amp; "."" Then Res = " &amp; Tabelle7[[#This Row],[EnuValue]]</f>
        <v xml:space="preserve">  If wert = ".WARPINGMOMENTUNIT." Then Res = mesDU_WARPINGMOMENTUNIT</v>
      </c>
    </row>
    <row r="386" spans="2:9" x14ac:dyDescent="0.25">
      <c r="B386" s="44">
        <v>49</v>
      </c>
      <c r="C386" s="45" t="s">
        <v>1542</v>
      </c>
      <c r="D386" s="44" t="s">
        <v>3682</v>
      </c>
      <c r="E386" s="44" t="str">
        <f>VLOOKUP(Tabelle7[[#This Row],[EnumName]],Enum[[IFC-Name]:[Präfix]],5,FALSE)&amp;Tabelle7[[#This Row],[EnuRohValue]]</f>
        <v>mesDU_USERDEFINED</v>
      </c>
      <c r="F386" s="44">
        <f>COUNTIF(Tabelle7[EnuValue],Tabelle7[[#This Row],[EnuValue]])</f>
        <v>1</v>
      </c>
      <c r="G386" s="44" t="str">
        <f xml:space="preserve"> "  " &amp; Tabelle7[[#This Row],[EnuValue]] &amp; " = " &amp; Tabelle7[[#This Row],[Wert]]</f>
        <v xml:space="preserve">  mesDU_USERDEFINED = 49</v>
      </c>
      <c r="H386" s="44" t="str">
        <f>"  If Wert = " &amp; Tabelle7[[#This Row],[EnuValue]] &amp; " then Res = ""." &amp; Tabelle7[[#This Row],[EnuRohValue]] &amp; "."""</f>
        <v xml:space="preserve">  If Wert = mesDU_USERDEFINED then Res = ".USERDEFINED."</v>
      </c>
      <c r="I386" s="44" t="str">
        <f>"  If wert = ""." &amp; Tabelle7[[#This Row],[EnuRohValue]] &amp; "."" Then Res = " &amp; Tabelle7[[#This Row],[EnuValue]]</f>
        <v xml:space="preserve">  If wert = ".USERDEFINED." Then Res = mesDU_USERDEFINED</v>
      </c>
    </row>
    <row r="387" spans="2:9" x14ac:dyDescent="0.25">
      <c r="B387" s="44">
        <v>1</v>
      </c>
      <c r="C387" s="45" t="s">
        <v>1543</v>
      </c>
      <c r="D387" s="44" t="s">
        <v>4009</v>
      </c>
      <c r="E387" s="44" t="str">
        <f>VLOOKUP(Tabelle7[[#This Row],[EnumName]],Enum[[IFC-Name]:[Präfix]],5,FALSE)&amp;Tabelle7[[#This Row],[EnuRohValue]]</f>
        <v>repDEU_ORIGIN</v>
      </c>
      <c r="F387" s="44">
        <f>COUNTIF(Tabelle7[EnuValue],Tabelle7[[#This Row],[EnuValue]])</f>
        <v>1</v>
      </c>
      <c r="G387" s="44" t="str">
        <f xml:space="preserve"> "  " &amp; Tabelle7[[#This Row],[EnuValue]] &amp; " = " &amp; Tabelle7[[#This Row],[Wert]]</f>
        <v xml:space="preserve">  repDEU_ORIGIN = 1</v>
      </c>
      <c r="H387" s="44" t="str">
        <f>"  If Wert = " &amp; Tabelle7[[#This Row],[EnuValue]] &amp; " then Res = ""." &amp; Tabelle7[[#This Row],[EnuRohValue]] &amp; "."""</f>
        <v xml:space="preserve">  If Wert = repDEU_ORIGIN then Res = ".ORIGIN."</v>
      </c>
      <c r="I387" s="44" t="str">
        <f>"  If wert = ""." &amp; Tabelle7[[#This Row],[EnuRohValue]] &amp; "."" Then Res = " &amp; Tabelle7[[#This Row],[EnuValue]]</f>
        <v xml:space="preserve">  If wert = ".ORIGIN." Then Res = repDEU_ORIGIN</v>
      </c>
    </row>
    <row r="388" spans="2:9" x14ac:dyDescent="0.25">
      <c r="B388" s="44">
        <v>2</v>
      </c>
      <c r="C388" s="45" t="s">
        <v>1543</v>
      </c>
      <c r="D388" s="44" t="s">
        <v>4010</v>
      </c>
      <c r="E388" s="44" t="str">
        <f>VLOOKUP(Tabelle7[[#This Row],[EnumName]],Enum[[IFC-Name]:[Präfix]],5,FALSE)&amp;Tabelle7[[#This Row],[EnuRohValue]]</f>
        <v>repDEU_TARGET</v>
      </c>
      <c r="F388" s="44">
        <f>COUNTIF(Tabelle7[EnuValue],Tabelle7[[#This Row],[EnuValue]])</f>
        <v>1</v>
      </c>
      <c r="G388" s="44" t="str">
        <f xml:space="preserve"> "  " &amp; Tabelle7[[#This Row],[EnuValue]] &amp; " = " &amp; Tabelle7[[#This Row],[Wert]]</f>
        <v xml:space="preserve">  repDEU_TARGET = 2</v>
      </c>
      <c r="H388" s="44" t="str">
        <f>"  If Wert = " &amp; Tabelle7[[#This Row],[EnuValue]] &amp; " then Res = ""." &amp; Tabelle7[[#This Row],[EnuRohValue]] &amp; "."""</f>
        <v xml:space="preserve">  If Wert = repDEU_TARGET then Res = ".TARGET."</v>
      </c>
      <c r="I388" s="44" t="str">
        <f>"  If wert = ""." &amp; Tabelle7[[#This Row],[EnuRohValue]] &amp; "."" Then Res = " &amp; Tabelle7[[#This Row],[EnuValue]]</f>
        <v xml:space="preserve">  If wert = ".TARGET." Then Res = repDEU_TARGET</v>
      </c>
    </row>
    <row r="389" spans="2:9" x14ac:dyDescent="0.25">
      <c r="B389" s="44">
        <v>1</v>
      </c>
      <c r="C389" s="45" t="s">
        <v>1544</v>
      </c>
      <c r="D389" s="44" t="s">
        <v>4011</v>
      </c>
      <c r="E389" s="44" t="str">
        <f>VLOOKUP(Tabelle7[[#This Row],[EnumName]],Enum[[IFC-Name]:[Präfix]],5,FALSE)&amp;Tabelle7[[#This Row],[EnuRohValue]]</f>
        <v>matDS_POSITIVE</v>
      </c>
      <c r="F389" s="44">
        <f>COUNTIF(Tabelle7[EnuValue],Tabelle7[[#This Row],[EnuValue]])</f>
        <v>1</v>
      </c>
      <c r="G389" s="44" t="str">
        <f xml:space="preserve"> "  " &amp; Tabelle7[[#This Row],[EnuValue]] &amp; " = " &amp; Tabelle7[[#This Row],[Wert]]</f>
        <v xml:space="preserve">  matDS_POSITIVE = 1</v>
      </c>
      <c r="H389" s="44" t="str">
        <f>"  If Wert = " &amp; Tabelle7[[#This Row],[EnuValue]] &amp; " then Res = ""." &amp; Tabelle7[[#This Row],[EnuRohValue]] &amp; "."""</f>
        <v xml:space="preserve">  If Wert = matDS_POSITIVE then Res = ".POSITIVE."</v>
      </c>
      <c r="I389" s="44" t="str">
        <f>"  If wert = ""." &amp; Tabelle7[[#This Row],[EnuRohValue]] &amp; "."" Then Res = " &amp; Tabelle7[[#This Row],[EnuValue]]</f>
        <v xml:space="preserve">  If wert = ".POSITIVE." Then Res = matDS_POSITIVE</v>
      </c>
    </row>
    <row r="390" spans="2:9" x14ac:dyDescent="0.25">
      <c r="B390" s="44">
        <v>2</v>
      </c>
      <c r="C390" s="45" t="s">
        <v>1544</v>
      </c>
      <c r="D390" s="44" t="s">
        <v>4012</v>
      </c>
      <c r="E390" s="44" t="str">
        <f>VLOOKUP(Tabelle7[[#This Row],[EnumName]],Enum[[IFC-Name]:[Präfix]],5,FALSE)&amp;Tabelle7[[#This Row],[EnuRohValue]]</f>
        <v>matDS_NEGATIVE</v>
      </c>
      <c r="F390" s="44">
        <f>COUNTIF(Tabelle7[EnuValue],Tabelle7[[#This Row],[EnuValue]])</f>
        <v>1</v>
      </c>
      <c r="G390" s="44" t="str">
        <f xml:space="preserve"> "  " &amp; Tabelle7[[#This Row],[EnuValue]] &amp; " = " &amp; Tabelle7[[#This Row],[Wert]]</f>
        <v xml:space="preserve">  matDS_NEGATIVE = 2</v>
      </c>
      <c r="H390" s="44" t="str">
        <f>"  If Wert = " &amp; Tabelle7[[#This Row],[EnuValue]] &amp; " then Res = ""." &amp; Tabelle7[[#This Row],[EnuRohValue]] &amp; "."""</f>
        <v xml:space="preserve">  If Wert = matDS_NEGATIVE then Res = ".NEGATIVE."</v>
      </c>
      <c r="I390" s="44" t="str">
        <f>"  If wert = ""." &amp; Tabelle7[[#This Row],[EnuRohValue]] &amp; "."" Then Res = " &amp; Tabelle7[[#This Row],[EnuValue]]</f>
        <v xml:space="preserve">  If wert = ".NEGATIVE." Then Res = matDS_NEGATIVE</v>
      </c>
    </row>
    <row r="391" spans="2:9" x14ac:dyDescent="0.25">
      <c r="B391" s="44">
        <v>1</v>
      </c>
      <c r="C391" s="45" t="s">
        <v>1545</v>
      </c>
      <c r="D391" s="44" t="s">
        <v>4013</v>
      </c>
      <c r="E391" s="44" t="str">
        <f>VLOOKUP(Tabelle7[[#This Row],[EnumName]],Enum[[IFC-Name]:[Präfix]],5,FALSE)&amp;Tabelle7[[#This Row],[EnuRohValue]]</f>
        <v>sbsDCET_FORMEDDUCT</v>
      </c>
      <c r="F391" s="44">
        <f>COUNTIF(Tabelle7[EnuValue],Tabelle7[[#This Row],[EnuValue]])</f>
        <v>1</v>
      </c>
      <c r="G391" s="44" t="str">
        <f xml:space="preserve"> "  " &amp; Tabelle7[[#This Row],[EnuValue]] &amp; " = " &amp; Tabelle7[[#This Row],[Wert]]</f>
        <v xml:space="preserve">  sbsDCET_FORMEDDUCT = 1</v>
      </c>
      <c r="H391" s="44" t="str">
        <f>"  If Wert = " &amp; Tabelle7[[#This Row],[EnuValue]] &amp; " then Res = ""." &amp; Tabelle7[[#This Row],[EnuRohValue]] &amp; "."""</f>
        <v xml:space="preserve">  If Wert = sbsDCET_FORMEDDUCT then Res = ".FORMEDDUCT."</v>
      </c>
      <c r="I391" s="44" t="str">
        <f>"  If wert = ""." &amp; Tabelle7[[#This Row],[EnuRohValue]] &amp; "."" Then Res = " &amp; Tabelle7[[#This Row],[EnuValue]]</f>
        <v xml:space="preserve">  If wert = ".FORMEDDUCT." Then Res = sbsDCET_FORMEDDUCT</v>
      </c>
    </row>
    <row r="392" spans="2:9" x14ac:dyDescent="0.25">
      <c r="B392" s="44">
        <v>2</v>
      </c>
      <c r="C392" s="45" t="s">
        <v>1545</v>
      </c>
      <c r="D392" s="44" t="s">
        <v>4014</v>
      </c>
      <c r="E392" s="44" t="str">
        <f>VLOOKUP(Tabelle7[[#This Row],[EnumName]],Enum[[IFC-Name]:[Präfix]],5,FALSE)&amp;Tabelle7[[#This Row],[EnuRohValue]]</f>
        <v>sbsDCET_INSPECTIONCHAMBER</v>
      </c>
      <c r="F392" s="44">
        <f>COUNTIF(Tabelle7[EnuValue],Tabelle7[[#This Row],[EnuValue]])</f>
        <v>1</v>
      </c>
      <c r="G392" s="44" t="str">
        <f xml:space="preserve"> "  " &amp; Tabelle7[[#This Row],[EnuValue]] &amp; " = " &amp; Tabelle7[[#This Row],[Wert]]</f>
        <v xml:space="preserve">  sbsDCET_INSPECTIONCHAMBER = 2</v>
      </c>
      <c r="H392" s="44" t="str">
        <f>"  If Wert = " &amp; Tabelle7[[#This Row],[EnuValue]] &amp; " then Res = ""." &amp; Tabelle7[[#This Row],[EnuRohValue]] &amp; "."""</f>
        <v xml:space="preserve">  If Wert = sbsDCET_INSPECTIONCHAMBER then Res = ".INSPECTIONCHAMBER."</v>
      </c>
      <c r="I392" s="44" t="str">
        <f>"  If wert = ""." &amp; Tabelle7[[#This Row],[EnuRohValue]] &amp; "."" Then Res = " &amp; Tabelle7[[#This Row],[EnuValue]]</f>
        <v xml:space="preserve">  If wert = ".INSPECTIONCHAMBER." Then Res = sbsDCET_INSPECTIONCHAMBER</v>
      </c>
    </row>
    <row r="393" spans="2:9" x14ac:dyDescent="0.25">
      <c r="B393" s="44">
        <v>3</v>
      </c>
      <c r="C393" s="45" t="s">
        <v>1545</v>
      </c>
      <c r="D393" s="44" t="s">
        <v>4015</v>
      </c>
      <c r="E393" s="44" t="str">
        <f>VLOOKUP(Tabelle7[[#This Row],[EnumName]],Enum[[IFC-Name]:[Präfix]],5,FALSE)&amp;Tabelle7[[#This Row],[EnuRohValue]]</f>
        <v>sbsDCET_INSPECTIONPIT</v>
      </c>
      <c r="F393" s="44">
        <f>COUNTIF(Tabelle7[EnuValue],Tabelle7[[#This Row],[EnuValue]])</f>
        <v>1</v>
      </c>
      <c r="G393" s="44" t="str">
        <f xml:space="preserve"> "  " &amp; Tabelle7[[#This Row],[EnuValue]] &amp; " = " &amp; Tabelle7[[#This Row],[Wert]]</f>
        <v xml:space="preserve">  sbsDCET_INSPECTIONPIT = 3</v>
      </c>
      <c r="H393" s="44" t="str">
        <f>"  If Wert = " &amp; Tabelle7[[#This Row],[EnuValue]] &amp; " then Res = ""." &amp; Tabelle7[[#This Row],[EnuRohValue]] &amp; "."""</f>
        <v xml:space="preserve">  If Wert = sbsDCET_INSPECTIONPIT then Res = ".INSPECTIONPIT."</v>
      </c>
      <c r="I393" s="44" t="str">
        <f>"  If wert = ""." &amp; Tabelle7[[#This Row],[EnuRohValue]] &amp; "."" Then Res = " &amp; Tabelle7[[#This Row],[EnuValue]]</f>
        <v xml:space="preserve">  If wert = ".INSPECTIONPIT." Then Res = sbsDCET_INSPECTIONPIT</v>
      </c>
    </row>
    <row r="394" spans="2:9" x14ac:dyDescent="0.25">
      <c r="B394" s="44">
        <v>4</v>
      </c>
      <c r="C394" s="45" t="s">
        <v>1545</v>
      </c>
      <c r="D394" s="44" t="s">
        <v>4016</v>
      </c>
      <c r="E394" s="44" t="str">
        <f>VLOOKUP(Tabelle7[[#This Row],[EnumName]],Enum[[IFC-Name]:[Präfix]],5,FALSE)&amp;Tabelle7[[#This Row],[EnuRohValue]]</f>
        <v>sbsDCET_MANHOLE</v>
      </c>
      <c r="F394" s="44">
        <f>COUNTIF(Tabelle7[EnuValue],Tabelle7[[#This Row],[EnuValue]])</f>
        <v>1</v>
      </c>
      <c r="G394" s="44" t="str">
        <f xml:space="preserve"> "  " &amp; Tabelle7[[#This Row],[EnuValue]] &amp; " = " &amp; Tabelle7[[#This Row],[Wert]]</f>
        <v xml:space="preserve">  sbsDCET_MANHOLE = 4</v>
      </c>
      <c r="H394" s="44" t="str">
        <f>"  If Wert = " &amp; Tabelle7[[#This Row],[EnuValue]] &amp; " then Res = ""." &amp; Tabelle7[[#This Row],[EnuRohValue]] &amp; "."""</f>
        <v xml:space="preserve">  If Wert = sbsDCET_MANHOLE then Res = ".MANHOLE."</v>
      </c>
      <c r="I394" s="44" t="str">
        <f>"  If wert = ""." &amp; Tabelle7[[#This Row],[EnuRohValue]] &amp; "."" Then Res = " &amp; Tabelle7[[#This Row],[EnuValue]]</f>
        <v xml:space="preserve">  If wert = ".MANHOLE." Then Res = sbsDCET_MANHOLE</v>
      </c>
    </row>
    <row r="395" spans="2:9" x14ac:dyDescent="0.25">
      <c r="B395" s="44">
        <v>5</v>
      </c>
      <c r="C395" s="45" t="s">
        <v>1545</v>
      </c>
      <c r="D395" s="44" t="s">
        <v>4017</v>
      </c>
      <c r="E395" s="44" t="str">
        <f>VLOOKUP(Tabelle7[[#This Row],[EnumName]],Enum[[IFC-Name]:[Präfix]],5,FALSE)&amp;Tabelle7[[#This Row],[EnuRohValue]]</f>
        <v>sbsDCET_METERCHAMBER</v>
      </c>
      <c r="F395" s="44">
        <f>COUNTIF(Tabelle7[EnuValue],Tabelle7[[#This Row],[EnuValue]])</f>
        <v>1</v>
      </c>
      <c r="G395" s="44" t="str">
        <f xml:space="preserve"> "  " &amp; Tabelle7[[#This Row],[EnuValue]] &amp; " = " &amp; Tabelle7[[#This Row],[Wert]]</f>
        <v xml:space="preserve">  sbsDCET_METERCHAMBER = 5</v>
      </c>
      <c r="H395" s="44" t="str">
        <f>"  If Wert = " &amp; Tabelle7[[#This Row],[EnuValue]] &amp; " then Res = ""." &amp; Tabelle7[[#This Row],[EnuRohValue]] &amp; "."""</f>
        <v xml:space="preserve">  If Wert = sbsDCET_METERCHAMBER then Res = ".METERCHAMBER."</v>
      </c>
      <c r="I395" s="44" t="str">
        <f>"  If wert = ""." &amp; Tabelle7[[#This Row],[EnuRohValue]] &amp; "."" Then Res = " &amp; Tabelle7[[#This Row],[EnuValue]]</f>
        <v xml:space="preserve">  If wert = ".METERCHAMBER." Then Res = sbsDCET_METERCHAMBER</v>
      </c>
    </row>
    <row r="396" spans="2:9" x14ac:dyDescent="0.25">
      <c r="B396" s="44">
        <v>6</v>
      </c>
      <c r="C396" s="45" t="s">
        <v>1545</v>
      </c>
      <c r="D396" s="44" t="s">
        <v>4018</v>
      </c>
      <c r="E396" s="44" t="str">
        <f>VLOOKUP(Tabelle7[[#This Row],[EnumName]],Enum[[IFC-Name]:[Präfix]],5,FALSE)&amp;Tabelle7[[#This Row],[EnuRohValue]]</f>
        <v>sbsDCET_SUMP</v>
      </c>
      <c r="F396" s="44">
        <f>COUNTIF(Tabelle7[EnuValue],Tabelle7[[#This Row],[EnuValue]])</f>
        <v>1</v>
      </c>
      <c r="G396" s="44" t="str">
        <f xml:space="preserve"> "  " &amp; Tabelle7[[#This Row],[EnuValue]] &amp; " = " &amp; Tabelle7[[#This Row],[Wert]]</f>
        <v xml:space="preserve">  sbsDCET_SUMP = 6</v>
      </c>
      <c r="H396" s="44" t="str">
        <f>"  If Wert = " &amp; Tabelle7[[#This Row],[EnuValue]] &amp; " then Res = ""." &amp; Tabelle7[[#This Row],[EnuRohValue]] &amp; "."""</f>
        <v xml:space="preserve">  If Wert = sbsDCET_SUMP then Res = ".SUMP."</v>
      </c>
      <c r="I396" s="44" t="str">
        <f>"  If wert = ""." &amp; Tabelle7[[#This Row],[EnuRohValue]] &amp; "."" Then Res = " &amp; Tabelle7[[#This Row],[EnuValue]]</f>
        <v xml:space="preserve">  If wert = ".SUMP." Then Res = sbsDCET_SUMP</v>
      </c>
    </row>
    <row r="397" spans="2:9" x14ac:dyDescent="0.25">
      <c r="B397" s="44">
        <v>7</v>
      </c>
      <c r="C397" s="45" t="s">
        <v>1545</v>
      </c>
      <c r="D397" s="44" t="s">
        <v>4019</v>
      </c>
      <c r="E397" s="44" t="str">
        <f>VLOOKUP(Tabelle7[[#This Row],[EnumName]],Enum[[IFC-Name]:[Präfix]],5,FALSE)&amp;Tabelle7[[#This Row],[EnuRohValue]]</f>
        <v>sbsDCET_TRENCH</v>
      </c>
      <c r="F397" s="44">
        <f>COUNTIF(Tabelle7[EnuValue],Tabelle7[[#This Row],[EnuValue]])</f>
        <v>1</v>
      </c>
      <c r="G397" s="44" t="str">
        <f xml:space="preserve"> "  " &amp; Tabelle7[[#This Row],[EnuValue]] &amp; " = " &amp; Tabelle7[[#This Row],[Wert]]</f>
        <v xml:space="preserve">  sbsDCET_TRENCH = 7</v>
      </c>
      <c r="H397" s="44" t="str">
        <f>"  If Wert = " &amp; Tabelle7[[#This Row],[EnuValue]] &amp; " then Res = ""." &amp; Tabelle7[[#This Row],[EnuRohValue]] &amp; "."""</f>
        <v xml:space="preserve">  If Wert = sbsDCET_TRENCH then Res = ".TRENCH."</v>
      </c>
      <c r="I397" s="44" t="str">
        <f>"  If wert = ""." &amp; Tabelle7[[#This Row],[EnuRohValue]] &amp; "."" Then Res = " &amp; Tabelle7[[#This Row],[EnuValue]]</f>
        <v xml:space="preserve">  If wert = ".TRENCH." Then Res = sbsDCET_TRENCH</v>
      </c>
    </row>
    <row r="398" spans="2:9" x14ac:dyDescent="0.25">
      <c r="B398" s="44">
        <v>8</v>
      </c>
      <c r="C398" s="45" t="s">
        <v>1545</v>
      </c>
      <c r="D398" s="44" t="s">
        <v>4020</v>
      </c>
      <c r="E398" s="44" t="str">
        <f>VLOOKUP(Tabelle7[[#This Row],[EnumName]],Enum[[IFC-Name]:[Präfix]],5,FALSE)&amp;Tabelle7[[#This Row],[EnuRohValue]]</f>
        <v>sbsDCET_VALVECHAMBER</v>
      </c>
      <c r="F398" s="44">
        <f>COUNTIF(Tabelle7[EnuValue],Tabelle7[[#This Row],[EnuValue]])</f>
        <v>1</v>
      </c>
      <c r="G398" s="44" t="str">
        <f xml:space="preserve"> "  " &amp; Tabelle7[[#This Row],[EnuValue]] &amp; " = " &amp; Tabelle7[[#This Row],[Wert]]</f>
        <v xml:space="preserve">  sbsDCET_VALVECHAMBER = 8</v>
      </c>
      <c r="H398" s="44" t="str">
        <f>"  If Wert = " &amp; Tabelle7[[#This Row],[EnuValue]] &amp; " then Res = ""." &amp; Tabelle7[[#This Row],[EnuRohValue]] &amp; "."""</f>
        <v xml:space="preserve">  If Wert = sbsDCET_VALVECHAMBER then Res = ".VALVECHAMBER."</v>
      </c>
      <c r="I398" s="44" t="str">
        <f>"  If wert = ""." &amp; Tabelle7[[#This Row],[EnuRohValue]] &amp; "."" Then Res = " &amp; Tabelle7[[#This Row],[EnuValue]]</f>
        <v xml:space="preserve">  If wert = ".VALVECHAMBER." Then Res = sbsDCET_VALVECHAMBER</v>
      </c>
    </row>
    <row r="399" spans="2:9" x14ac:dyDescent="0.25">
      <c r="B399" s="44">
        <v>9</v>
      </c>
      <c r="C399" s="45" t="s">
        <v>1545</v>
      </c>
      <c r="D399" s="44" t="s">
        <v>3682</v>
      </c>
      <c r="E399" s="44" t="str">
        <f>VLOOKUP(Tabelle7[[#This Row],[EnumName]],Enum[[IFC-Name]:[Präfix]],5,FALSE)&amp;Tabelle7[[#This Row],[EnuRohValue]]</f>
        <v>sbsDCET_USERDEFINED</v>
      </c>
      <c r="F399" s="44">
        <f>COUNTIF(Tabelle7[EnuValue],Tabelle7[[#This Row],[EnuValue]])</f>
        <v>1</v>
      </c>
      <c r="G399" s="44" t="str">
        <f xml:space="preserve"> "  " &amp; Tabelle7[[#This Row],[EnuValue]] &amp; " = " &amp; Tabelle7[[#This Row],[Wert]]</f>
        <v xml:space="preserve">  sbsDCET_USERDEFINED = 9</v>
      </c>
      <c r="H399" s="44" t="str">
        <f>"  If Wert = " &amp; Tabelle7[[#This Row],[EnuValue]] &amp; " then Res = ""." &amp; Tabelle7[[#This Row],[EnuRohValue]] &amp; "."""</f>
        <v xml:space="preserve">  If Wert = sbsDCET_USERDEFINED then Res = ".USERDEFINED."</v>
      </c>
      <c r="I399" s="44" t="str">
        <f>"  If wert = ""." &amp; Tabelle7[[#This Row],[EnuRohValue]] &amp; "."" Then Res = " &amp; Tabelle7[[#This Row],[EnuValue]]</f>
        <v xml:space="preserve">  If wert = ".USERDEFINED." Then Res = sbsDCET_USERDEFINED</v>
      </c>
    </row>
    <row r="400" spans="2:9" x14ac:dyDescent="0.25">
      <c r="B400" s="44">
        <v>10</v>
      </c>
      <c r="C400" s="45" t="s">
        <v>1545</v>
      </c>
      <c r="D400" s="44" t="s">
        <v>3683</v>
      </c>
      <c r="E400" s="44" t="str">
        <f>VLOOKUP(Tabelle7[[#This Row],[EnumName]],Enum[[IFC-Name]:[Präfix]],5,FALSE)&amp;Tabelle7[[#This Row],[EnuRohValue]]</f>
        <v>sbsDCET_NOTDEFINED</v>
      </c>
      <c r="F400" s="44">
        <f>COUNTIF(Tabelle7[EnuValue],Tabelle7[[#This Row],[EnuValue]])</f>
        <v>1</v>
      </c>
      <c r="G400" s="44" t="str">
        <f xml:space="preserve"> "  " &amp; Tabelle7[[#This Row],[EnuValue]] &amp; " = " &amp; Tabelle7[[#This Row],[Wert]]</f>
        <v xml:space="preserve">  sbsDCET_NOTDEFINED = 10</v>
      </c>
      <c r="H400" s="44" t="str">
        <f>"  If Wert = " &amp; Tabelle7[[#This Row],[EnuValue]] &amp; " then Res = ""." &amp; Tabelle7[[#This Row],[EnuRohValue]] &amp; "."""</f>
        <v xml:space="preserve">  If Wert = sbsDCET_NOTDEFINED then Res = ".NOTDEFINED."</v>
      </c>
      <c r="I400" s="44" t="str">
        <f>"  If wert = ""." &amp; Tabelle7[[#This Row],[EnuRohValue]] &amp; "."" Then Res = " &amp; Tabelle7[[#This Row],[EnuValue]]</f>
        <v xml:space="preserve">  If wert = ".NOTDEFINED." Then Res = sbsDCET_NOTDEFINED</v>
      </c>
    </row>
    <row r="401" spans="2:9" x14ac:dyDescent="0.25">
      <c r="B401" s="44">
        <v>1</v>
      </c>
      <c r="C401" s="45" t="s">
        <v>1546</v>
      </c>
      <c r="D401" s="44" t="s">
        <v>4021</v>
      </c>
      <c r="E401" s="44" t="str">
        <f>VLOOKUP(Tabelle7[[#This Row],[EnumName]],Enum[[IFC-Name]:[Präfix]],5,FALSE)&amp;Tabelle7[[#This Row],[EnuRohValue]]</f>
        <v>extDC_PUBLIC</v>
      </c>
      <c r="F401" s="44">
        <f>COUNTIF(Tabelle7[EnuValue],Tabelle7[[#This Row],[EnuValue]])</f>
        <v>1</v>
      </c>
      <c r="G401" s="44" t="str">
        <f xml:space="preserve"> "  " &amp; Tabelle7[[#This Row],[EnuValue]] &amp; " = " &amp; Tabelle7[[#This Row],[Wert]]</f>
        <v xml:space="preserve">  extDC_PUBLIC = 1</v>
      </c>
      <c r="H401" s="44" t="str">
        <f>"  If Wert = " &amp; Tabelle7[[#This Row],[EnuValue]] &amp; " then Res = ""." &amp; Tabelle7[[#This Row],[EnuRohValue]] &amp; "."""</f>
        <v xml:space="preserve">  If Wert = extDC_PUBLIC then Res = ".PUBLIC."</v>
      </c>
      <c r="I401" s="44" t="str">
        <f>"  If wert = ""." &amp; Tabelle7[[#This Row],[EnuRohValue]] &amp; "."" Then Res = " &amp; Tabelle7[[#This Row],[EnuValue]]</f>
        <v xml:space="preserve">  If wert = ".PUBLIC." Then Res = extDC_PUBLIC</v>
      </c>
    </row>
    <row r="402" spans="2:9" x14ac:dyDescent="0.25">
      <c r="B402" s="44">
        <v>2</v>
      </c>
      <c r="C402" s="45" t="s">
        <v>1546</v>
      </c>
      <c r="D402" s="44" t="s">
        <v>4022</v>
      </c>
      <c r="E402" s="44" t="str">
        <f>VLOOKUP(Tabelle7[[#This Row],[EnumName]],Enum[[IFC-Name]:[Präfix]],5,FALSE)&amp;Tabelle7[[#This Row],[EnuRohValue]]</f>
        <v>extDC_RESTRICTED</v>
      </c>
      <c r="F402" s="44">
        <f>COUNTIF(Tabelle7[EnuValue],Tabelle7[[#This Row],[EnuValue]])</f>
        <v>1</v>
      </c>
      <c r="G402" s="44" t="str">
        <f xml:space="preserve"> "  " &amp; Tabelle7[[#This Row],[EnuValue]] &amp; " = " &amp; Tabelle7[[#This Row],[Wert]]</f>
        <v xml:space="preserve">  extDC_RESTRICTED = 2</v>
      </c>
      <c r="H402" s="44" t="str">
        <f>"  If Wert = " &amp; Tabelle7[[#This Row],[EnuValue]] &amp; " then Res = ""." &amp; Tabelle7[[#This Row],[EnuRohValue]] &amp; "."""</f>
        <v xml:space="preserve">  If Wert = extDC_RESTRICTED then Res = ".RESTRICTED."</v>
      </c>
      <c r="I402" s="44" t="str">
        <f>"  If wert = ""." &amp; Tabelle7[[#This Row],[EnuRohValue]] &amp; "."" Then Res = " &amp; Tabelle7[[#This Row],[EnuValue]]</f>
        <v xml:space="preserve">  If wert = ".RESTRICTED." Then Res = extDC_RESTRICTED</v>
      </c>
    </row>
    <row r="403" spans="2:9" x14ac:dyDescent="0.25">
      <c r="B403" s="44">
        <v>3</v>
      </c>
      <c r="C403" s="45" t="s">
        <v>1546</v>
      </c>
      <c r="D403" s="44" t="s">
        <v>4023</v>
      </c>
      <c r="E403" s="44" t="str">
        <f>VLOOKUP(Tabelle7[[#This Row],[EnumName]],Enum[[IFC-Name]:[Präfix]],5,FALSE)&amp;Tabelle7[[#This Row],[EnuRohValue]]</f>
        <v>extDC_CONFIDENTIAL</v>
      </c>
      <c r="F403" s="44">
        <f>COUNTIF(Tabelle7[EnuValue],Tabelle7[[#This Row],[EnuValue]])</f>
        <v>1</v>
      </c>
      <c r="G403" s="44" t="str">
        <f xml:space="preserve"> "  " &amp; Tabelle7[[#This Row],[EnuValue]] &amp; " = " &amp; Tabelle7[[#This Row],[Wert]]</f>
        <v xml:space="preserve">  extDC_CONFIDENTIAL = 3</v>
      </c>
      <c r="H403" s="44" t="str">
        <f>"  If Wert = " &amp; Tabelle7[[#This Row],[EnuValue]] &amp; " then Res = ""." &amp; Tabelle7[[#This Row],[EnuRohValue]] &amp; "."""</f>
        <v xml:space="preserve">  If Wert = extDC_CONFIDENTIAL then Res = ".CONFIDENTIAL."</v>
      </c>
      <c r="I403" s="44" t="str">
        <f>"  If wert = ""." &amp; Tabelle7[[#This Row],[EnuRohValue]] &amp; "."" Then Res = " &amp; Tabelle7[[#This Row],[EnuValue]]</f>
        <v xml:space="preserve">  If wert = ".CONFIDENTIAL." Then Res = extDC_CONFIDENTIAL</v>
      </c>
    </row>
    <row r="404" spans="2:9" x14ac:dyDescent="0.25">
      <c r="B404" s="44">
        <v>4</v>
      </c>
      <c r="C404" s="45" t="s">
        <v>1546</v>
      </c>
      <c r="D404" s="44" t="s">
        <v>4024</v>
      </c>
      <c r="E404" s="44" t="str">
        <f>VLOOKUP(Tabelle7[[#This Row],[EnumName]],Enum[[IFC-Name]:[Präfix]],5,FALSE)&amp;Tabelle7[[#This Row],[EnuRohValue]]</f>
        <v>extDC_PERSONAL</v>
      </c>
      <c r="F404" s="44">
        <f>COUNTIF(Tabelle7[EnuValue],Tabelle7[[#This Row],[EnuValue]])</f>
        <v>1</v>
      </c>
      <c r="G404" s="44" t="str">
        <f xml:space="preserve"> "  " &amp; Tabelle7[[#This Row],[EnuValue]] &amp; " = " &amp; Tabelle7[[#This Row],[Wert]]</f>
        <v xml:space="preserve">  extDC_PERSONAL = 4</v>
      </c>
      <c r="H404" s="44" t="str">
        <f>"  If Wert = " &amp; Tabelle7[[#This Row],[EnuValue]] &amp; " then Res = ""." &amp; Tabelle7[[#This Row],[EnuRohValue]] &amp; "."""</f>
        <v xml:space="preserve">  If Wert = extDC_PERSONAL then Res = ".PERSONAL."</v>
      </c>
      <c r="I404" s="44" t="str">
        <f>"  If wert = ""." &amp; Tabelle7[[#This Row],[EnuRohValue]] &amp; "."" Then Res = " &amp; Tabelle7[[#This Row],[EnuValue]]</f>
        <v xml:space="preserve">  If wert = ".PERSONAL." Then Res = extDC_PERSONAL</v>
      </c>
    </row>
    <row r="405" spans="2:9" x14ac:dyDescent="0.25">
      <c r="B405" s="44">
        <v>5</v>
      </c>
      <c r="C405" s="45" t="s">
        <v>1546</v>
      </c>
      <c r="D405" s="44" t="s">
        <v>3682</v>
      </c>
      <c r="E405" s="44" t="str">
        <f>VLOOKUP(Tabelle7[[#This Row],[EnumName]],Enum[[IFC-Name]:[Präfix]],5,FALSE)&amp;Tabelle7[[#This Row],[EnuRohValue]]</f>
        <v>extDC_USERDEFINED</v>
      </c>
      <c r="F405" s="44">
        <f>COUNTIF(Tabelle7[EnuValue],Tabelle7[[#This Row],[EnuValue]])</f>
        <v>1</v>
      </c>
      <c r="G405" s="44" t="str">
        <f xml:space="preserve"> "  " &amp; Tabelle7[[#This Row],[EnuValue]] &amp; " = " &amp; Tabelle7[[#This Row],[Wert]]</f>
        <v xml:space="preserve">  extDC_USERDEFINED = 5</v>
      </c>
      <c r="H405" s="44" t="str">
        <f>"  If Wert = " &amp; Tabelle7[[#This Row],[EnuValue]] &amp; " then Res = ""." &amp; Tabelle7[[#This Row],[EnuRohValue]] &amp; "."""</f>
        <v xml:space="preserve">  If Wert = extDC_USERDEFINED then Res = ".USERDEFINED."</v>
      </c>
      <c r="I405" s="44" t="str">
        <f>"  If wert = ""." &amp; Tabelle7[[#This Row],[EnuRohValue]] &amp; "."" Then Res = " &amp; Tabelle7[[#This Row],[EnuValue]]</f>
        <v xml:space="preserve">  If wert = ".USERDEFINED." Then Res = extDC_USERDEFINED</v>
      </c>
    </row>
    <row r="406" spans="2:9" x14ac:dyDescent="0.25">
      <c r="B406" s="44">
        <v>6</v>
      </c>
      <c r="C406" s="45" t="s">
        <v>1546</v>
      </c>
      <c r="D406" s="44" t="s">
        <v>3683</v>
      </c>
      <c r="E406" s="44" t="str">
        <f>VLOOKUP(Tabelle7[[#This Row],[EnumName]],Enum[[IFC-Name]:[Präfix]],5,FALSE)&amp;Tabelle7[[#This Row],[EnuRohValue]]</f>
        <v>extDC_NOTDEFINED</v>
      </c>
      <c r="F406" s="44">
        <f>COUNTIF(Tabelle7[EnuValue],Tabelle7[[#This Row],[EnuValue]])</f>
        <v>1</v>
      </c>
      <c r="G406" s="44" t="str">
        <f xml:space="preserve"> "  " &amp; Tabelle7[[#This Row],[EnuValue]] &amp; " = " &amp; Tabelle7[[#This Row],[Wert]]</f>
        <v xml:space="preserve">  extDC_NOTDEFINED = 6</v>
      </c>
      <c r="H406" s="44" t="str">
        <f>"  If Wert = " &amp; Tabelle7[[#This Row],[EnuValue]] &amp; " then Res = ""." &amp; Tabelle7[[#This Row],[EnuRohValue]] &amp; "."""</f>
        <v xml:space="preserve">  If Wert = extDC_NOTDEFINED then Res = ".NOTDEFINED."</v>
      </c>
      <c r="I406" s="44" t="str">
        <f>"  If wert = ""." &amp; Tabelle7[[#This Row],[EnuRohValue]] &amp; "."" Then Res = " &amp; Tabelle7[[#This Row],[EnuValue]]</f>
        <v xml:space="preserve">  If wert = ".NOTDEFINED." Then Res = extDC_NOTDEFINED</v>
      </c>
    </row>
    <row r="407" spans="2:9" x14ac:dyDescent="0.25">
      <c r="B407" s="44">
        <v>1</v>
      </c>
      <c r="C407" s="45" t="s">
        <v>1547</v>
      </c>
      <c r="D407" s="44" t="s">
        <v>4025</v>
      </c>
      <c r="E407" s="44" t="str">
        <f>VLOOKUP(Tabelle7[[#This Row],[EnumName]],Enum[[IFC-Name]:[Präfix]],5,FALSE)&amp;Tabelle7[[#This Row],[EnuRohValue]]</f>
        <v>extDS_DRAFT</v>
      </c>
      <c r="F407" s="44">
        <f>COUNTIF(Tabelle7[EnuValue],Tabelle7[[#This Row],[EnuValue]])</f>
        <v>1</v>
      </c>
      <c r="G407" s="44" t="str">
        <f xml:space="preserve"> "  " &amp; Tabelle7[[#This Row],[EnuValue]] &amp; " = " &amp; Tabelle7[[#This Row],[Wert]]</f>
        <v xml:space="preserve">  extDS_DRAFT = 1</v>
      </c>
      <c r="H407" s="44" t="str">
        <f>"  If Wert = " &amp; Tabelle7[[#This Row],[EnuValue]] &amp; " then Res = ""." &amp; Tabelle7[[#This Row],[EnuRohValue]] &amp; "."""</f>
        <v xml:space="preserve">  If Wert = extDS_DRAFT then Res = ".DRAFT."</v>
      </c>
      <c r="I407" s="44" t="str">
        <f>"  If wert = ""." &amp; Tabelle7[[#This Row],[EnuRohValue]] &amp; "."" Then Res = " &amp; Tabelle7[[#This Row],[EnuValue]]</f>
        <v xml:space="preserve">  If wert = ".DRAFT." Then Res = extDS_DRAFT</v>
      </c>
    </row>
    <row r="408" spans="2:9" x14ac:dyDescent="0.25">
      <c r="B408" s="44">
        <v>2</v>
      </c>
      <c r="C408" s="45" t="s">
        <v>1547</v>
      </c>
      <c r="D408" s="44" t="s">
        <v>4026</v>
      </c>
      <c r="E408" s="44" t="str">
        <f>VLOOKUP(Tabelle7[[#This Row],[EnumName]],Enum[[IFC-Name]:[Präfix]],5,FALSE)&amp;Tabelle7[[#This Row],[EnuRohValue]]</f>
        <v>extDS_FINALDRAFT</v>
      </c>
      <c r="F408" s="44">
        <f>COUNTIF(Tabelle7[EnuValue],Tabelle7[[#This Row],[EnuValue]])</f>
        <v>1</v>
      </c>
      <c r="G408" s="44" t="str">
        <f xml:space="preserve"> "  " &amp; Tabelle7[[#This Row],[EnuValue]] &amp; " = " &amp; Tabelle7[[#This Row],[Wert]]</f>
        <v xml:space="preserve">  extDS_FINALDRAFT = 2</v>
      </c>
      <c r="H408" s="44" t="str">
        <f>"  If Wert = " &amp; Tabelle7[[#This Row],[EnuValue]] &amp; " then Res = ""." &amp; Tabelle7[[#This Row],[EnuRohValue]] &amp; "."""</f>
        <v xml:space="preserve">  If Wert = extDS_FINALDRAFT then Res = ".FINALDRAFT."</v>
      </c>
      <c r="I408" s="44" t="str">
        <f>"  If wert = ""." &amp; Tabelle7[[#This Row],[EnuRohValue]] &amp; "."" Then Res = " &amp; Tabelle7[[#This Row],[EnuValue]]</f>
        <v xml:space="preserve">  If wert = ".FINALDRAFT." Then Res = extDS_FINALDRAFT</v>
      </c>
    </row>
    <row r="409" spans="2:9" x14ac:dyDescent="0.25">
      <c r="B409" s="44">
        <v>3</v>
      </c>
      <c r="C409" s="45" t="s">
        <v>1547</v>
      </c>
      <c r="D409" s="44" t="s">
        <v>4027</v>
      </c>
      <c r="E409" s="44" t="str">
        <f>VLOOKUP(Tabelle7[[#This Row],[EnumName]],Enum[[IFC-Name]:[Präfix]],5,FALSE)&amp;Tabelle7[[#This Row],[EnuRohValue]]</f>
        <v>extDS_FINAL</v>
      </c>
      <c r="F409" s="44">
        <f>COUNTIF(Tabelle7[EnuValue],Tabelle7[[#This Row],[EnuValue]])</f>
        <v>1</v>
      </c>
      <c r="G409" s="44" t="str">
        <f xml:space="preserve"> "  " &amp; Tabelle7[[#This Row],[EnuValue]] &amp; " = " &amp; Tabelle7[[#This Row],[Wert]]</f>
        <v xml:space="preserve">  extDS_FINAL = 3</v>
      </c>
      <c r="H409" s="44" t="str">
        <f>"  If Wert = " &amp; Tabelle7[[#This Row],[EnuValue]] &amp; " then Res = ""." &amp; Tabelle7[[#This Row],[EnuRohValue]] &amp; "."""</f>
        <v xml:space="preserve">  If Wert = extDS_FINAL then Res = ".FINAL."</v>
      </c>
      <c r="I409" s="44" t="str">
        <f>"  If wert = ""." &amp; Tabelle7[[#This Row],[EnuRohValue]] &amp; "."" Then Res = " &amp; Tabelle7[[#This Row],[EnuValue]]</f>
        <v xml:space="preserve">  If wert = ".FINAL." Then Res = extDS_FINAL</v>
      </c>
    </row>
    <row r="410" spans="2:9" x14ac:dyDescent="0.25">
      <c r="B410" s="44">
        <v>4</v>
      </c>
      <c r="C410" s="45" t="s">
        <v>1547</v>
      </c>
      <c r="D410" s="44" t="s">
        <v>4028</v>
      </c>
      <c r="E410" s="44" t="str">
        <f>VLOOKUP(Tabelle7[[#This Row],[EnumName]],Enum[[IFC-Name]:[Präfix]],5,FALSE)&amp;Tabelle7[[#This Row],[EnuRohValue]]</f>
        <v>extDS_REVISION</v>
      </c>
      <c r="F410" s="44">
        <f>COUNTIF(Tabelle7[EnuValue],Tabelle7[[#This Row],[EnuValue]])</f>
        <v>1</v>
      </c>
      <c r="G410" s="44" t="str">
        <f xml:space="preserve"> "  " &amp; Tabelle7[[#This Row],[EnuValue]] &amp; " = " &amp; Tabelle7[[#This Row],[Wert]]</f>
        <v xml:space="preserve">  extDS_REVISION = 4</v>
      </c>
      <c r="H410" s="44" t="str">
        <f>"  If Wert = " &amp; Tabelle7[[#This Row],[EnuValue]] &amp; " then Res = ""." &amp; Tabelle7[[#This Row],[EnuRohValue]] &amp; "."""</f>
        <v xml:space="preserve">  If Wert = extDS_REVISION then Res = ".REVISION."</v>
      </c>
      <c r="I410" s="44" t="str">
        <f>"  If wert = ""." &amp; Tabelle7[[#This Row],[EnuRohValue]] &amp; "."" Then Res = " &amp; Tabelle7[[#This Row],[EnuValue]]</f>
        <v xml:space="preserve">  If wert = ".REVISION." Then Res = extDS_REVISION</v>
      </c>
    </row>
    <row r="411" spans="2:9" x14ac:dyDescent="0.25">
      <c r="B411" s="44">
        <v>5</v>
      </c>
      <c r="C411" s="45" t="s">
        <v>1547</v>
      </c>
      <c r="D411" s="44" t="s">
        <v>3683</v>
      </c>
      <c r="E411" s="44" t="str">
        <f>VLOOKUP(Tabelle7[[#This Row],[EnumName]],Enum[[IFC-Name]:[Präfix]],5,FALSE)&amp;Tabelle7[[#This Row],[EnuRohValue]]</f>
        <v>extDS_NOTDEFINED</v>
      </c>
      <c r="F411" s="44">
        <f>COUNTIF(Tabelle7[EnuValue],Tabelle7[[#This Row],[EnuValue]])</f>
        <v>1</v>
      </c>
      <c r="G411" s="44" t="str">
        <f xml:space="preserve"> "  " &amp; Tabelle7[[#This Row],[EnuValue]] &amp; " = " &amp; Tabelle7[[#This Row],[Wert]]</f>
        <v xml:space="preserve">  extDS_NOTDEFINED = 5</v>
      </c>
      <c r="H411" s="44" t="str">
        <f>"  If Wert = " &amp; Tabelle7[[#This Row],[EnuValue]] &amp; " then Res = ""." &amp; Tabelle7[[#This Row],[EnuRohValue]] &amp; "."""</f>
        <v xml:space="preserve">  If Wert = extDS_NOTDEFINED then Res = ".NOTDEFINED."</v>
      </c>
      <c r="I411" s="44" t="str">
        <f>"  If wert = ""." &amp; Tabelle7[[#This Row],[EnuRohValue]] &amp; "."" Then Res = " &amp; Tabelle7[[#This Row],[EnuValue]]</f>
        <v xml:space="preserve">  If wert = ".NOTDEFINED." Then Res = extDS_NOTDEFINED</v>
      </c>
    </row>
    <row r="412" spans="2:9" x14ac:dyDescent="0.25">
      <c r="B412" s="44">
        <v>1</v>
      </c>
      <c r="C412" s="45" t="s">
        <v>1548</v>
      </c>
      <c r="D412" s="44" t="s">
        <v>4029</v>
      </c>
      <c r="E412" s="44" t="str">
        <f>VLOOKUP(Tabelle7[[#This Row],[EnumName]],Enum[[IFC-Name]:[Präfix]],5,FALSE)&amp;Tabelle7[[#This Row],[EnuRohValue]]</f>
        <v>sbeDPO_SWINGING</v>
      </c>
      <c r="F412" s="44">
        <f>COUNTIF(Tabelle7[EnuValue],Tabelle7[[#This Row],[EnuValue]])</f>
        <v>1</v>
      </c>
      <c r="G412" s="44" t="str">
        <f xml:space="preserve"> "  " &amp; Tabelle7[[#This Row],[EnuValue]] &amp; " = " &amp; Tabelle7[[#This Row],[Wert]]</f>
        <v xml:space="preserve">  sbeDPO_SWINGING = 1</v>
      </c>
      <c r="H412" s="44" t="str">
        <f>"  If Wert = " &amp; Tabelle7[[#This Row],[EnuValue]] &amp; " then Res = ""." &amp; Tabelle7[[#This Row],[EnuRohValue]] &amp; "."""</f>
        <v xml:space="preserve">  If Wert = sbeDPO_SWINGING then Res = ".SWINGING."</v>
      </c>
      <c r="I412" s="44" t="str">
        <f>"  If wert = ""." &amp; Tabelle7[[#This Row],[EnuRohValue]] &amp; "."" Then Res = " &amp; Tabelle7[[#This Row],[EnuValue]]</f>
        <v xml:space="preserve">  If wert = ".SWINGING." Then Res = sbeDPO_SWINGING</v>
      </c>
    </row>
    <row r="413" spans="2:9" x14ac:dyDescent="0.25">
      <c r="B413" s="44">
        <v>2</v>
      </c>
      <c r="C413" s="45" t="s">
        <v>1548</v>
      </c>
      <c r="D413" s="44" t="s">
        <v>4030</v>
      </c>
      <c r="E413" s="44" t="str">
        <f>VLOOKUP(Tabelle7[[#This Row],[EnumName]],Enum[[IFC-Name]:[Präfix]],5,FALSE)&amp;Tabelle7[[#This Row],[EnuRohValue]]</f>
        <v>sbeDPO_DOUBLE_ACTING</v>
      </c>
      <c r="F413" s="44">
        <f>COUNTIF(Tabelle7[EnuValue],Tabelle7[[#This Row],[EnuValue]])</f>
        <v>1</v>
      </c>
      <c r="G413" s="44" t="str">
        <f xml:space="preserve"> "  " &amp; Tabelle7[[#This Row],[EnuValue]] &amp; " = " &amp; Tabelle7[[#This Row],[Wert]]</f>
        <v xml:space="preserve">  sbeDPO_DOUBLE_ACTING = 2</v>
      </c>
      <c r="H413" s="44" t="str">
        <f>"  If Wert = " &amp; Tabelle7[[#This Row],[EnuValue]] &amp; " then Res = ""." &amp; Tabelle7[[#This Row],[EnuRohValue]] &amp; "."""</f>
        <v xml:space="preserve">  If Wert = sbeDPO_DOUBLE_ACTING then Res = ".DOUBLE_ACTING."</v>
      </c>
      <c r="I413" s="44" t="str">
        <f>"  If wert = ""." &amp; Tabelle7[[#This Row],[EnuRohValue]] &amp; "."" Then Res = " &amp; Tabelle7[[#This Row],[EnuValue]]</f>
        <v xml:space="preserve">  If wert = ".DOUBLE_ACTING." Then Res = sbeDPO_DOUBLE_ACTING</v>
      </c>
    </row>
    <row r="414" spans="2:9" x14ac:dyDescent="0.25">
      <c r="B414" s="44">
        <v>3</v>
      </c>
      <c r="C414" s="45" t="s">
        <v>1548</v>
      </c>
      <c r="D414" s="44" t="s">
        <v>4031</v>
      </c>
      <c r="E414" s="44" t="str">
        <f>VLOOKUP(Tabelle7[[#This Row],[EnumName]],Enum[[IFC-Name]:[Präfix]],5,FALSE)&amp;Tabelle7[[#This Row],[EnuRohValue]]</f>
        <v>sbeDPO_SLIDING</v>
      </c>
      <c r="F414" s="44">
        <f>COUNTIF(Tabelle7[EnuValue],Tabelle7[[#This Row],[EnuValue]])</f>
        <v>1</v>
      </c>
      <c r="G414" s="44" t="str">
        <f xml:space="preserve"> "  " &amp; Tabelle7[[#This Row],[EnuValue]] &amp; " = " &amp; Tabelle7[[#This Row],[Wert]]</f>
        <v xml:space="preserve">  sbeDPO_SLIDING = 3</v>
      </c>
      <c r="H414" s="44" t="str">
        <f>"  If Wert = " &amp; Tabelle7[[#This Row],[EnuValue]] &amp; " then Res = ""." &amp; Tabelle7[[#This Row],[EnuRohValue]] &amp; "."""</f>
        <v xml:space="preserve">  If Wert = sbeDPO_SLIDING then Res = ".SLIDING."</v>
      </c>
      <c r="I414" s="44" t="str">
        <f>"  If wert = ""." &amp; Tabelle7[[#This Row],[EnuRohValue]] &amp; "."" Then Res = " &amp; Tabelle7[[#This Row],[EnuValue]]</f>
        <v xml:space="preserve">  If wert = ".SLIDING." Then Res = sbeDPO_SLIDING</v>
      </c>
    </row>
    <row r="415" spans="2:9" x14ac:dyDescent="0.25">
      <c r="B415" s="44">
        <v>4</v>
      </c>
      <c r="C415" s="45" t="s">
        <v>1548</v>
      </c>
      <c r="D415" s="44" t="s">
        <v>4032</v>
      </c>
      <c r="E415" s="44" t="str">
        <f>VLOOKUP(Tabelle7[[#This Row],[EnumName]],Enum[[IFC-Name]:[Präfix]],5,FALSE)&amp;Tabelle7[[#This Row],[EnuRohValue]]</f>
        <v>sbeDPO_FOLDING</v>
      </c>
      <c r="F415" s="44">
        <f>COUNTIF(Tabelle7[EnuValue],Tabelle7[[#This Row],[EnuValue]])</f>
        <v>1</v>
      </c>
      <c r="G415" s="44" t="str">
        <f xml:space="preserve"> "  " &amp; Tabelle7[[#This Row],[EnuValue]] &amp; " = " &amp; Tabelle7[[#This Row],[Wert]]</f>
        <v xml:space="preserve">  sbeDPO_FOLDING = 4</v>
      </c>
      <c r="H415" s="44" t="str">
        <f>"  If Wert = " &amp; Tabelle7[[#This Row],[EnuValue]] &amp; " then Res = ""." &amp; Tabelle7[[#This Row],[EnuRohValue]] &amp; "."""</f>
        <v xml:space="preserve">  If Wert = sbeDPO_FOLDING then Res = ".FOLDING."</v>
      </c>
      <c r="I415" s="44" t="str">
        <f>"  If wert = ""." &amp; Tabelle7[[#This Row],[EnuRohValue]] &amp; "."" Then Res = " &amp; Tabelle7[[#This Row],[EnuValue]]</f>
        <v xml:space="preserve">  If wert = ".FOLDING." Then Res = sbeDPO_FOLDING</v>
      </c>
    </row>
    <row r="416" spans="2:9" x14ac:dyDescent="0.25">
      <c r="B416" s="44">
        <v>5</v>
      </c>
      <c r="C416" s="45" t="s">
        <v>1548</v>
      </c>
      <c r="D416" s="44" t="s">
        <v>4033</v>
      </c>
      <c r="E416" s="44" t="str">
        <f>VLOOKUP(Tabelle7[[#This Row],[EnumName]],Enum[[IFC-Name]:[Präfix]],5,FALSE)&amp;Tabelle7[[#This Row],[EnuRohValue]]</f>
        <v>sbeDPO_REVOLVING</v>
      </c>
      <c r="F416" s="44">
        <f>COUNTIF(Tabelle7[EnuValue],Tabelle7[[#This Row],[EnuValue]])</f>
        <v>1</v>
      </c>
      <c r="G416" s="44" t="str">
        <f xml:space="preserve"> "  " &amp; Tabelle7[[#This Row],[EnuValue]] &amp; " = " &amp; Tabelle7[[#This Row],[Wert]]</f>
        <v xml:space="preserve">  sbeDPO_REVOLVING = 5</v>
      </c>
      <c r="H416" s="44" t="str">
        <f>"  If Wert = " &amp; Tabelle7[[#This Row],[EnuValue]] &amp; " then Res = ""." &amp; Tabelle7[[#This Row],[EnuRohValue]] &amp; "."""</f>
        <v xml:space="preserve">  If Wert = sbeDPO_REVOLVING then Res = ".REVOLVING."</v>
      </c>
      <c r="I416" s="44" t="str">
        <f>"  If wert = ""." &amp; Tabelle7[[#This Row],[EnuRohValue]] &amp; "."" Then Res = " &amp; Tabelle7[[#This Row],[EnuValue]]</f>
        <v xml:space="preserve">  If wert = ".REVOLVING." Then Res = sbeDPO_REVOLVING</v>
      </c>
    </row>
    <row r="417" spans="2:9" x14ac:dyDescent="0.25">
      <c r="B417" s="44">
        <v>6</v>
      </c>
      <c r="C417" s="45" t="s">
        <v>1548</v>
      </c>
      <c r="D417" s="44" t="s">
        <v>4034</v>
      </c>
      <c r="E417" s="44" t="str">
        <f>VLOOKUP(Tabelle7[[#This Row],[EnumName]],Enum[[IFC-Name]:[Präfix]],5,FALSE)&amp;Tabelle7[[#This Row],[EnuRohValue]]</f>
        <v>sbeDPO_ROLLINGUP</v>
      </c>
      <c r="F417" s="44">
        <f>COUNTIF(Tabelle7[EnuValue],Tabelle7[[#This Row],[EnuValue]])</f>
        <v>1</v>
      </c>
      <c r="G417" s="44" t="str">
        <f xml:space="preserve"> "  " &amp; Tabelle7[[#This Row],[EnuValue]] &amp; " = " &amp; Tabelle7[[#This Row],[Wert]]</f>
        <v xml:space="preserve">  sbeDPO_ROLLINGUP = 6</v>
      </c>
      <c r="H417" s="44" t="str">
        <f>"  If Wert = " &amp; Tabelle7[[#This Row],[EnuValue]] &amp; " then Res = ""." &amp; Tabelle7[[#This Row],[EnuRohValue]] &amp; "."""</f>
        <v xml:space="preserve">  If Wert = sbeDPO_ROLLINGUP then Res = ".ROLLINGUP."</v>
      </c>
      <c r="I417" s="44" t="str">
        <f>"  If wert = ""." &amp; Tabelle7[[#This Row],[EnuRohValue]] &amp; "."" Then Res = " &amp; Tabelle7[[#This Row],[EnuValue]]</f>
        <v xml:space="preserve">  If wert = ".ROLLINGUP." Then Res = sbeDPO_ROLLINGUP</v>
      </c>
    </row>
    <row r="418" spans="2:9" x14ac:dyDescent="0.25">
      <c r="B418" s="44">
        <v>7</v>
      </c>
      <c r="C418" s="45" t="s">
        <v>1548</v>
      </c>
      <c r="D418" s="44" t="s">
        <v>3682</v>
      </c>
      <c r="E418" s="44" t="str">
        <f>VLOOKUP(Tabelle7[[#This Row],[EnumName]],Enum[[IFC-Name]:[Präfix]],5,FALSE)&amp;Tabelle7[[#This Row],[EnuRohValue]]</f>
        <v>sbeDPO_USERDEFINED</v>
      </c>
      <c r="F418" s="44">
        <f>COUNTIF(Tabelle7[EnuValue],Tabelle7[[#This Row],[EnuValue]])</f>
        <v>1</v>
      </c>
      <c r="G418" s="44" t="str">
        <f xml:space="preserve"> "  " &amp; Tabelle7[[#This Row],[EnuValue]] &amp; " = " &amp; Tabelle7[[#This Row],[Wert]]</f>
        <v xml:space="preserve">  sbeDPO_USERDEFINED = 7</v>
      </c>
      <c r="H418" s="44" t="str">
        <f>"  If Wert = " &amp; Tabelle7[[#This Row],[EnuValue]] &amp; " then Res = ""." &amp; Tabelle7[[#This Row],[EnuRohValue]] &amp; "."""</f>
        <v xml:space="preserve">  If Wert = sbeDPO_USERDEFINED then Res = ".USERDEFINED."</v>
      </c>
      <c r="I418" s="44" t="str">
        <f>"  If wert = ""." &amp; Tabelle7[[#This Row],[EnuRohValue]] &amp; "."" Then Res = " &amp; Tabelle7[[#This Row],[EnuValue]]</f>
        <v xml:space="preserve">  If wert = ".USERDEFINED." Then Res = sbeDPO_USERDEFINED</v>
      </c>
    </row>
    <row r="419" spans="2:9" x14ac:dyDescent="0.25">
      <c r="B419" s="44">
        <v>8</v>
      </c>
      <c r="C419" s="45" t="s">
        <v>1548</v>
      </c>
      <c r="D419" s="44" t="s">
        <v>3683</v>
      </c>
      <c r="E419" s="44" t="str">
        <f>VLOOKUP(Tabelle7[[#This Row],[EnumName]],Enum[[IFC-Name]:[Präfix]],5,FALSE)&amp;Tabelle7[[#This Row],[EnuRohValue]]</f>
        <v>sbeDPO_NOTDEFINED</v>
      </c>
      <c r="F419" s="44">
        <f>COUNTIF(Tabelle7[EnuValue],Tabelle7[[#This Row],[EnuValue]])</f>
        <v>1</v>
      </c>
      <c r="G419" s="44" t="str">
        <f xml:space="preserve"> "  " &amp; Tabelle7[[#This Row],[EnuValue]] &amp; " = " &amp; Tabelle7[[#This Row],[Wert]]</f>
        <v xml:space="preserve">  sbeDPO_NOTDEFINED = 8</v>
      </c>
      <c r="H419" s="44" t="str">
        <f>"  If Wert = " &amp; Tabelle7[[#This Row],[EnuValue]] &amp; " then Res = ""." &amp; Tabelle7[[#This Row],[EnuRohValue]] &amp; "."""</f>
        <v xml:space="preserve">  If Wert = sbeDPO_NOTDEFINED then Res = ".NOTDEFINED."</v>
      </c>
      <c r="I419" s="44" t="str">
        <f>"  If wert = ""." &amp; Tabelle7[[#This Row],[EnuRohValue]] &amp; "."" Then Res = " &amp; Tabelle7[[#This Row],[EnuValue]]</f>
        <v xml:space="preserve">  If wert = ".NOTDEFINED." Then Res = sbeDPO_NOTDEFINED</v>
      </c>
    </row>
    <row r="420" spans="2:9" x14ac:dyDescent="0.25">
      <c r="B420" s="44">
        <v>1</v>
      </c>
      <c r="C420" s="45" t="s">
        <v>1549</v>
      </c>
      <c r="D420" s="44" t="s">
        <v>4035</v>
      </c>
      <c r="E420" s="44" t="str">
        <f>VLOOKUP(Tabelle7[[#This Row],[EnumName]],Enum[[IFC-Name]:[Präfix]],5,FALSE)&amp;Tabelle7[[#This Row],[EnuRohValue]]</f>
        <v>sbeDPP_LEFT</v>
      </c>
      <c r="F420" s="44">
        <f>COUNTIF(Tabelle7[EnuValue],Tabelle7[[#This Row],[EnuValue]])</f>
        <v>1</v>
      </c>
      <c r="G420" s="44" t="str">
        <f xml:space="preserve"> "  " &amp; Tabelle7[[#This Row],[EnuValue]] &amp; " = " &amp; Tabelle7[[#This Row],[Wert]]</f>
        <v xml:space="preserve">  sbeDPP_LEFT = 1</v>
      </c>
      <c r="H420" s="44" t="str">
        <f>"  If Wert = " &amp; Tabelle7[[#This Row],[EnuValue]] &amp; " then Res = ""." &amp; Tabelle7[[#This Row],[EnuRohValue]] &amp; "."""</f>
        <v xml:space="preserve">  If Wert = sbeDPP_LEFT then Res = ".LEFT."</v>
      </c>
      <c r="I420" s="44" t="str">
        <f>"  If wert = ""." &amp; Tabelle7[[#This Row],[EnuRohValue]] &amp; "."" Then Res = " &amp; Tabelle7[[#This Row],[EnuValue]]</f>
        <v xml:space="preserve">  If wert = ".LEFT." Then Res = sbeDPP_LEFT</v>
      </c>
    </row>
    <row r="421" spans="2:9" x14ac:dyDescent="0.25">
      <c r="B421" s="44">
        <v>2</v>
      </c>
      <c r="C421" s="45" t="s">
        <v>1549</v>
      </c>
      <c r="D421" s="44" t="s">
        <v>4036</v>
      </c>
      <c r="E421" s="44" t="str">
        <f>VLOOKUP(Tabelle7[[#This Row],[EnumName]],Enum[[IFC-Name]:[Präfix]],5,FALSE)&amp;Tabelle7[[#This Row],[EnuRohValue]]</f>
        <v>sbeDPP_MIDDLE</v>
      </c>
      <c r="F421" s="44">
        <f>COUNTIF(Tabelle7[EnuValue],Tabelle7[[#This Row],[EnuValue]])</f>
        <v>1</v>
      </c>
      <c r="G421" s="44" t="str">
        <f xml:space="preserve"> "  " &amp; Tabelle7[[#This Row],[EnuValue]] &amp; " = " &amp; Tabelle7[[#This Row],[Wert]]</f>
        <v xml:space="preserve">  sbeDPP_MIDDLE = 2</v>
      </c>
      <c r="H421" s="44" t="str">
        <f>"  If Wert = " &amp; Tabelle7[[#This Row],[EnuValue]] &amp; " then Res = ""." &amp; Tabelle7[[#This Row],[EnuRohValue]] &amp; "."""</f>
        <v xml:space="preserve">  If Wert = sbeDPP_MIDDLE then Res = ".MIDDLE."</v>
      </c>
      <c r="I421" s="44" t="str">
        <f>"  If wert = ""." &amp; Tabelle7[[#This Row],[EnuRohValue]] &amp; "."" Then Res = " &amp; Tabelle7[[#This Row],[EnuValue]]</f>
        <v xml:space="preserve">  If wert = ".MIDDLE." Then Res = sbeDPP_MIDDLE</v>
      </c>
    </row>
    <row r="422" spans="2:9" x14ac:dyDescent="0.25">
      <c r="B422" s="44">
        <v>3</v>
      </c>
      <c r="C422" s="45" t="s">
        <v>1549</v>
      </c>
      <c r="D422" s="44" t="s">
        <v>4037</v>
      </c>
      <c r="E422" s="44" t="str">
        <f>VLOOKUP(Tabelle7[[#This Row],[EnumName]],Enum[[IFC-Name]:[Präfix]],5,FALSE)&amp;Tabelle7[[#This Row],[EnuRohValue]]</f>
        <v>sbeDPP_RIGHT</v>
      </c>
      <c r="F422" s="44">
        <f>COUNTIF(Tabelle7[EnuValue],Tabelle7[[#This Row],[EnuValue]])</f>
        <v>1</v>
      </c>
      <c r="G422" s="44" t="str">
        <f xml:space="preserve"> "  " &amp; Tabelle7[[#This Row],[EnuValue]] &amp; " = " &amp; Tabelle7[[#This Row],[Wert]]</f>
        <v xml:space="preserve">  sbeDPP_RIGHT = 3</v>
      </c>
      <c r="H422" s="44" t="str">
        <f>"  If Wert = " &amp; Tabelle7[[#This Row],[EnuValue]] &amp; " then Res = ""." &amp; Tabelle7[[#This Row],[EnuRohValue]] &amp; "."""</f>
        <v xml:space="preserve">  If Wert = sbeDPP_RIGHT then Res = ".RIGHT."</v>
      </c>
      <c r="I422" s="44" t="str">
        <f>"  If wert = ""." &amp; Tabelle7[[#This Row],[EnuRohValue]] &amp; "."" Then Res = " &amp; Tabelle7[[#This Row],[EnuValue]]</f>
        <v xml:space="preserve">  If wert = ".RIGHT." Then Res = sbeDPP_RIGHT</v>
      </c>
    </row>
    <row r="423" spans="2:9" x14ac:dyDescent="0.25">
      <c r="B423" s="44">
        <v>4</v>
      </c>
      <c r="C423" s="45" t="s">
        <v>1549</v>
      </c>
      <c r="D423" s="44" t="s">
        <v>3683</v>
      </c>
      <c r="E423" s="44" t="str">
        <f>VLOOKUP(Tabelle7[[#This Row],[EnumName]],Enum[[IFC-Name]:[Präfix]],5,FALSE)&amp;Tabelle7[[#This Row],[EnuRohValue]]</f>
        <v>sbeDPP_NOTDEFINED</v>
      </c>
      <c r="F423" s="44">
        <f>COUNTIF(Tabelle7[EnuValue],Tabelle7[[#This Row],[EnuValue]])</f>
        <v>1</v>
      </c>
      <c r="G423" s="44" t="str">
        <f xml:space="preserve"> "  " &amp; Tabelle7[[#This Row],[EnuValue]] &amp; " = " &amp; Tabelle7[[#This Row],[Wert]]</f>
        <v xml:space="preserve">  sbeDPP_NOTDEFINED = 4</v>
      </c>
      <c r="H423" s="44" t="str">
        <f>"  If Wert = " &amp; Tabelle7[[#This Row],[EnuValue]] &amp; " then Res = ""." &amp; Tabelle7[[#This Row],[EnuRohValue]] &amp; "."""</f>
        <v xml:space="preserve">  If Wert = sbeDPP_NOTDEFINED then Res = ".NOTDEFINED."</v>
      </c>
      <c r="I423" s="44" t="str">
        <f>"  If wert = ""." &amp; Tabelle7[[#This Row],[EnuRohValue]] &amp; "."" Then Res = " &amp; Tabelle7[[#This Row],[EnuValue]]</f>
        <v xml:space="preserve">  If wert = ".NOTDEFINED." Then Res = sbeDPP_NOTDEFINED</v>
      </c>
    </row>
    <row r="424" spans="2:9" x14ac:dyDescent="0.25">
      <c r="B424" s="44">
        <v>1</v>
      </c>
      <c r="C424" s="45" t="s">
        <v>1550</v>
      </c>
      <c r="D424" s="44" t="s">
        <v>4038</v>
      </c>
      <c r="E424" s="44" t="str">
        <f>VLOOKUP(Tabelle7[[#This Row],[EnumName]],Enum[[IFC-Name]:[Präfix]],5,FALSE)&amp;Tabelle7[[#This Row],[EnuRohValue]]</f>
        <v>sbeDSC_ALUMINIUM</v>
      </c>
      <c r="F424" s="44">
        <f>COUNTIF(Tabelle7[EnuValue],Tabelle7[[#This Row],[EnuValue]])</f>
        <v>1</v>
      </c>
      <c r="G424" s="44" t="str">
        <f xml:space="preserve"> "  " &amp; Tabelle7[[#This Row],[EnuValue]] &amp; " = " &amp; Tabelle7[[#This Row],[Wert]]</f>
        <v xml:space="preserve">  sbeDSC_ALUMINIUM = 1</v>
      </c>
      <c r="H424" s="44" t="str">
        <f>"  If Wert = " &amp; Tabelle7[[#This Row],[EnuValue]] &amp; " then Res = ""." &amp; Tabelle7[[#This Row],[EnuRohValue]] &amp; "."""</f>
        <v xml:space="preserve">  If Wert = sbeDSC_ALUMINIUM then Res = ".ALUMINIUM."</v>
      </c>
      <c r="I424" s="44" t="str">
        <f>"  If wert = ""." &amp; Tabelle7[[#This Row],[EnuRohValue]] &amp; "."" Then Res = " &amp; Tabelle7[[#This Row],[EnuValue]]</f>
        <v xml:space="preserve">  If wert = ".ALUMINIUM." Then Res = sbeDSC_ALUMINIUM</v>
      </c>
    </row>
    <row r="425" spans="2:9" x14ac:dyDescent="0.25">
      <c r="B425" s="44">
        <v>2</v>
      </c>
      <c r="C425" s="45" t="s">
        <v>1550</v>
      </c>
      <c r="D425" s="44" t="s">
        <v>4039</v>
      </c>
      <c r="E425" s="44" t="str">
        <f>VLOOKUP(Tabelle7[[#This Row],[EnumName]],Enum[[IFC-Name]:[Präfix]],5,FALSE)&amp;Tabelle7[[#This Row],[EnuRohValue]]</f>
        <v>sbeDSC_HIGH_GRADE_STEEL</v>
      </c>
      <c r="F425" s="44">
        <f>COUNTIF(Tabelle7[EnuValue],Tabelle7[[#This Row],[EnuValue]])</f>
        <v>1</v>
      </c>
      <c r="G425" s="44" t="str">
        <f xml:space="preserve"> "  " &amp; Tabelle7[[#This Row],[EnuValue]] &amp; " = " &amp; Tabelle7[[#This Row],[Wert]]</f>
        <v xml:space="preserve">  sbeDSC_HIGH_GRADE_STEEL = 2</v>
      </c>
      <c r="H425" s="44" t="str">
        <f>"  If Wert = " &amp; Tabelle7[[#This Row],[EnuValue]] &amp; " then Res = ""." &amp; Tabelle7[[#This Row],[EnuRohValue]] &amp; "."""</f>
        <v xml:space="preserve">  If Wert = sbeDSC_HIGH_GRADE_STEEL then Res = ".HIGH_GRADE_STEEL."</v>
      </c>
      <c r="I425" s="44" t="str">
        <f>"  If wert = ""." &amp; Tabelle7[[#This Row],[EnuRohValue]] &amp; "."" Then Res = " &amp; Tabelle7[[#This Row],[EnuValue]]</f>
        <v xml:space="preserve">  If wert = ".HIGH_GRADE_STEEL." Then Res = sbeDSC_HIGH_GRADE_STEEL</v>
      </c>
    </row>
    <row r="426" spans="2:9" x14ac:dyDescent="0.25">
      <c r="B426" s="44">
        <v>3</v>
      </c>
      <c r="C426" s="45" t="s">
        <v>1550</v>
      </c>
      <c r="D426" s="44" t="s">
        <v>4040</v>
      </c>
      <c r="E426" s="44" t="str">
        <f>VLOOKUP(Tabelle7[[#This Row],[EnumName]],Enum[[IFC-Name]:[Präfix]],5,FALSE)&amp;Tabelle7[[#This Row],[EnuRohValue]]</f>
        <v>sbeDSC_STEEL</v>
      </c>
      <c r="F426" s="44">
        <f>COUNTIF(Tabelle7[EnuValue],Tabelle7[[#This Row],[EnuValue]])</f>
        <v>1</v>
      </c>
      <c r="G426" s="44" t="str">
        <f xml:space="preserve"> "  " &amp; Tabelle7[[#This Row],[EnuValue]] &amp; " = " &amp; Tabelle7[[#This Row],[Wert]]</f>
        <v xml:space="preserve">  sbeDSC_STEEL = 3</v>
      </c>
      <c r="H426" s="44" t="str">
        <f>"  If Wert = " &amp; Tabelle7[[#This Row],[EnuValue]] &amp; " then Res = ""." &amp; Tabelle7[[#This Row],[EnuRohValue]] &amp; "."""</f>
        <v xml:space="preserve">  If Wert = sbeDSC_STEEL then Res = ".STEEL."</v>
      </c>
      <c r="I426" s="44" t="str">
        <f>"  If wert = ""." &amp; Tabelle7[[#This Row],[EnuRohValue]] &amp; "."" Then Res = " &amp; Tabelle7[[#This Row],[EnuValue]]</f>
        <v xml:space="preserve">  If wert = ".STEEL." Then Res = sbeDSC_STEEL</v>
      </c>
    </row>
    <row r="427" spans="2:9" x14ac:dyDescent="0.25">
      <c r="B427" s="44">
        <v>4</v>
      </c>
      <c r="C427" s="45" t="s">
        <v>1550</v>
      </c>
      <c r="D427" s="44" t="s">
        <v>4041</v>
      </c>
      <c r="E427" s="44" t="str">
        <f>VLOOKUP(Tabelle7[[#This Row],[EnumName]],Enum[[IFC-Name]:[Präfix]],5,FALSE)&amp;Tabelle7[[#This Row],[EnuRohValue]]</f>
        <v>sbeDSC_WOOD</v>
      </c>
      <c r="F427" s="44">
        <f>COUNTIF(Tabelle7[EnuValue],Tabelle7[[#This Row],[EnuValue]])</f>
        <v>1</v>
      </c>
      <c r="G427" s="44" t="str">
        <f xml:space="preserve"> "  " &amp; Tabelle7[[#This Row],[EnuValue]] &amp; " = " &amp; Tabelle7[[#This Row],[Wert]]</f>
        <v xml:space="preserve">  sbeDSC_WOOD = 4</v>
      </c>
      <c r="H427" s="44" t="str">
        <f>"  If Wert = " &amp; Tabelle7[[#This Row],[EnuValue]] &amp; " then Res = ""." &amp; Tabelle7[[#This Row],[EnuRohValue]] &amp; "."""</f>
        <v xml:space="preserve">  If Wert = sbeDSC_WOOD then Res = ".WOOD."</v>
      </c>
      <c r="I427" s="44" t="str">
        <f>"  If wert = ""." &amp; Tabelle7[[#This Row],[EnuRohValue]] &amp; "."" Then Res = " &amp; Tabelle7[[#This Row],[EnuValue]]</f>
        <v xml:space="preserve">  If wert = ".WOOD." Then Res = sbeDSC_WOOD</v>
      </c>
    </row>
    <row r="428" spans="2:9" x14ac:dyDescent="0.25">
      <c r="B428" s="44">
        <v>5</v>
      </c>
      <c r="C428" s="45" t="s">
        <v>1550</v>
      </c>
      <c r="D428" s="44" t="s">
        <v>4042</v>
      </c>
      <c r="E428" s="44" t="str">
        <f>VLOOKUP(Tabelle7[[#This Row],[EnumName]],Enum[[IFC-Name]:[Präfix]],5,FALSE)&amp;Tabelle7[[#This Row],[EnuRohValue]]</f>
        <v>sbeDSC_ALUMINIUM_WOOD</v>
      </c>
      <c r="F428" s="44">
        <f>COUNTIF(Tabelle7[EnuValue],Tabelle7[[#This Row],[EnuValue]])</f>
        <v>1</v>
      </c>
      <c r="G428" s="44" t="str">
        <f xml:space="preserve"> "  " &amp; Tabelle7[[#This Row],[EnuValue]] &amp; " = " &amp; Tabelle7[[#This Row],[Wert]]</f>
        <v xml:space="preserve">  sbeDSC_ALUMINIUM_WOOD = 5</v>
      </c>
      <c r="H428" s="44" t="str">
        <f>"  If Wert = " &amp; Tabelle7[[#This Row],[EnuValue]] &amp; " then Res = ""." &amp; Tabelle7[[#This Row],[EnuRohValue]] &amp; "."""</f>
        <v xml:space="preserve">  If Wert = sbeDSC_ALUMINIUM_WOOD then Res = ".ALUMINIUM_WOOD."</v>
      </c>
      <c r="I428" s="44" t="str">
        <f>"  If wert = ""." &amp; Tabelle7[[#This Row],[EnuRohValue]] &amp; "."" Then Res = " &amp; Tabelle7[[#This Row],[EnuValue]]</f>
        <v xml:space="preserve">  If wert = ".ALUMINIUM_WOOD." Then Res = sbeDSC_ALUMINIUM_WOOD</v>
      </c>
    </row>
    <row r="429" spans="2:9" x14ac:dyDescent="0.25">
      <c r="B429" s="44">
        <v>6</v>
      </c>
      <c r="C429" s="45" t="s">
        <v>1550</v>
      </c>
      <c r="D429" s="44" t="s">
        <v>4043</v>
      </c>
      <c r="E429" s="44" t="str">
        <f>VLOOKUP(Tabelle7[[#This Row],[EnumName]],Enum[[IFC-Name]:[Präfix]],5,FALSE)&amp;Tabelle7[[#This Row],[EnuRohValue]]</f>
        <v>sbeDSC_ALUMINIUM_PLASTIC</v>
      </c>
      <c r="F429" s="44">
        <f>COUNTIF(Tabelle7[EnuValue],Tabelle7[[#This Row],[EnuValue]])</f>
        <v>1</v>
      </c>
      <c r="G429" s="44" t="str">
        <f xml:space="preserve"> "  " &amp; Tabelle7[[#This Row],[EnuValue]] &amp; " = " &amp; Tabelle7[[#This Row],[Wert]]</f>
        <v xml:space="preserve">  sbeDSC_ALUMINIUM_PLASTIC = 6</v>
      </c>
      <c r="H429" s="44" t="str">
        <f>"  If Wert = " &amp; Tabelle7[[#This Row],[EnuValue]] &amp; " then Res = ""." &amp; Tabelle7[[#This Row],[EnuRohValue]] &amp; "."""</f>
        <v xml:space="preserve">  If Wert = sbeDSC_ALUMINIUM_PLASTIC then Res = ".ALUMINIUM_PLASTIC."</v>
      </c>
      <c r="I429" s="44" t="str">
        <f>"  If wert = ""." &amp; Tabelle7[[#This Row],[EnuRohValue]] &amp; "."" Then Res = " &amp; Tabelle7[[#This Row],[EnuValue]]</f>
        <v xml:space="preserve">  If wert = ".ALUMINIUM_PLASTIC." Then Res = sbeDSC_ALUMINIUM_PLASTIC</v>
      </c>
    </row>
    <row r="430" spans="2:9" x14ac:dyDescent="0.25">
      <c r="B430" s="44">
        <v>7</v>
      </c>
      <c r="C430" s="45" t="s">
        <v>1550</v>
      </c>
      <c r="D430" s="44" t="s">
        <v>4044</v>
      </c>
      <c r="E430" s="44" t="str">
        <f>VLOOKUP(Tabelle7[[#This Row],[EnumName]],Enum[[IFC-Name]:[Präfix]],5,FALSE)&amp;Tabelle7[[#This Row],[EnuRohValue]]</f>
        <v>sbeDSC_PLASTIC</v>
      </c>
      <c r="F430" s="44">
        <f>COUNTIF(Tabelle7[EnuValue],Tabelle7[[#This Row],[EnuValue]])</f>
        <v>1</v>
      </c>
      <c r="G430" s="44" t="str">
        <f xml:space="preserve"> "  " &amp; Tabelle7[[#This Row],[EnuValue]] &amp; " = " &amp; Tabelle7[[#This Row],[Wert]]</f>
        <v xml:space="preserve">  sbeDSC_PLASTIC = 7</v>
      </c>
      <c r="H430" s="44" t="str">
        <f>"  If Wert = " &amp; Tabelle7[[#This Row],[EnuValue]] &amp; " then Res = ""." &amp; Tabelle7[[#This Row],[EnuRohValue]] &amp; "."""</f>
        <v xml:space="preserve">  If Wert = sbeDSC_PLASTIC then Res = ".PLASTIC."</v>
      </c>
      <c r="I430" s="44" t="str">
        <f>"  If wert = ""." &amp; Tabelle7[[#This Row],[EnuRohValue]] &amp; "."" Then Res = " &amp; Tabelle7[[#This Row],[EnuValue]]</f>
        <v xml:space="preserve">  If wert = ".PLASTIC." Then Res = sbeDSC_PLASTIC</v>
      </c>
    </row>
    <row r="431" spans="2:9" x14ac:dyDescent="0.25">
      <c r="B431" s="44">
        <v>8</v>
      </c>
      <c r="C431" s="45" t="s">
        <v>1550</v>
      </c>
      <c r="D431" s="44" t="s">
        <v>3682</v>
      </c>
      <c r="E431" s="44" t="str">
        <f>VLOOKUP(Tabelle7[[#This Row],[EnumName]],Enum[[IFC-Name]:[Präfix]],5,FALSE)&amp;Tabelle7[[#This Row],[EnuRohValue]]</f>
        <v>sbeDSC_USERDEFINED</v>
      </c>
      <c r="F431" s="44">
        <f>COUNTIF(Tabelle7[EnuValue],Tabelle7[[#This Row],[EnuValue]])</f>
        <v>1</v>
      </c>
      <c r="G431" s="44" t="str">
        <f xml:space="preserve"> "  " &amp; Tabelle7[[#This Row],[EnuValue]] &amp; " = " &amp; Tabelle7[[#This Row],[Wert]]</f>
        <v xml:space="preserve">  sbeDSC_USERDEFINED = 8</v>
      </c>
      <c r="H431" s="44" t="str">
        <f>"  If Wert = " &amp; Tabelle7[[#This Row],[EnuValue]] &amp; " then Res = ""." &amp; Tabelle7[[#This Row],[EnuRohValue]] &amp; "."""</f>
        <v xml:space="preserve">  If Wert = sbeDSC_USERDEFINED then Res = ".USERDEFINED."</v>
      </c>
      <c r="I431" s="44" t="str">
        <f>"  If wert = ""." &amp; Tabelle7[[#This Row],[EnuRohValue]] &amp; "."" Then Res = " &amp; Tabelle7[[#This Row],[EnuValue]]</f>
        <v xml:space="preserve">  If wert = ".USERDEFINED." Then Res = sbeDSC_USERDEFINED</v>
      </c>
    </row>
    <row r="432" spans="2:9" x14ac:dyDescent="0.25">
      <c r="B432" s="44">
        <v>9</v>
      </c>
      <c r="C432" s="45" t="s">
        <v>1550</v>
      </c>
      <c r="D432" s="44" t="s">
        <v>3683</v>
      </c>
      <c r="E432" s="44" t="str">
        <f>VLOOKUP(Tabelle7[[#This Row],[EnumName]],Enum[[IFC-Name]:[Präfix]],5,FALSE)&amp;Tabelle7[[#This Row],[EnuRohValue]]</f>
        <v>sbeDSC_NOTDEFINED</v>
      </c>
      <c r="F432" s="44">
        <f>COUNTIF(Tabelle7[EnuValue],Tabelle7[[#This Row],[EnuValue]])</f>
        <v>1</v>
      </c>
      <c r="G432" s="44" t="str">
        <f xml:space="preserve"> "  " &amp; Tabelle7[[#This Row],[EnuValue]] &amp; " = " &amp; Tabelle7[[#This Row],[Wert]]</f>
        <v xml:space="preserve">  sbeDSC_NOTDEFINED = 9</v>
      </c>
      <c r="H432" s="44" t="str">
        <f>"  If Wert = " &amp; Tabelle7[[#This Row],[EnuValue]] &amp; " then Res = ""." &amp; Tabelle7[[#This Row],[EnuRohValue]] &amp; "."""</f>
        <v xml:space="preserve">  If Wert = sbeDSC_NOTDEFINED then Res = ".NOTDEFINED."</v>
      </c>
      <c r="I432" s="44" t="str">
        <f>"  If wert = ""." &amp; Tabelle7[[#This Row],[EnuRohValue]] &amp; "."" Then Res = " &amp; Tabelle7[[#This Row],[EnuValue]]</f>
        <v xml:space="preserve">  If wert = ".NOTDEFINED." Then Res = sbeDSC_NOTDEFINED</v>
      </c>
    </row>
    <row r="433" spans="2:9" x14ac:dyDescent="0.25">
      <c r="B433" s="44">
        <v>1</v>
      </c>
      <c r="C433" s="45" t="s">
        <v>1551</v>
      </c>
      <c r="D433" s="44" t="s">
        <v>4045</v>
      </c>
      <c r="E433" s="44" t="str">
        <f>VLOOKUP(Tabelle7[[#This Row],[EnumName]],Enum[[IFC-Name]:[Präfix]],5,FALSE)&amp;Tabelle7[[#This Row],[EnuRohValue]]</f>
        <v>sbeDSO_SINGLE_SWING_LEFT</v>
      </c>
      <c r="F433" s="44">
        <f>COUNTIF(Tabelle7[EnuValue],Tabelle7[[#This Row],[EnuValue]])</f>
        <v>1</v>
      </c>
      <c r="G433" s="44" t="str">
        <f xml:space="preserve"> "  " &amp; Tabelle7[[#This Row],[EnuValue]] &amp; " = " &amp; Tabelle7[[#This Row],[Wert]]</f>
        <v xml:space="preserve">  sbeDSO_SINGLE_SWING_LEFT = 1</v>
      </c>
      <c r="H433" s="44" t="str">
        <f>"  If Wert = " &amp; Tabelle7[[#This Row],[EnuValue]] &amp; " then Res = ""." &amp; Tabelle7[[#This Row],[EnuRohValue]] &amp; "."""</f>
        <v xml:space="preserve">  If Wert = sbeDSO_SINGLE_SWING_LEFT then Res = ".SINGLE_SWING_LEFT."</v>
      </c>
      <c r="I433" s="44" t="str">
        <f>"  If wert = ""." &amp; Tabelle7[[#This Row],[EnuRohValue]] &amp; "."" Then Res = " &amp; Tabelle7[[#This Row],[EnuValue]]</f>
        <v xml:space="preserve">  If wert = ".SINGLE_SWING_LEFT." Then Res = sbeDSO_SINGLE_SWING_LEFT</v>
      </c>
    </row>
    <row r="434" spans="2:9" x14ac:dyDescent="0.25">
      <c r="B434" s="44">
        <v>2</v>
      </c>
      <c r="C434" s="45" t="s">
        <v>1551</v>
      </c>
      <c r="D434" s="44" t="s">
        <v>4046</v>
      </c>
      <c r="E434" s="44" t="str">
        <f>VLOOKUP(Tabelle7[[#This Row],[EnumName]],Enum[[IFC-Name]:[Präfix]],5,FALSE)&amp;Tabelle7[[#This Row],[EnuRohValue]]</f>
        <v>sbeDSO_SINGLE_SWING_RIGHT</v>
      </c>
      <c r="F434" s="44">
        <f>COUNTIF(Tabelle7[EnuValue],Tabelle7[[#This Row],[EnuValue]])</f>
        <v>1</v>
      </c>
      <c r="G434" s="44" t="str">
        <f xml:space="preserve"> "  " &amp; Tabelle7[[#This Row],[EnuValue]] &amp; " = " &amp; Tabelle7[[#This Row],[Wert]]</f>
        <v xml:space="preserve">  sbeDSO_SINGLE_SWING_RIGHT = 2</v>
      </c>
      <c r="H434" s="44" t="str">
        <f>"  If Wert = " &amp; Tabelle7[[#This Row],[EnuValue]] &amp; " then Res = ""." &amp; Tabelle7[[#This Row],[EnuRohValue]] &amp; "."""</f>
        <v xml:space="preserve">  If Wert = sbeDSO_SINGLE_SWING_RIGHT then Res = ".SINGLE_SWING_RIGHT."</v>
      </c>
      <c r="I434" s="44" t="str">
        <f>"  If wert = ""." &amp; Tabelle7[[#This Row],[EnuRohValue]] &amp; "."" Then Res = " &amp; Tabelle7[[#This Row],[EnuValue]]</f>
        <v xml:space="preserve">  If wert = ".SINGLE_SWING_RIGHT." Then Res = sbeDSO_SINGLE_SWING_RIGHT</v>
      </c>
    </row>
    <row r="435" spans="2:9" x14ac:dyDescent="0.25">
      <c r="B435" s="44">
        <v>3</v>
      </c>
      <c r="C435" s="45" t="s">
        <v>1551</v>
      </c>
      <c r="D435" s="44" t="s">
        <v>4047</v>
      </c>
      <c r="E435" s="44" t="str">
        <f>VLOOKUP(Tabelle7[[#This Row],[EnumName]],Enum[[IFC-Name]:[Präfix]],5,FALSE)&amp;Tabelle7[[#This Row],[EnuRohValue]]</f>
        <v>sbeDSO_DOUBLE_DOOR_SINGLE_SWING</v>
      </c>
      <c r="F435" s="44">
        <f>COUNTIF(Tabelle7[EnuValue],Tabelle7[[#This Row],[EnuValue]])</f>
        <v>1</v>
      </c>
      <c r="G435" s="44" t="str">
        <f xml:space="preserve"> "  " &amp; Tabelle7[[#This Row],[EnuValue]] &amp; " = " &amp; Tabelle7[[#This Row],[Wert]]</f>
        <v xml:space="preserve">  sbeDSO_DOUBLE_DOOR_SINGLE_SWING = 3</v>
      </c>
      <c r="H435" s="44" t="str">
        <f>"  If Wert = " &amp; Tabelle7[[#This Row],[EnuValue]] &amp; " then Res = ""." &amp; Tabelle7[[#This Row],[EnuRohValue]] &amp; "."""</f>
        <v xml:space="preserve">  If Wert = sbeDSO_DOUBLE_DOOR_SINGLE_SWING then Res = ".DOUBLE_DOOR_SINGLE_SWING."</v>
      </c>
      <c r="I435" s="44" t="str">
        <f>"  If wert = ""." &amp; Tabelle7[[#This Row],[EnuRohValue]] &amp; "."" Then Res = " &amp; Tabelle7[[#This Row],[EnuValue]]</f>
        <v xml:space="preserve">  If wert = ".DOUBLE_DOOR_SINGLE_SWING." Then Res = sbeDSO_DOUBLE_DOOR_SINGLE_SWING</v>
      </c>
    </row>
    <row r="436" spans="2:9" x14ac:dyDescent="0.25">
      <c r="B436" s="44">
        <v>4</v>
      </c>
      <c r="C436" s="45" t="s">
        <v>1551</v>
      </c>
      <c r="D436" s="44" t="s">
        <v>4048</v>
      </c>
      <c r="E436" s="44" t="str">
        <f>VLOOKUP(Tabelle7[[#This Row],[EnumName]],Enum[[IFC-Name]:[Präfix]],5,FALSE)&amp;Tabelle7[[#This Row],[EnuRohValue]]</f>
        <v>sbeDSO_DOUBLE_DOOR_SINGLE_SWING_OPPOSITE_LEFT</v>
      </c>
      <c r="F436" s="44">
        <f>COUNTIF(Tabelle7[EnuValue],Tabelle7[[#This Row],[EnuValue]])</f>
        <v>1</v>
      </c>
      <c r="G436" s="44" t="str">
        <f xml:space="preserve"> "  " &amp; Tabelle7[[#This Row],[EnuValue]] &amp; " = " &amp; Tabelle7[[#This Row],[Wert]]</f>
        <v xml:space="preserve">  sbeDSO_DOUBLE_DOOR_SINGLE_SWING_OPPOSITE_LEFT = 4</v>
      </c>
      <c r="H436" s="44" t="str">
        <f>"  If Wert = " &amp; Tabelle7[[#This Row],[EnuValue]] &amp; " then Res = ""." &amp; Tabelle7[[#This Row],[EnuRohValue]] &amp; "."""</f>
        <v xml:space="preserve">  If Wert = sbeDSO_DOUBLE_DOOR_SINGLE_SWING_OPPOSITE_LEFT then Res = ".DOUBLE_DOOR_SINGLE_SWING_OPPOSITE_LEFT."</v>
      </c>
      <c r="I436" s="44" t="str">
        <f>"  If wert = ""." &amp; Tabelle7[[#This Row],[EnuRohValue]] &amp; "."" Then Res = " &amp; Tabelle7[[#This Row],[EnuValue]]</f>
        <v xml:space="preserve">  If wert = ".DOUBLE_DOOR_SINGLE_SWING_OPPOSITE_LEFT." Then Res = sbeDSO_DOUBLE_DOOR_SINGLE_SWING_OPPOSITE_LEFT</v>
      </c>
    </row>
    <row r="437" spans="2:9" x14ac:dyDescent="0.25">
      <c r="B437" s="44">
        <v>5</v>
      </c>
      <c r="C437" s="45" t="s">
        <v>1551</v>
      </c>
      <c r="D437" s="44" t="s">
        <v>4049</v>
      </c>
      <c r="E437" s="44" t="str">
        <f>VLOOKUP(Tabelle7[[#This Row],[EnumName]],Enum[[IFC-Name]:[Präfix]],5,FALSE)&amp;Tabelle7[[#This Row],[EnuRohValue]]</f>
        <v>sbeDSO_DOUBLE_DOOR_SINGLE_SWING_OPPOSITE_RIGHT</v>
      </c>
      <c r="F437" s="44">
        <f>COUNTIF(Tabelle7[EnuValue],Tabelle7[[#This Row],[EnuValue]])</f>
        <v>1</v>
      </c>
      <c r="G437" s="44" t="str">
        <f xml:space="preserve"> "  " &amp; Tabelle7[[#This Row],[EnuValue]] &amp; " = " &amp; Tabelle7[[#This Row],[Wert]]</f>
        <v xml:space="preserve">  sbeDSO_DOUBLE_DOOR_SINGLE_SWING_OPPOSITE_RIGHT = 5</v>
      </c>
      <c r="H437" s="44" t="str">
        <f>"  If Wert = " &amp; Tabelle7[[#This Row],[EnuValue]] &amp; " then Res = ""." &amp; Tabelle7[[#This Row],[EnuRohValue]] &amp; "."""</f>
        <v xml:space="preserve">  If Wert = sbeDSO_DOUBLE_DOOR_SINGLE_SWING_OPPOSITE_RIGHT then Res = ".DOUBLE_DOOR_SINGLE_SWING_OPPOSITE_RIGHT."</v>
      </c>
      <c r="I437" s="44" t="str">
        <f>"  If wert = ""." &amp; Tabelle7[[#This Row],[EnuRohValue]] &amp; "."" Then Res = " &amp; Tabelle7[[#This Row],[EnuValue]]</f>
        <v xml:space="preserve">  If wert = ".DOUBLE_DOOR_SINGLE_SWING_OPPOSITE_RIGHT." Then Res = sbeDSO_DOUBLE_DOOR_SINGLE_SWING_OPPOSITE_RIGHT</v>
      </c>
    </row>
    <row r="438" spans="2:9" x14ac:dyDescent="0.25">
      <c r="B438" s="44">
        <v>6</v>
      </c>
      <c r="C438" s="45" t="s">
        <v>1551</v>
      </c>
      <c r="D438" s="44" t="s">
        <v>4050</v>
      </c>
      <c r="E438" s="44" t="str">
        <f>VLOOKUP(Tabelle7[[#This Row],[EnumName]],Enum[[IFC-Name]:[Präfix]],5,FALSE)&amp;Tabelle7[[#This Row],[EnuRohValue]]</f>
        <v>sbeDSO_DOUBLE_SWING_LEFT</v>
      </c>
      <c r="F438" s="44">
        <f>COUNTIF(Tabelle7[EnuValue],Tabelle7[[#This Row],[EnuValue]])</f>
        <v>1</v>
      </c>
      <c r="G438" s="44" t="str">
        <f xml:space="preserve"> "  " &amp; Tabelle7[[#This Row],[EnuValue]] &amp; " = " &amp; Tabelle7[[#This Row],[Wert]]</f>
        <v xml:space="preserve">  sbeDSO_DOUBLE_SWING_LEFT = 6</v>
      </c>
      <c r="H438" s="44" t="str">
        <f>"  If Wert = " &amp; Tabelle7[[#This Row],[EnuValue]] &amp; " then Res = ""." &amp; Tabelle7[[#This Row],[EnuRohValue]] &amp; "."""</f>
        <v xml:space="preserve">  If Wert = sbeDSO_DOUBLE_SWING_LEFT then Res = ".DOUBLE_SWING_LEFT."</v>
      </c>
      <c r="I438" s="44" t="str">
        <f>"  If wert = ""." &amp; Tabelle7[[#This Row],[EnuRohValue]] &amp; "."" Then Res = " &amp; Tabelle7[[#This Row],[EnuValue]]</f>
        <v xml:space="preserve">  If wert = ".DOUBLE_SWING_LEFT." Then Res = sbeDSO_DOUBLE_SWING_LEFT</v>
      </c>
    </row>
    <row r="439" spans="2:9" x14ac:dyDescent="0.25">
      <c r="B439" s="44">
        <v>7</v>
      </c>
      <c r="C439" s="45" t="s">
        <v>1551</v>
      </c>
      <c r="D439" s="44" t="s">
        <v>4051</v>
      </c>
      <c r="E439" s="44" t="str">
        <f>VLOOKUP(Tabelle7[[#This Row],[EnumName]],Enum[[IFC-Name]:[Präfix]],5,FALSE)&amp;Tabelle7[[#This Row],[EnuRohValue]]</f>
        <v>sbeDSO_DOUBLE_SWING_RIGHT</v>
      </c>
      <c r="F439" s="44">
        <f>COUNTIF(Tabelle7[EnuValue],Tabelle7[[#This Row],[EnuValue]])</f>
        <v>1</v>
      </c>
      <c r="G439" s="44" t="str">
        <f xml:space="preserve"> "  " &amp; Tabelle7[[#This Row],[EnuValue]] &amp; " = " &amp; Tabelle7[[#This Row],[Wert]]</f>
        <v xml:space="preserve">  sbeDSO_DOUBLE_SWING_RIGHT = 7</v>
      </c>
      <c r="H439" s="44" t="str">
        <f>"  If Wert = " &amp; Tabelle7[[#This Row],[EnuValue]] &amp; " then Res = ""." &amp; Tabelle7[[#This Row],[EnuRohValue]] &amp; "."""</f>
        <v xml:space="preserve">  If Wert = sbeDSO_DOUBLE_SWING_RIGHT then Res = ".DOUBLE_SWING_RIGHT."</v>
      </c>
      <c r="I439" s="44" t="str">
        <f>"  If wert = ""." &amp; Tabelle7[[#This Row],[EnuRohValue]] &amp; "."" Then Res = " &amp; Tabelle7[[#This Row],[EnuValue]]</f>
        <v xml:space="preserve">  If wert = ".DOUBLE_SWING_RIGHT." Then Res = sbeDSO_DOUBLE_SWING_RIGHT</v>
      </c>
    </row>
    <row r="440" spans="2:9" x14ac:dyDescent="0.25">
      <c r="B440" s="44">
        <v>8</v>
      </c>
      <c r="C440" s="45" t="s">
        <v>1551</v>
      </c>
      <c r="D440" s="44" t="s">
        <v>4052</v>
      </c>
      <c r="E440" s="44" t="str">
        <f>VLOOKUP(Tabelle7[[#This Row],[EnumName]],Enum[[IFC-Name]:[Präfix]],5,FALSE)&amp;Tabelle7[[#This Row],[EnuRohValue]]</f>
        <v>sbeDSO_DOUBLE_DOOR_DOUBLE_SWING</v>
      </c>
      <c r="F440" s="44">
        <f>COUNTIF(Tabelle7[EnuValue],Tabelle7[[#This Row],[EnuValue]])</f>
        <v>1</v>
      </c>
      <c r="G440" s="44" t="str">
        <f xml:space="preserve"> "  " &amp; Tabelle7[[#This Row],[EnuValue]] &amp; " = " &amp; Tabelle7[[#This Row],[Wert]]</f>
        <v xml:space="preserve">  sbeDSO_DOUBLE_DOOR_DOUBLE_SWING = 8</v>
      </c>
      <c r="H440" s="44" t="str">
        <f>"  If Wert = " &amp; Tabelle7[[#This Row],[EnuValue]] &amp; " then Res = ""." &amp; Tabelle7[[#This Row],[EnuRohValue]] &amp; "."""</f>
        <v xml:space="preserve">  If Wert = sbeDSO_DOUBLE_DOOR_DOUBLE_SWING then Res = ".DOUBLE_DOOR_DOUBLE_SWING."</v>
      </c>
      <c r="I440" s="44" t="str">
        <f>"  If wert = ""." &amp; Tabelle7[[#This Row],[EnuRohValue]] &amp; "."" Then Res = " &amp; Tabelle7[[#This Row],[EnuValue]]</f>
        <v xml:space="preserve">  If wert = ".DOUBLE_DOOR_DOUBLE_SWING." Then Res = sbeDSO_DOUBLE_DOOR_DOUBLE_SWING</v>
      </c>
    </row>
    <row r="441" spans="2:9" x14ac:dyDescent="0.25">
      <c r="B441" s="44">
        <v>9</v>
      </c>
      <c r="C441" s="45" t="s">
        <v>1551</v>
      </c>
      <c r="D441" s="44" t="s">
        <v>4053</v>
      </c>
      <c r="E441" s="44" t="str">
        <f>VLOOKUP(Tabelle7[[#This Row],[EnumName]],Enum[[IFC-Name]:[Präfix]],5,FALSE)&amp;Tabelle7[[#This Row],[EnuRohValue]]</f>
        <v>sbeDSO_SLIDING_TO_LEFT</v>
      </c>
      <c r="F441" s="44">
        <f>COUNTIF(Tabelle7[EnuValue],Tabelle7[[#This Row],[EnuValue]])</f>
        <v>1</v>
      </c>
      <c r="G441" s="44" t="str">
        <f xml:space="preserve"> "  " &amp; Tabelle7[[#This Row],[EnuValue]] &amp; " = " &amp; Tabelle7[[#This Row],[Wert]]</f>
        <v xml:space="preserve">  sbeDSO_SLIDING_TO_LEFT = 9</v>
      </c>
      <c r="H441" s="44" t="str">
        <f>"  If Wert = " &amp; Tabelle7[[#This Row],[EnuValue]] &amp; " then Res = ""." &amp; Tabelle7[[#This Row],[EnuRohValue]] &amp; "."""</f>
        <v xml:space="preserve">  If Wert = sbeDSO_SLIDING_TO_LEFT then Res = ".SLIDING_TO_LEFT."</v>
      </c>
      <c r="I441" s="44" t="str">
        <f>"  If wert = ""." &amp; Tabelle7[[#This Row],[EnuRohValue]] &amp; "."" Then Res = " &amp; Tabelle7[[#This Row],[EnuValue]]</f>
        <v xml:space="preserve">  If wert = ".SLIDING_TO_LEFT." Then Res = sbeDSO_SLIDING_TO_LEFT</v>
      </c>
    </row>
    <row r="442" spans="2:9" x14ac:dyDescent="0.25">
      <c r="B442" s="44">
        <v>10</v>
      </c>
      <c r="C442" s="45" t="s">
        <v>1551</v>
      </c>
      <c r="D442" s="44" t="s">
        <v>4054</v>
      </c>
      <c r="E442" s="44" t="str">
        <f>VLOOKUP(Tabelle7[[#This Row],[EnumName]],Enum[[IFC-Name]:[Präfix]],5,FALSE)&amp;Tabelle7[[#This Row],[EnuRohValue]]</f>
        <v>sbeDSO_SLIDING_TO_RIGHT</v>
      </c>
      <c r="F442" s="44">
        <f>COUNTIF(Tabelle7[EnuValue],Tabelle7[[#This Row],[EnuValue]])</f>
        <v>1</v>
      </c>
      <c r="G442" s="44" t="str">
        <f xml:space="preserve"> "  " &amp; Tabelle7[[#This Row],[EnuValue]] &amp; " = " &amp; Tabelle7[[#This Row],[Wert]]</f>
        <v xml:space="preserve">  sbeDSO_SLIDING_TO_RIGHT = 10</v>
      </c>
      <c r="H442" s="44" t="str">
        <f>"  If Wert = " &amp; Tabelle7[[#This Row],[EnuValue]] &amp; " then Res = ""." &amp; Tabelle7[[#This Row],[EnuRohValue]] &amp; "."""</f>
        <v xml:space="preserve">  If Wert = sbeDSO_SLIDING_TO_RIGHT then Res = ".SLIDING_TO_RIGHT."</v>
      </c>
      <c r="I442" s="44" t="str">
        <f>"  If wert = ""." &amp; Tabelle7[[#This Row],[EnuRohValue]] &amp; "."" Then Res = " &amp; Tabelle7[[#This Row],[EnuValue]]</f>
        <v xml:space="preserve">  If wert = ".SLIDING_TO_RIGHT." Then Res = sbeDSO_SLIDING_TO_RIGHT</v>
      </c>
    </row>
    <row r="443" spans="2:9" x14ac:dyDescent="0.25">
      <c r="B443" s="44">
        <v>11</v>
      </c>
      <c r="C443" s="45" t="s">
        <v>1551</v>
      </c>
      <c r="D443" s="44" t="s">
        <v>4055</v>
      </c>
      <c r="E443" s="44" t="str">
        <f>VLOOKUP(Tabelle7[[#This Row],[EnumName]],Enum[[IFC-Name]:[Präfix]],5,FALSE)&amp;Tabelle7[[#This Row],[EnuRohValue]]</f>
        <v>sbeDSO_DOUBLE_DOOR_SLIDING</v>
      </c>
      <c r="F443" s="44">
        <f>COUNTIF(Tabelle7[EnuValue],Tabelle7[[#This Row],[EnuValue]])</f>
        <v>1</v>
      </c>
      <c r="G443" s="44" t="str">
        <f xml:space="preserve"> "  " &amp; Tabelle7[[#This Row],[EnuValue]] &amp; " = " &amp; Tabelle7[[#This Row],[Wert]]</f>
        <v xml:space="preserve">  sbeDSO_DOUBLE_DOOR_SLIDING = 11</v>
      </c>
      <c r="H443" s="44" t="str">
        <f>"  If Wert = " &amp; Tabelle7[[#This Row],[EnuValue]] &amp; " then Res = ""." &amp; Tabelle7[[#This Row],[EnuRohValue]] &amp; "."""</f>
        <v xml:space="preserve">  If Wert = sbeDSO_DOUBLE_DOOR_SLIDING then Res = ".DOUBLE_DOOR_SLIDING."</v>
      </c>
      <c r="I443" s="44" t="str">
        <f>"  If wert = ""." &amp; Tabelle7[[#This Row],[EnuRohValue]] &amp; "."" Then Res = " &amp; Tabelle7[[#This Row],[EnuValue]]</f>
        <v xml:space="preserve">  If wert = ".DOUBLE_DOOR_SLIDING." Then Res = sbeDSO_DOUBLE_DOOR_SLIDING</v>
      </c>
    </row>
    <row r="444" spans="2:9" x14ac:dyDescent="0.25">
      <c r="B444" s="44">
        <v>12</v>
      </c>
      <c r="C444" s="45" t="s">
        <v>1551</v>
      </c>
      <c r="D444" s="44" t="s">
        <v>4056</v>
      </c>
      <c r="E444" s="44" t="str">
        <f>VLOOKUP(Tabelle7[[#This Row],[EnumName]],Enum[[IFC-Name]:[Präfix]],5,FALSE)&amp;Tabelle7[[#This Row],[EnuRohValue]]</f>
        <v>sbeDSO_FOLDING_TO_LEFT</v>
      </c>
      <c r="F444" s="44">
        <f>COUNTIF(Tabelle7[EnuValue],Tabelle7[[#This Row],[EnuValue]])</f>
        <v>1</v>
      </c>
      <c r="G444" s="44" t="str">
        <f xml:space="preserve"> "  " &amp; Tabelle7[[#This Row],[EnuValue]] &amp; " = " &amp; Tabelle7[[#This Row],[Wert]]</f>
        <v xml:space="preserve">  sbeDSO_FOLDING_TO_LEFT = 12</v>
      </c>
      <c r="H444" s="44" t="str">
        <f>"  If Wert = " &amp; Tabelle7[[#This Row],[EnuValue]] &amp; " then Res = ""." &amp; Tabelle7[[#This Row],[EnuRohValue]] &amp; "."""</f>
        <v xml:space="preserve">  If Wert = sbeDSO_FOLDING_TO_LEFT then Res = ".FOLDING_TO_LEFT."</v>
      </c>
      <c r="I444" s="44" t="str">
        <f>"  If wert = ""." &amp; Tabelle7[[#This Row],[EnuRohValue]] &amp; "."" Then Res = " &amp; Tabelle7[[#This Row],[EnuValue]]</f>
        <v xml:space="preserve">  If wert = ".FOLDING_TO_LEFT." Then Res = sbeDSO_FOLDING_TO_LEFT</v>
      </c>
    </row>
    <row r="445" spans="2:9" x14ac:dyDescent="0.25">
      <c r="B445" s="44">
        <v>13</v>
      </c>
      <c r="C445" s="45" t="s">
        <v>1551</v>
      </c>
      <c r="D445" s="44" t="s">
        <v>4057</v>
      </c>
      <c r="E445" s="44" t="str">
        <f>VLOOKUP(Tabelle7[[#This Row],[EnumName]],Enum[[IFC-Name]:[Präfix]],5,FALSE)&amp;Tabelle7[[#This Row],[EnuRohValue]]</f>
        <v>sbeDSO_FOLDING_TO_RIGHT</v>
      </c>
      <c r="F445" s="44">
        <f>COUNTIF(Tabelle7[EnuValue],Tabelle7[[#This Row],[EnuValue]])</f>
        <v>1</v>
      </c>
      <c r="G445" s="44" t="str">
        <f xml:space="preserve"> "  " &amp; Tabelle7[[#This Row],[EnuValue]] &amp; " = " &amp; Tabelle7[[#This Row],[Wert]]</f>
        <v xml:space="preserve">  sbeDSO_FOLDING_TO_RIGHT = 13</v>
      </c>
      <c r="H445" s="44" t="str">
        <f>"  If Wert = " &amp; Tabelle7[[#This Row],[EnuValue]] &amp; " then Res = ""." &amp; Tabelle7[[#This Row],[EnuRohValue]] &amp; "."""</f>
        <v xml:space="preserve">  If Wert = sbeDSO_FOLDING_TO_RIGHT then Res = ".FOLDING_TO_RIGHT."</v>
      </c>
      <c r="I445" s="44" t="str">
        <f>"  If wert = ""." &amp; Tabelle7[[#This Row],[EnuRohValue]] &amp; "."" Then Res = " &amp; Tabelle7[[#This Row],[EnuValue]]</f>
        <v xml:space="preserve">  If wert = ".FOLDING_TO_RIGHT." Then Res = sbeDSO_FOLDING_TO_RIGHT</v>
      </c>
    </row>
    <row r="446" spans="2:9" x14ac:dyDescent="0.25">
      <c r="B446" s="44">
        <v>14</v>
      </c>
      <c r="C446" s="45" t="s">
        <v>1551</v>
      </c>
      <c r="D446" s="44" t="s">
        <v>4058</v>
      </c>
      <c r="E446" s="44" t="str">
        <f>VLOOKUP(Tabelle7[[#This Row],[EnumName]],Enum[[IFC-Name]:[Präfix]],5,FALSE)&amp;Tabelle7[[#This Row],[EnuRohValue]]</f>
        <v>sbeDSO_DOUBLE_DOOR_FOLDING</v>
      </c>
      <c r="F446" s="44">
        <f>COUNTIF(Tabelle7[EnuValue],Tabelle7[[#This Row],[EnuValue]])</f>
        <v>1</v>
      </c>
      <c r="G446" s="44" t="str">
        <f xml:space="preserve"> "  " &amp; Tabelle7[[#This Row],[EnuValue]] &amp; " = " &amp; Tabelle7[[#This Row],[Wert]]</f>
        <v xml:space="preserve">  sbeDSO_DOUBLE_DOOR_FOLDING = 14</v>
      </c>
      <c r="H446" s="44" t="str">
        <f>"  If Wert = " &amp; Tabelle7[[#This Row],[EnuValue]] &amp; " then Res = ""." &amp; Tabelle7[[#This Row],[EnuRohValue]] &amp; "."""</f>
        <v xml:space="preserve">  If Wert = sbeDSO_DOUBLE_DOOR_FOLDING then Res = ".DOUBLE_DOOR_FOLDING."</v>
      </c>
      <c r="I446" s="44" t="str">
        <f>"  If wert = ""." &amp; Tabelle7[[#This Row],[EnuRohValue]] &amp; "."" Then Res = " &amp; Tabelle7[[#This Row],[EnuValue]]</f>
        <v xml:space="preserve">  If wert = ".DOUBLE_DOOR_FOLDING." Then Res = sbeDSO_DOUBLE_DOOR_FOLDING</v>
      </c>
    </row>
    <row r="447" spans="2:9" x14ac:dyDescent="0.25">
      <c r="B447" s="44">
        <v>15</v>
      </c>
      <c r="C447" s="45" t="s">
        <v>1551</v>
      </c>
      <c r="D447" s="44" t="s">
        <v>4033</v>
      </c>
      <c r="E447" s="44" t="str">
        <f>VLOOKUP(Tabelle7[[#This Row],[EnumName]],Enum[[IFC-Name]:[Präfix]],5,FALSE)&amp;Tabelle7[[#This Row],[EnuRohValue]]</f>
        <v>sbeDSO_REVOLVING</v>
      </c>
      <c r="F447" s="44">
        <f>COUNTIF(Tabelle7[EnuValue],Tabelle7[[#This Row],[EnuValue]])</f>
        <v>1</v>
      </c>
      <c r="G447" s="44" t="str">
        <f xml:space="preserve"> "  " &amp; Tabelle7[[#This Row],[EnuValue]] &amp; " = " &amp; Tabelle7[[#This Row],[Wert]]</f>
        <v xml:space="preserve">  sbeDSO_REVOLVING = 15</v>
      </c>
      <c r="H447" s="44" t="str">
        <f>"  If Wert = " &amp; Tabelle7[[#This Row],[EnuValue]] &amp; " then Res = ""." &amp; Tabelle7[[#This Row],[EnuRohValue]] &amp; "."""</f>
        <v xml:space="preserve">  If Wert = sbeDSO_REVOLVING then Res = ".REVOLVING."</v>
      </c>
      <c r="I447" s="44" t="str">
        <f>"  If wert = ""." &amp; Tabelle7[[#This Row],[EnuRohValue]] &amp; "."" Then Res = " &amp; Tabelle7[[#This Row],[EnuValue]]</f>
        <v xml:space="preserve">  If wert = ".REVOLVING." Then Res = sbeDSO_REVOLVING</v>
      </c>
    </row>
    <row r="448" spans="2:9" x14ac:dyDescent="0.25">
      <c r="B448" s="44">
        <v>16</v>
      </c>
      <c r="C448" s="45" t="s">
        <v>1551</v>
      </c>
      <c r="D448" s="44" t="s">
        <v>4034</v>
      </c>
      <c r="E448" s="44" t="str">
        <f>VLOOKUP(Tabelle7[[#This Row],[EnumName]],Enum[[IFC-Name]:[Präfix]],5,FALSE)&amp;Tabelle7[[#This Row],[EnuRohValue]]</f>
        <v>sbeDSO_ROLLINGUP</v>
      </c>
      <c r="F448" s="44">
        <f>COUNTIF(Tabelle7[EnuValue],Tabelle7[[#This Row],[EnuValue]])</f>
        <v>1</v>
      </c>
      <c r="G448" s="44" t="str">
        <f xml:space="preserve"> "  " &amp; Tabelle7[[#This Row],[EnuValue]] &amp; " = " &amp; Tabelle7[[#This Row],[Wert]]</f>
        <v xml:space="preserve">  sbeDSO_ROLLINGUP = 16</v>
      </c>
      <c r="H448" s="44" t="str">
        <f>"  If Wert = " &amp; Tabelle7[[#This Row],[EnuValue]] &amp; " then Res = ""." &amp; Tabelle7[[#This Row],[EnuRohValue]] &amp; "."""</f>
        <v xml:space="preserve">  If Wert = sbeDSO_ROLLINGUP then Res = ".ROLLINGUP."</v>
      </c>
      <c r="I448" s="44" t="str">
        <f>"  If wert = ""." &amp; Tabelle7[[#This Row],[EnuRohValue]] &amp; "."" Then Res = " &amp; Tabelle7[[#This Row],[EnuValue]]</f>
        <v xml:space="preserve">  If wert = ".ROLLINGUP." Then Res = sbeDSO_ROLLINGUP</v>
      </c>
    </row>
    <row r="449" spans="2:9" x14ac:dyDescent="0.25">
      <c r="B449" s="44">
        <v>17</v>
      </c>
      <c r="C449" s="45" t="s">
        <v>1551</v>
      </c>
      <c r="D449" s="44" t="s">
        <v>3682</v>
      </c>
      <c r="E449" s="44" t="str">
        <f>VLOOKUP(Tabelle7[[#This Row],[EnumName]],Enum[[IFC-Name]:[Präfix]],5,FALSE)&amp;Tabelle7[[#This Row],[EnuRohValue]]</f>
        <v>sbeDSO_USERDEFINED</v>
      </c>
      <c r="F449" s="44">
        <f>COUNTIF(Tabelle7[EnuValue],Tabelle7[[#This Row],[EnuValue]])</f>
        <v>1</v>
      </c>
      <c r="G449" s="44" t="str">
        <f xml:space="preserve"> "  " &amp; Tabelle7[[#This Row],[EnuValue]] &amp; " = " &amp; Tabelle7[[#This Row],[Wert]]</f>
        <v xml:space="preserve">  sbeDSO_USERDEFINED = 17</v>
      </c>
      <c r="H449" s="44" t="str">
        <f>"  If Wert = " &amp; Tabelle7[[#This Row],[EnuValue]] &amp; " then Res = ""." &amp; Tabelle7[[#This Row],[EnuRohValue]] &amp; "."""</f>
        <v xml:space="preserve">  If Wert = sbeDSO_USERDEFINED then Res = ".USERDEFINED."</v>
      </c>
      <c r="I449" s="44" t="str">
        <f>"  If wert = ""." &amp; Tabelle7[[#This Row],[EnuRohValue]] &amp; "."" Then Res = " &amp; Tabelle7[[#This Row],[EnuValue]]</f>
        <v xml:space="preserve">  If wert = ".USERDEFINED." Then Res = sbeDSO_USERDEFINED</v>
      </c>
    </row>
    <row r="450" spans="2:9" x14ac:dyDescent="0.25">
      <c r="B450" s="44">
        <v>18</v>
      </c>
      <c r="C450" s="45" t="s">
        <v>1551</v>
      </c>
      <c r="D450" s="44" t="s">
        <v>3683</v>
      </c>
      <c r="E450" s="44" t="str">
        <f>VLOOKUP(Tabelle7[[#This Row],[EnumName]],Enum[[IFC-Name]:[Präfix]],5,FALSE)&amp;Tabelle7[[#This Row],[EnuRohValue]]</f>
        <v>sbeDSO_NOTDEFINED</v>
      </c>
      <c r="F450" s="44">
        <f>COUNTIF(Tabelle7[EnuValue],Tabelle7[[#This Row],[EnuValue]])</f>
        <v>1</v>
      </c>
      <c r="G450" s="44" t="str">
        <f xml:space="preserve"> "  " &amp; Tabelle7[[#This Row],[EnuValue]] &amp; " = " &amp; Tabelle7[[#This Row],[Wert]]</f>
        <v xml:space="preserve">  sbeDSO_NOTDEFINED = 18</v>
      </c>
      <c r="H450" s="44" t="str">
        <f>"  If Wert = " &amp; Tabelle7[[#This Row],[EnuValue]] &amp; " then Res = ""." &amp; Tabelle7[[#This Row],[EnuRohValue]] &amp; "."""</f>
        <v xml:space="preserve">  If Wert = sbeDSO_NOTDEFINED then Res = ".NOTDEFINED."</v>
      </c>
      <c r="I450" s="44" t="str">
        <f>"  If wert = ""." &amp; Tabelle7[[#This Row],[EnuRohValue]] &amp; "."" Then Res = " &amp; Tabelle7[[#This Row],[EnuValue]]</f>
        <v xml:space="preserve">  If wert = ".NOTDEFINED." Then Res = sbeDSO_NOTDEFINED</v>
      </c>
    </row>
    <row r="451" spans="2:9" x14ac:dyDescent="0.25">
      <c r="B451" s="44">
        <v>1</v>
      </c>
      <c r="C451" s="45" t="s">
        <v>1552</v>
      </c>
      <c r="D451" s="44" t="s">
        <v>3786</v>
      </c>
      <c r="E451" s="44" t="str">
        <f>VLOOKUP(Tabelle7[[#This Row],[EnumName]],Enum[[IFC-Name]:[Präfix]],5,FALSE)&amp;Tabelle7[[#This Row],[EnuRohValue]]</f>
        <v>hvacDFT_BEND</v>
      </c>
      <c r="F451" s="44">
        <f>COUNTIF(Tabelle7[EnuValue],Tabelle7[[#This Row],[EnuValue]])</f>
        <v>1</v>
      </c>
      <c r="G451" s="44" t="str">
        <f xml:space="preserve"> "  " &amp; Tabelle7[[#This Row],[EnuValue]] &amp; " = " &amp; Tabelle7[[#This Row],[Wert]]</f>
        <v xml:space="preserve">  hvacDFT_BEND = 1</v>
      </c>
      <c r="H451" s="44" t="str">
        <f>"  If Wert = " &amp; Tabelle7[[#This Row],[EnuValue]] &amp; " then Res = ""." &amp; Tabelle7[[#This Row],[EnuRohValue]] &amp; "."""</f>
        <v xml:space="preserve">  If Wert = hvacDFT_BEND then Res = ".BEND."</v>
      </c>
      <c r="I451" s="44" t="str">
        <f>"  If wert = ""." &amp; Tabelle7[[#This Row],[EnuRohValue]] &amp; "."" Then Res = " &amp; Tabelle7[[#This Row],[EnuValue]]</f>
        <v xml:space="preserve">  If wert = ".BEND." Then Res = hvacDFT_BEND</v>
      </c>
    </row>
    <row r="452" spans="2:9" x14ac:dyDescent="0.25">
      <c r="B452" s="44">
        <v>2</v>
      </c>
      <c r="C452" s="45" t="s">
        <v>1552</v>
      </c>
      <c r="D452" s="44" t="s">
        <v>4059</v>
      </c>
      <c r="E452" s="44" t="str">
        <f>VLOOKUP(Tabelle7[[#This Row],[EnumName]],Enum[[IFC-Name]:[Präfix]],5,FALSE)&amp;Tabelle7[[#This Row],[EnuRohValue]]</f>
        <v>hvacDFT_CONNECTOR</v>
      </c>
      <c r="F452" s="44">
        <f>COUNTIF(Tabelle7[EnuValue],Tabelle7[[#This Row],[EnuValue]])</f>
        <v>1</v>
      </c>
      <c r="G452" s="44" t="str">
        <f xml:space="preserve"> "  " &amp; Tabelle7[[#This Row],[EnuValue]] &amp; " = " &amp; Tabelle7[[#This Row],[Wert]]</f>
        <v xml:space="preserve">  hvacDFT_CONNECTOR = 2</v>
      </c>
      <c r="H452" s="44" t="str">
        <f>"  If Wert = " &amp; Tabelle7[[#This Row],[EnuValue]] &amp; " then Res = ""." &amp; Tabelle7[[#This Row],[EnuRohValue]] &amp; "."""</f>
        <v xml:space="preserve">  If Wert = hvacDFT_CONNECTOR then Res = ".CONNECTOR."</v>
      </c>
      <c r="I452" s="44" t="str">
        <f>"  If wert = ""." &amp; Tabelle7[[#This Row],[EnuRohValue]] &amp; "."" Then Res = " &amp; Tabelle7[[#This Row],[EnuValue]]</f>
        <v xml:space="preserve">  If wert = ".CONNECTOR." Then Res = hvacDFT_CONNECTOR</v>
      </c>
    </row>
    <row r="453" spans="2:9" x14ac:dyDescent="0.25">
      <c r="B453" s="44">
        <v>3</v>
      </c>
      <c r="C453" s="45" t="s">
        <v>1552</v>
      </c>
      <c r="D453" s="44" t="s">
        <v>4060</v>
      </c>
      <c r="E453" s="44" t="str">
        <f>VLOOKUP(Tabelle7[[#This Row],[EnumName]],Enum[[IFC-Name]:[Präfix]],5,FALSE)&amp;Tabelle7[[#This Row],[EnuRohValue]]</f>
        <v>hvacDFT_ENTRY</v>
      </c>
      <c r="F453" s="44">
        <f>COUNTIF(Tabelle7[EnuValue],Tabelle7[[#This Row],[EnuValue]])</f>
        <v>1</v>
      </c>
      <c r="G453" s="44" t="str">
        <f xml:space="preserve"> "  " &amp; Tabelle7[[#This Row],[EnuValue]] &amp; " = " &amp; Tabelle7[[#This Row],[Wert]]</f>
        <v xml:space="preserve">  hvacDFT_ENTRY = 3</v>
      </c>
      <c r="H453" s="44" t="str">
        <f>"  If Wert = " &amp; Tabelle7[[#This Row],[EnuValue]] &amp; " then Res = ""." &amp; Tabelle7[[#This Row],[EnuRohValue]] &amp; "."""</f>
        <v xml:space="preserve">  If Wert = hvacDFT_ENTRY then Res = ".ENTRY."</v>
      </c>
      <c r="I453" s="44" t="str">
        <f>"  If wert = ""." &amp; Tabelle7[[#This Row],[EnuRohValue]] &amp; "."" Then Res = " &amp; Tabelle7[[#This Row],[EnuValue]]</f>
        <v xml:space="preserve">  If wert = ".ENTRY." Then Res = hvacDFT_ENTRY</v>
      </c>
    </row>
    <row r="454" spans="2:9" x14ac:dyDescent="0.25">
      <c r="B454" s="44">
        <v>4</v>
      </c>
      <c r="C454" s="45" t="s">
        <v>1552</v>
      </c>
      <c r="D454" s="44" t="s">
        <v>4061</v>
      </c>
      <c r="E454" s="44" t="str">
        <f>VLOOKUP(Tabelle7[[#This Row],[EnumName]],Enum[[IFC-Name]:[Präfix]],5,FALSE)&amp;Tabelle7[[#This Row],[EnuRohValue]]</f>
        <v>hvacDFT_EXIT</v>
      </c>
      <c r="F454" s="44">
        <f>COUNTIF(Tabelle7[EnuValue],Tabelle7[[#This Row],[EnuValue]])</f>
        <v>1</v>
      </c>
      <c r="G454" s="44" t="str">
        <f xml:space="preserve"> "  " &amp; Tabelle7[[#This Row],[EnuValue]] &amp; " = " &amp; Tabelle7[[#This Row],[Wert]]</f>
        <v xml:space="preserve">  hvacDFT_EXIT = 4</v>
      </c>
      <c r="H454" s="44" t="str">
        <f>"  If Wert = " &amp; Tabelle7[[#This Row],[EnuValue]] &amp; " then Res = ""." &amp; Tabelle7[[#This Row],[EnuRohValue]] &amp; "."""</f>
        <v xml:space="preserve">  If Wert = hvacDFT_EXIT then Res = ".EXIT."</v>
      </c>
      <c r="I454" s="44" t="str">
        <f>"  If wert = ""." &amp; Tabelle7[[#This Row],[EnuRohValue]] &amp; "."" Then Res = " &amp; Tabelle7[[#This Row],[EnuValue]]</f>
        <v xml:space="preserve">  If wert = ".EXIT." Then Res = hvacDFT_EXIT</v>
      </c>
    </row>
    <row r="455" spans="2:9" x14ac:dyDescent="0.25">
      <c r="B455" s="44">
        <v>5</v>
      </c>
      <c r="C455" s="45" t="s">
        <v>1552</v>
      </c>
      <c r="D455" s="44" t="s">
        <v>4062</v>
      </c>
      <c r="E455" s="44" t="str">
        <f>VLOOKUP(Tabelle7[[#This Row],[EnumName]],Enum[[IFC-Name]:[Präfix]],5,FALSE)&amp;Tabelle7[[#This Row],[EnuRohValue]]</f>
        <v>hvacDFT_JUNCTION</v>
      </c>
      <c r="F455" s="44">
        <f>COUNTIF(Tabelle7[EnuValue],Tabelle7[[#This Row],[EnuValue]])</f>
        <v>1</v>
      </c>
      <c r="G455" s="44" t="str">
        <f xml:space="preserve"> "  " &amp; Tabelle7[[#This Row],[EnuValue]] &amp; " = " &amp; Tabelle7[[#This Row],[Wert]]</f>
        <v xml:space="preserve">  hvacDFT_JUNCTION = 5</v>
      </c>
      <c r="H455" s="44" t="str">
        <f>"  If Wert = " &amp; Tabelle7[[#This Row],[EnuValue]] &amp; " then Res = ""." &amp; Tabelle7[[#This Row],[EnuRohValue]] &amp; "."""</f>
        <v xml:space="preserve">  If Wert = hvacDFT_JUNCTION then Res = ".JUNCTION."</v>
      </c>
      <c r="I455" s="44" t="str">
        <f>"  If wert = ""." &amp; Tabelle7[[#This Row],[EnuRohValue]] &amp; "."" Then Res = " &amp; Tabelle7[[#This Row],[EnuValue]]</f>
        <v xml:space="preserve">  If wert = ".JUNCTION." Then Res = hvacDFT_JUNCTION</v>
      </c>
    </row>
    <row r="456" spans="2:9" x14ac:dyDescent="0.25">
      <c r="B456" s="44">
        <v>6</v>
      </c>
      <c r="C456" s="45" t="s">
        <v>1552</v>
      </c>
      <c r="D456" s="44" t="s">
        <v>4063</v>
      </c>
      <c r="E456" s="44" t="str">
        <f>VLOOKUP(Tabelle7[[#This Row],[EnumName]],Enum[[IFC-Name]:[Präfix]],5,FALSE)&amp;Tabelle7[[#This Row],[EnuRohValue]]</f>
        <v>hvacDFT_OBSTRUCTION</v>
      </c>
      <c r="F456" s="44">
        <f>COUNTIF(Tabelle7[EnuValue],Tabelle7[[#This Row],[EnuValue]])</f>
        <v>1</v>
      </c>
      <c r="G456" s="44" t="str">
        <f xml:space="preserve"> "  " &amp; Tabelle7[[#This Row],[EnuValue]] &amp; " = " &amp; Tabelle7[[#This Row],[Wert]]</f>
        <v xml:space="preserve">  hvacDFT_OBSTRUCTION = 6</v>
      </c>
      <c r="H456" s="44" t="str">
        <f>"  If Wert = " &amp; Tabelle7[[#This Row],[EnuValue]] &amp; " then Res = ""." &amp; Tabelle7[[#This Row],[EnuRohValue]] &amp; "."""</f>
        <v xml:space="preserve">  If Wert = hvacDFT_OBSTRUCTION then Res = ".OBSTRUCTION."</v>
      </c>
      <c r="I456" s="44" t="str">
        <f>"  If wert = ""." &amp; Tabelle7[[#This Row],[EnuRohValue]] &amp; "."" Then Res = " &amp; Tabelle7[[#This Row],[EnuValue]]</f>
        <v xml:space="preserve">  If wert = ".OBSTRUCTION." Then Res = hvacDFT_OBSTRUCTION</v>
      </c>
    </row>
    <row r="457" spans="2:9" x14ac:dyDescent="0.25">
      <c r="B457" s="44">
        <v>7</v>
      </c>
      <c r="C457" s="45" t="s">
        <v>1552</v>
      </c>
      <c r="D457" s="44" t="s">
        <v>4064</v>
      </c>
      <c r="E457" s="44" t="str">
        <f>VLOOKUP(Tabelle7[[#This Row],[EnumName]],Enum[[IFC-Name]:[Präfix]],5,FALSE)&amp;Tabelle7[[#This Row],[EnuRohValue]]</f>
        <v>hvacDFT_TRANSITION</v>
      </c>
      <c r="F457" s="44">
        <f>COUNTIF(Tabelle7[EnuValue],Tabelle7[[#This Row],[EnuValue]])</f>
        <v>1</v>
      </c>
      <c r="G457" s="44" t="str">
        <f xml:space="preserve"> "  " &amp; Tabelle7[[#This Row],[EnuValue]] &amp; " = " &amp; Tabelle7[[#This Row],[Wert]]</f>
        <v xml:space="preserve">  hvacDFT_TRANSITION = 7</v>
      </c>
      <c r="H457" s="44" t="str">
        <f>"  If Wert = " &amp; Tabelle7[[#This Row],[EnuValue]] &amp; " then Res = ""." &amp; Tabelle7[[#This Row],[EnuRohValue]] &amp; "."""</f>
        <v xml:space="preserve">  If Wert = hvacDFT_TRANSITION then Res = ".TRANSITION."</v>
      </c>
      <c r="I457" s="44" t="str">
        <f>"  If wert = ""." &amp; Tabelle7[[#This Row],[EnuRohValue]] &amp; "."" Then Res = " &amp; Tabelle7[[#This Row],[EnuValue]]</f>
        <v xml:space="preserve">  If wert = ".TRANSITION." Then Res = hvacDFT_TRANSITION</v>
      </c>
    </row>
    <row r="458" spans="2:9" x14ac:dyDescent="0.25">
      <c r="B458" s="44">
        <v>8</v>
      </c>
      <c r="C458" s="45" t="s">
        <v>1552</v>
      </c>
      <c r="D458" s="44" t="s">
        <v>3682</v>
      </c>
      <c r="E458" s="44" t="str">
        <f>VLOOKUP(Tabelle7[[#This Row],[EnumName]],Enum[[IFC-Name]:[Präfix]],5,FALSE)&amp;Tabelle7[[#This Row],[EnuRohValue]]</f>
        <v>hvacDFT_USERDEFINED</v>
      </c>
      <c r="F458" s="44">
        <f>COUNTIF(Tabelle7[EnuValue],Tabelle7[[#This Row],[EnuValue]])</f>
        <v>1</v>
      </c>
      <c r="G458" s="44" t="str">
        <f xml:space="preserve"> "  " &amp; Tabelle7[[#This Row],[EnuValue]] &amp; " = " &amp; Tabelle7[[#This Row],[Wert]]</f>
        <v xml:space="preserve">  hvacDFT_USERDEFINED = 8</v>
      </c>
      <c r="H458" s="44" t="str">
        <f>"  If Wert = " &amp; Tabelle7[[#This Row],[EnuValue]] &amp; " then Res = ""." &amp; Tabelle7[[#This Row],[EnuRohValue]] &amp; "."""</f>
        <v xml:space="preserve">  If Wert = hvacDFT_USERDEFINED then Res = ".USERDEFINED."</v>
      </c>
      <c r="I458" s="44" t="str">
        <f>"  If wert = ""." &amp; Tabelle7[[#This Row],[EnuRohValue]] &amp; "."" Then Res = " &amp; Tabelle7[[#This Row],[EnuValue]]</f>
        <v xml:space="preserve">  If wert = ".USERDEFINED." Then Res = hvacDFT_USERDEFINED</v>
      </c>
    </row>
    <row r="459" spans="2:9" x14ac:dyDescent="0.25">
      <c r="B459" s="44">
        <v>9</v>
      </c>
      <c r="C459" s="45" t="s">
        <v>1552</v>
      </c>
      <c r="D459" s="44" t="s">
        <v>3683</v>
      </c>
      <c r="E459" s="44" t="str">
        <f>VLOOKUP(Tabelle7[[#This Row],[EnumName]],Enum[[IFC-Name]:[Präfix]],5,FALSE)&amp;Tabelle7[[#This Row],[EnuRohValue]]</f>
        <v>hvacDFT_NOTDEFINED</v>
      </c>
      <c r="F459" s="44">
        <f>COUNTIF(Tabelle7[EnuValue],Tabelle7[[#This Row],[EnuValue]])</f>
        <v>1</v>
      </c>
      <c r="G459" s="44" t="str">
        <f xml:space="preserve"> "  " &amp; Tabelle7[[#This Row],[EnuValue]] &amp; " = " &amp; Tabelle7[[#This Row],[Wert]]</f>
        <v xml:space="preserve">  hvacDFT_NOTDEFINED = 9</v>
      </c>
      <c r="H459" s="44" t="str">
        <f>"  If Wert = " &amp; Tabelle7[[#This Row],[EnuValue]] &amp; " then Res = ""." &amp; Tabelle7[[#This Row],[EnuRohValue]] &amp; "."""</f>
        <v xml:space="preserve">  If Wert = hvacDFT_NOTDEFINED then Res = ".NOTDEFINED."</v>
      </c>
      <c r="I459" s="44" t="str">
        <f>"  If wert = ""." &amp; Tabelle7[[#This Row],[EnuRohValue]] &amp; "."" Then Res = " &amp; Tabelle7[[#This Row],[EnuValue]]</f>
        <v xml:space="preserve">  If wert = ".NOTDEFINED." Then Res = hvacDFT_NOTDEFINED</v>
      </c>
    </row>
    <row r="460" spans="2:9" x14ac:dyDescent="0.25">
      <c r="B460" s="44">
        <v>1</v>
      </c>
      <c r="C460" s="45" t="s">
        <v>1553</v>
      </c>
      <c r="D460" s="44" t="s">
        <v>4065</v>
      </c>
      <c r="E460" s="44" t="str">
        <f>VLOOKUP(Tabelle7[[#This Row],[EnumName]],Enum[[IFC-Name]:[Präfix]],5,FALSE)&amp;Tabelle7[[#This Row],[EnuRohValue]]</f>
        <v>hvacDSeT_RIGIDSEGMENT</v>
      </c>
      <c r="F460" s="44">
        <f>COUNTIF(Tabelle7[EnuValue],Tabelle7[[#This Row],[EnuValue]])</f>
        <v>1</v>
      </c>
      <c r="G460" s="44" t="str">
        <f xml:space="preserve"> "  " &amp; Tabelle7[[#This Row],[EnuValue]] &amp; " = " &amp; Tabelle7[[#This Row],[Wert]]</f>
        <v xml:space="preserve">  hvacDSeT_RIGIDSEGMENT = 1</v>
      </c>
      <c r="H460" s="44" t="str">
        <f>"  If Wert = " &amp; Tabelle7[[#This Row],[EnuValue]] &amp; " then Res = ""." &amp; Tabelle7[[#This Row],[EnuRohValue]] &amp; "."""</f>
        <v xml:space="preserve">  If Wert = hvacDSeT_RIGIDSEGMENT then Res = ".RIGIDSEGMENT."</v>
      </c>
      <c r="I460" s="44" t="str">
        <f>"  If wert = ""." &amp; Tabelle7[[#This Row],[EnuRohValue]] &amp; "."" Then Res = " &amp; Tabelle7[[#This Row],[EnuValue]]</f>
        <v xml:space="preserve">  If wert = ".RIGIDSEGMENT." Then Res = hvacDSeT_RIGIDSEGMENT</v>
      </c>
    </row>
    <row r="461" spans="2:9" x14ac:dyDescent="0.25">
      <c r="B461" s="44">
        <v>2</v>
      </c>
      <c r="C461" s="45" t="s">
        <v>1553</v>
      </c>
      <c r="D461" s="44" t="s">
        <v>4066</v>
      </c>
      <c r="E461" s="44" t="str">
        <f>VLOOKUP(Tabelle7[[#This Row],[EnumName]],Enum[[IFC-Name]:[Präfix]],5,FALSE)&amp;Tabelle7[[#This Row],[EnuRohValue]]</f>
        <v>hvacDSeT_FLEXIBLESEGMENT</v>
      </c>
      <c r="F461" s="44">
        <f>COUNTIF(Tabelle7[EnuValue],Tabelle7[[#This Row],[EnuValue]])</f>
        <v>1</v>
      </c>
      <c r="G461" s="44" t="str">
        <f xml:space="preserve"> "  " &amp; Tabelle7[[#This Row],[EnuValue]] &amp; " = " &amp; Tabelle7[[#This Row],[Wert]]</f>
        <v xml:space="preserve">  hvacDSeT_FLEXIBLESEGMENT = 2</v>
      </c>
      <c r="H461" s="44" t="str">
        <f>"  If Wert = " &amp; Tabelle7[[#This Row],[EnuValue]] &amp; " then Res = ""." &amp; Tabelle7[[#This Row],[EnuRohValue]] &amp; "."""</f>
        <v xml:space="preserve">  If Wert = hvacDSeT_FLEXIBLESEGMENT then Res = ".FLEXIBLESEGMENT."</v>
      </c>
      <c r="I461" s="44" t="str">
        <f>"  If wert = ""." &amp; Tabelle7[[#This Row],[EnuRohValue]] &amp; "."" Then Res = " &amp; Tabelle7[[#This Row],[EnuValue]]</f>
        <v xml:space="preserve">  If wert = ".FLEXIBLESEGMENT." Then Res = hvacDSeT_FLEXIBLESEGMENT</v>
      </c>
    </row>
    <row r="462" spans="2:9" x14ac:dyDescent="0.25">
      <c r="B462" s="44">
        <v>3</v>
      </c>
      <c r="C462" s="45" t="s">
        <v>1553</v>
      </c>
      <c r="D462" s="44" t="s">
        <v>3682</v>
      </c>
      <c r="E462" s="44" t="str">
        <f>VLOOKUP(Tabelle7[[#This Row],[EnumName]],Enum[[IFC-Name]:[Präfix]],5,FALSE)&amp;Tabelle7[[#This Row],[EnuRohValue]]</f>
        <v>hvacDSeT_USERDEFINED</v>
      </c>
      <c r="F462" s="44">
        <f>COUNTIF(Tabelle7[EnuValue],Tabelle7[[#This Row],[EnuValue]])</f>
        <v>1</v>
      </c>
      <c r="G462" s="44" t="str">
        <f xml:space="preserve"> "  " &amp; Tabelle7[[#This Row],[EnuValue]] &amp; " = " &amp; Tabelle7[[#This Row],[Wert]]</f>
        <v xml:space="preserve">  hvacDSeT_USERDEFINED = 3</v>
      </c>
      <c r="H462" s="44" t="str">
        <f>"  If Wert = " &amp; Tabelle7[[#This Row],[EnuValue]] &amp; " then Res = ""." &amp; Tabelle7[[#This Row],[EnuRohValue]] &amp; "."""</f>
        <v xml:space="preserve">  If Wert = hvacDSeT_USERDEFINED then Res = ".USERDEFINED."</v>
      </c>
      <c r="I462" s="44" t="str">
        <f>"  If wert = ""." &amp; Tabelle7[[#This Row],[EnuRohValue]] &amp; "."" Then Res = " &amp; Tabelle7[[#This Row],[EnuValue]]</f>
        <v xml:space="preserve">  If wert = ".USERDEFINED." Then Res = hvacDSeT_USERDEFINED</v>
      </c>
    </row>
    <row r="463" spans="2:9" x14ac:dyDescent="0.25">
      <c r="B463" s="44">
        <v>4</v>
      </c>
      <c r="C463" s="45" t="s">
        <v>1553</v>
      </c>
      <c r="D463" s="44" t="s">
        <v>3683</v>
      </c>
      <c r="E463" s="44" t="str">
        <f>VLOOKUP(Tabelle7[[#This Row],[EnumName]],Enum[[IFC-Name]:[Präfix]],5,FALSE)&amp;Tabelle7[[#This Row],[EnuRohValue]]</f>
        <v>hvacDSeT_NOTDEFINED</v>
      </c>
      <c r="F463" s="44">
        <f>COUNTIF(Tabelle7[EnuValue],Tabelle7[[#This Row],[EnuValue]])</f>
        <v>1</v>
      </c>
      <c r="G463" s="44" t="str">
        <f xml:space="preserve"> "  " &amp; Tabelle7[[#This Row],[EnuValue]] &amp; " = " &amp; Tabelle7[[#This Row],[Wert]]</f>
        <v xml:space="preserve">  hvacDSeT_NOTDEFINED = 4</v>
      </c>
      <c r="H463" s="44" t="str">
        <f>"  If Wert = " &amp; Tabelle7[[#This Row],[EnuValue]] &amp; " then Res = ""." &amp; Tabelle7[[#This Row],[EnuRohValue]] &amp; "."""</f>
        <v xml:space="preserve">  If Wert = hvacDSeT_NOTDEFINED then Res = ".NOTDEFINED."</v>
      </c>
      <c r="I463" s="44" t="str">
        <f>"  If wert = ""." &amp; Tabelle7[[#This Row],[EnuRohValue]] &amp; "."" Then Res = " &amp; Tabelle7[[#This Row],[EnuValue]]</f>
        <v xml:space="preserve">  If wert = ".NOTDEFINED." Then Res = hvacDSeT_NOTDEFINED</v>
      </c>
    </row>
    <row r="464" spans="2:9" x14ac:dyDescent="0.25">
      <c r="B464" s="44">
        <v>1</v>
      </c>
      <c r="C464" s="45" t="s">
        <v>1554</v>
      </c>
      <c r="D464" s="44" t="s">
        <v>4067</v>
      </c>
      <c r="E464" s="44" t="str">
        <f>VLOOKUP(Tabelle7[[#This Row],[EnumName]],Enum[[IFC-Name]:[Präfix]],5,FALSE)&amp;Tabelle7[[#This Row],[EnuRohValue]]</f>
        <v>hvacDSiT_FLATOVAL</v>
      </c>
      <c r="F464" s="44">
        <f>COUNTIF(Tabelle7[EnuValue],Tabelle7[[#This Row],[EnuValue]])</f>
        <v>1</v>
      </c>
      <c r="G464" s="44" t="str">
        <f xml:space="preserve"> "  " &amp; Tabelle7[[#This Row],[EnuValue]] &amp; " = " &amp; Tabelle7[[#This Row],[Wert]]</f>
        <v xml:space="preserve">  hvacDSiT_FLATOVAL = 1</v>
      </c>
      <c r="H464" s="44" t="str">
        <f>"  If Wert = " &amp; Tabelle7[[#This Row],[EnuValue]] &amp; " then Res = ""." &amp; Tabelle7[[#This Row],[EnuRohValue]] &amp; "."""</f>
        <v xml:space="preserve">  If Wert = hvacDSiT_FLATOVAL then Res = ".FLATOVAL."</v>
      </c>
      <c r="I464" s="44" t="str">
        <f>"  If wert = ""." &amp; Tabelle7[[#This Row],[EnuRohValue]] &amp; "."" Then Res = " &amp; Tabelle7[[#This Row],[EnuValue]]</f>
        <v xml:space="preserve">  If wert = ".FLATOVAL." Then Res = hvacDSiT_FLATOVAL</v>
      </c>
    </row>
    <row r="465" spans="2:9" x14ac:dyDescent="0.25">
      <c r="B465" s="44">
        <v>2</v>
      </c>
      <c r="C465" s="45" t="s">
        <v>1554</v>
      </c>
      <c r="D465" s="44" t="s">
        <v>4068</v>
      </c>
      <c r="E465" s="44" t="str">
        <f>VLOOKUP(Tabelle7[[#This Row],[EnumName]],Enum[[IFC-Name]:[Präfix]],5,FALSE)&amp;Tabelle7[[#This Row],[EnuRohValue]]</f>
        <v>hvacDSiT_RECTANGULAR</v>
      </c>
      <c r="F465" s="44">
        <f>COUNTIF(Tabelle7[EnuValue],Tabelle7[[#This Row],[EnuValue]])</f>
        <v>1</v>
      </c>
      <c r="G465" s="44" t="str">
        <f xml:space="preserve"> "  " &amp; Tabelle7[[#This Row],[EnuValue]] &amp; " = " &amp; Tabelle7[[#This Row],[Wert]]</f>
        <v xml:space="preserve">  hvacDSiT_RECTANGULAR = 2</v>
      </c>
      <c r="H465" s="44" t="str">
        <f>"  If Wert = " &amp; Tabelle7[[#This Row],[EnuValue]] &amp; " then Res = ""." &amp; Tabelle7[[#This Row],[EnuRohValue]] &amp; "."""</f>
        <v xml:space="preserve">  If Wert = hvacDSiT_RECTANGULAR then Res = ".RECTANGULAR."</v>
      </c>
      <c r="I465" s="44" t="str">
        <f>"  If wert = ""." &amp; Tabelle7[[#This Row],[EnuRohValue]] &amp; "."" Then Res = " &amp; Tabelle7[[#This Row],[EnuValue]]</f>
        <v xml:space="preserve">  If wert = ".RECTANGULAR." Then Res = hvacDSiT_RECTANGULAR</v>
      </c>
    </row>
    <row r="466" spans="2:9" x14ac:dyDescent="0.25">
      <c r="B466" s="44">
        <v>3</v>
      </c>
      <c r="C466" s="45" t="s">
        <v>1554</v>
      </c>
      <c r="D466" s="44" t="s">
        <v>4069</v>
      </c>
      <c r="E466" s="44" t="str">
        <f>VLOOKUP(Tabelle7[[#This Row],[EnumName]],Enum[[IFC-Name]:[Präfix]],5,FALSE)&amp;Tabelle7[[#This Row],[EnuRohValue]]</f>
        <v>hvacDSiT_ROUND</v>
      </c>
      <c r="F466" s="44">
        <f>COUNTIF(Tabelle7[EnuValue],Tabelle7[[#This Row],[EnuValue]])</f>
        <v>1</v>
      </c>
      <c r="G466" s="44" t="str">
        <f xml:space="preserve"> "  " &amp; Tabelle7[[#This Row],[EnuValue]] &amp; " = " &amp; Tabelle7[[#This Row],[Wert]]</f>
        <v xml:space="preserve">  hvacDSiT_ROUND = 3</v>
      </c>
      <c r="H466" s="44" t="str">
        <f>"  If Wert = " &amp; Tabelle7[[#This Row],[EnuValue]] &amp; " then Res = ""." &amp; Tabelle7[[#This Row],[EnuRohValue]] &amp; "."""</f>
        <v xml:space="preserve">  If Wert = hvacDSiT_ROUND then Res = ".ROUND."</v>
      </c>
      <c r="I466" s="44" t="str">
        <f>"  If wert = ""." &amp; Tabelle7[[#This Row],[EnuRohValue]] &amp; "."" Then Res = " &amp; Tabelle7[[#This Row],[EnuValue]]</f>
        <v xml:space="preserve">  If wert = ".ROUND." Then Res = hvacDSiT_ROUND</v>
      </c>
    </row>
    <row r="467" spans="2:9" x14ac:dyDescent="0.25">
      <c r="B467" s="44">
        <v>4</v>
      </c>
      <c r="C467" s="45" t="s">
        <v>1554</v>
      </c>
      <c r="D467" s="44" t="s">
        <v>3682</v>
      </c>
      <c r="E467" s="44" t="str">
        <f>VLOOKUP(Tabelle7[[#This Row],[EnumName]],Enum[[IFC-Name]:[Präfix]],5,FALSE)&amp;Tabelle7[[#This Row],[EnuRohValue]]</f>
        <v>hvacDSiT_USERDEFINED</v>
      </c>
      <c r="F467" s="44">
        <f>COUNTIF(Tabelle7[EnuValue],Tabelle7[[#This Row],[EnuValue]])</f>
        <v>1</v>
      </c>
      <c r="G467" s="44" t="str">
        <f xml:space="preserve"> "  " &amp; Tabelle7[[#This Row],[EnuValue]] &amp; " = " &amp; Tabelle7[[#This Row],[Wert]]</f>
        <v xml:space="preserve">  hvacDSiT_USERDEFINED = 4</v>
      </c>
      <c r="H467" s="44" t="str">
        <f>"  If Wert = " &amp; Tabelle7[[#This Row],[EnuValue]] &amp; " then Res = ""." &amp; Tabelle7[[#This Row],[EnuRohValue]] &amp; "."""</f>
        <v xml:space="preserve">  If Wert = hvacDSiT_USERDEFINED then Res = ".USERDEFINED."</v>
      </c>
      <c r="I467" s="44" t="str">
        <f>"  If wert = ""." &amp; Tabelle7[[#This Row],[EnuRohValue]] &amp; "."" Then Res = " &amp; Tabelle7[[#This Row],[EnuValue]]</f>
        <v xml:space="preserve">  If wert = ".USERDEFINED." Then Res = hvacDSiT_USERDEFINED</v>
      </c>
    </row>
    <row r="468" spans="2:9" x14ac:dyDescent="0.25">
      <c r="B468" s="44">
        <v>5</v>
      </c>
      <c r="C468" s="45" t="s">
        <v>1554</v>
      </c>
      <c r="D468" s="44" t="s">
        <v>3683</v>
      </c>
      <c r="E468" s="44" t="str">
        <f>VLOOKUP(Tabelle7[[#This Row],[EnumName]],Enum[[IFC-Name]:[Präfix]],5,FALSE)&amp;Tabelle7[[#This Row],[EnuRohValue]]</f>
        <v>hvacDSiT_NOTDEFINED</v>
      </c>
      <c r="F468" s="44">
        <f>COUNTIF(Tabelle7[EnuValue],Tabelle7[[#This Row],[EnuValue]])</f>
        <v>1</v>
      </c>
      <c r="G468" s="44" t="str">
        <f xml:space="preserve"> "  " &amp; Tabelle7[[#This Row],[EnuValue]] &amp; " = " &amp; Tabelle7[[#This Row],[Wert]]</f>
        <v xml:space="preserve">  hvacDSiT_NOTDEFINED = 5</v>
      </c>
      <c r="H468" s="44" t="str">
        <f>"  If Wert = " &amp; Tabelle7[[#This Row],[EnuValue]] &amp; " then Res = ""." &amp; Tabelle7[[#This Row],[EnuRohValue]] &amp; "."""</f>
        <v xml:space="preserve">  If Wert = hvacDSiT_NOTDEFINED then Res = ".NOTDEFINED."</v>
      </c>
      <c r="I468" s="44" t="str">
        <f>"  If wert = ""." &amp; Tabelle7[[#This Row],[EnuRohValue]] &amp; "."" Then Res = " &amp; Tabelle7[[#This Row],[EnuValue]]</f>
        <v xml:space="preserve">  If wert = ".NOTDEFINED." Then Res = hvacDSiT_NOTDEFINED</v>
      </c>
    </row>
    <row r="469" spans="2:9" x14ac:dyDescent="0.25">
      <c r="B469" s="44">
        <v>1</v>
      </c>
      <c r="C469" s="45" t="s">
        <v>1555</v>
      </c>
      <c r="D469" s="44" t="s">
        <v>4070</v>
      </c>
      <c r="E469" s="44" t="str">
        <f>VLOOKUP(Tabelle7[[#This Row],[EnumName]],Enum[[IFC-Name]:[Präfix]],5,FALSE)&amp;Tabelle7[[#This Row],[EnuRohValue]]</f>
        <v>eleEAT_COMPUTER</v>
      </c>
      <c r="F469" s="44">
        <f>COUNTIF(Tabelle7[EnuValue],Tabelle7[[#This Row],[EnuValue]])</f>
        <v>1</v>
      </c>
      <c r="G469" s="44" t="str">
        <f xml:space="preserve"> "  " &amp; Tabelle7[[#This Row],[EnuValue]] &amp; " = " &amp; Tabelle7[[#This Row],[Wert]]</f>
        <v xml:space="preserve">  eleEAT_COMPUTER = 1</v>
      </c>
      <c r="H469" s="44" t="str">
        <f>"  If Wert = " &amp; Tabelle7[[#This Row],[EnuValue]] &amp; " then Res = ""." &amp; Tabelle7[[#This Row],[EnuRohValue]] &amp; "."""</f>
        <v xml:space="preserve">  If Wert = eleEAT_COMPUTER then Res = ".COMPUTER."</v>
      </c>
      <c r="I469" s="44" t="str">
        <f>"  If wert = ""." &amp; Tabelle7[[#This Row],[EnuRohValue]] &amp; "."" Then Res = " &amp; Tabelle7[[#This Row],[EnuValue]]</f>
        <v xml:space="preserve">  If wert = ".COMPUTER." Then Res = eleEAT_COMPUTER</v>
      </c>
    </row>
    <row r="470" spans="2:9" x14ac:dyDescent="0.25">
      <c r="B470" s="44">
        <v>2</v>
      </c>
      <c r="C470" s="45" t="s">
        <v>1555</v>
      </c>
      <c r="D470" s="44" t="s">
        <v>4071</v>
      </c>
      <c r="E470" s="44" t="str">
        <f>VLOOKUP(Tabelle7[[#This Row],[EnumName]],Enum[[IFC-Name]:[Präfix]],5,FALSE)&amp;Tabelle7[[#This Row],[EnuRohValue]]</f>
        <v>eleEAT_DIRECTWATERHEATER</v>
      </c>
      <c r="F470" s="44">
        <f>COUNTIF(Tabelle7[EnuValue],Tabelle7[[#This Row],[EnuValue]])</f>
        <v>1</v>
      </c>
      <c r="G470" s="44" t="str">
        <f xml:space="preserve"> "  " &amp; Tabelle7[[#This Row],[EnuValue]] &amp; " = " &amp; Tabelle7[[#This Row],[Wert]]</f>
        <v xml:space="preserve">  eleEAT_DIRECTWATERHEATER = 2</v>
      </c>
      <c r="H470" s="44" t="str">
        <f>"  If Wert = " &amp; Tabelle7[[#This Row],[EnuValue]] &amp; " then Res = ""." &amp; Tabelle7[[#This Row],[EnuRohValue]] &amp; "."""</f>
        <v xml:space="preserve">  If Wert = eleEAT_DIRECTWATERHEATER then Res = ".DIRECTWATERHEATER."</v>
      </c>
      <c r="I470" s="44" t="str">
        <f>"  If wert = ""." &amp; Tabelle7[[#This Row],[EnuRohValue]] &amp; "."" Then Res = " &amp; Tabelle7[[#This Row],[EnuValue]]</f>
        <v xml:space="preserve">  If wert = ".DIRECTWATERHEATER." Then Res = eleEAT_DIRECTWATERHEATER</v>
      </c>
    </row>
    <row r="471" spans="2:9" x14ac:dyDescent="0.25">
      <c r="B471" s="44">
        <v>3</v>
      </c>
      <c r="C471" s="45" t="s">
        <v>1555</v>
      </c>
      <c r="D471" s="44" t="s">
        <v>4072</v>
      </c>
      <c r="E471" s="44" t="str">
        <f>VLOOKUP(Tabelle7[[#This Row],[EnumName]],Enum[[IFC-Name]:[Präfix]],5,FALSE)&amp;Tabelle7[[#This Row],[EnuRohValue]]</f>
        <v>eleEAT_DISHWASHER</v>
      </c>
      <c r="F471" s="44">
        <f>COUNTIF(Tabelle7[EnuValue],Tabelle7[[#This Row],[EnuValue]])</f>
        <v>1</v>
      </c>
      <c r="G471" s="44" t="str">
        <f xml:space="preserve"> "  " &amp; Tabelle7[[#This Row],[EnuValue]] &amp; " = " &amp; Tabelle7[[#This Row],[Wert]]</f>
        <v xml:space="preserve">  eleEAT_DISHWASHER = 3</v>
      </c>
      <c r="H471" s="44" t="str">
        <f>"  If Wert = " &amp; Tabelle7[[#This Row],[EnuValue]] &amp; " then Res = ""." &amp; Tabelle7[[#This Row],[EnuRohValue]] &amp; "."""</f>
        <v xml:space="preserve">  If Wert = eleEAT_DISHWASHER then Res = ".DISHWASHER."</v>
      </c>
      <c r="I471" s="44" t="str">
        <f>"  If wert = ""." &amp; Tabelle7[[#This Row],[EnuRohValue]] &amp; "."" Then Res = " &amp; Tabelle7[[#This Row],[EnuValue]]</f>
        <v xml:space="preserve">  If wert = ".DISHWASHER." Then Res = eleEAT_DISHWASHER</v>
      </c>
    </row>
    <row r="472" spans="2:9" x14ac:dyDescent="0.25">
      <c r="B472" s="44">
        <v>4</v>
      </c>
      <c r="C472" s="45" t="s">
        <v>1555</v>
      </c>
      <c r="D472" s="44" t="s">
        <v>4073</v>
      </c>
      <c r="E472" s="44" t="str">
        <f>VLOOKUP(Tabelle7[[#This Row],[EnumName]],Enum[[IFC-Name]:[Präfix]],5,FALSE)&amp;Tabelle7[[#This Row],[EnuRohValue]]</f>
        <v>eleEAT_ELECTRICCOOKER</v>
      </c>
      <c r="F472" s="44">
        <f>COUNTIF(Tabelle7[EnuValue],Tabelle7[[#This Row],[EnuValue]])</f>
        <v>1</v>
      </c>
      <c r="G472" s="44" t="str">
        <f xml:space="preserve"> "  " &amp; Tabelle7[[#This Row],[EnuValue]] &amp; " = " &amp; Tabelle7[[#This Row],[Wert]]</f>
        <v xml:space="preserve">  eleEAT_ELECTRICCOOKER = 4</v>
      </c>
      <c r="H472" s="44" t="str">
        <f>"  If Wert = " &amp; Tabelle7[[#This Row],[EnuValue]] &amp; " then Res = ""." &amp; Tabelle7[[#This Row],[EnuRohValue]] &amp; "."""</f>
        <v xml:space="preserve">  If Wert = eleEAT_ELECTRICCOOKER then Res = ".ELECTRICCOOKER."</v>
      </c>
      <c r="I472" s="44" t="str">
        <f>"  If wert = ""." &amp; Tabelle7[[#This Row],[EnuRohValue]] &amp; "."" Then Res = " &amp; Tabelle7[[#This Row],[EnuValue]]</f>
        <v xml:space="preserve">  If wert = ".ELECTRICCOOKER." Then Res = eleEAT_ELECTRICCOOKER</v>
      </c>
    </row>
    <row r="473" spans="2:9" x14ac:dyDescent="0.25">
      <c r="B473" s="44">
        <v>5</v>
      </c>
      <c r="C473" s="45" t="s">
        <v>1555</v>
      </c>
      <c r="D473" s="44" t="s">
        <v>4074</v>
      </c>
      <c r="E473" s="44" t="str">
        <f>VLOOKUP(Tabelle7[[#This Row],[EnumName]],Enum[[IFC-Name]:[Präfix]],5,FALSE)&amp;Tabelle7[[#This Row],[EnuRohValue]]</f>
        <v>eleEAT_ELECTRICHEATER</v>
      </c>
      <c r="F473" s="44">
        <f>COUNTIF(Tabelle7[EnuValue],Tabelle7[[#This Row],[EnuValue]])</f>
        <v>1</v>
      </c>
      <c r="G473" s="44" t="str">
        <f xml:space="preserve"> "  " &amp; Tabelle7[[#This Row],[EnuValue]] &amp; " = " &amp; Tabelle7[[#This Row],[Wert]]</f>
        <v xml:space="preserve">  eleEAT_ELECTRICHEATER = 5</v>
      </c>
      <c r="H473" s="44" t="str">
        <f>"  If Wert = " &amp; Tabelle7[[#This Row],[EnuValue]] &amp; " then Res = ""." &amp; Tabelle7[[#This Row],[EnuRohValue]] &amp; "."""</f>
        <v xml:space="preserve">  If Wert = eleEAT_ELECTRICHEATER then Res = ".ELECTRICHEATER."</v>
      </c>
      <c r="I473" s="44" t="str">
        <f>"  If wert = ""." &amp; Tabelle7[[#This Row],[EnuRohValue]] &amp; "."" Then Res = " &amp; Tabelle7[[#This Row],[EnuValue]]</f>
        <v xml:space="preserve">  If wert = ".ELECTRICHEATER." Then Res = eleEAT_ELECTRICHEATER</v>
      </c>
    </row>
    <row r="474" spans="2:9" x14ac:dyDescent="0.25">
      <c r="B474" s="44">
        <v>6</v>
      </c>
      <c r="C474" s="45" t="s">
        <v>1555</v>
      </c>
      <c r="D474" s="44" t="s">
        <v>4075</v>
      </c>
      <c r="E474" s="44" t="str">
        <f>VLOOKUP(Tabelle7[[#This Row],[EnumName]],Enum[[IFC-Name]:[Präfix]],5,FALSE)&amp;Tabelle7[[#This Row],[EnuRohValue]]</f>
        <v>eleEAT_FACSIMILE</v>
      </c>
      <c r="F474" s="44">
        <f>COUNTIF(Tabelle7[EnuValue],Tabelle7[[#This Row],[EnuValue]])</f>
        <v>1</v>
      </c>
      <c r="G474" s="44" t="str">
        <f xml:space="preserve"> "  " &amp; Tabelle7[[#This Row],[EnuValue]] &amp; " = " &amp; Tabelle7[[#This Row],[Wert]]</f>
        <v xml:space="preserve">  eleEAT_FACSIMILE = 6</v>
      </c>
      <c r="H474" s="44" t="str">
        <f>"  If Wert = " &amp; Tabelle7[[#This Row],[EnuValue]] &amp; " then Res = ""." &amp; Tabelle7[[#This Row],[EnuRohValue]] &amp; "."""</f>
        <v xml:space="preserve">  If Wert = eleEAT_FACSIMILE then Res = ".FACSIMILE."</v>
      </c>
      <c r="I474" s="44" t="str">
        <f>"  If wert = ""." &amp; Tabelle7[[#This Row],[EnuRohValue]] &amp; "."" Then Res = " &amp; Tabelle7[[#This Row],[EnuValue]]</f>
        <v xml:space="preserve">  If wert = ".FACSIMILE." Then Res = eleEAT_FACSIMILE</v>
      </c>
    </row>
    <row r="475" spans="2:9" x14ac:dyDescent="0.25">
      <c r="B475" s="44">
        <v>7</v>
      </c>
      <c r="C475" s="45" t="s">
        <v>1555</v>
      </c>
      <c r="D475" s="44" t="s">
        <v>4076</v>
      </c>
      <c r="E475" s="44" t="str">
        <f>VLOOKUP(Tabelle7[[#This Row],[EnumName]],Enum[[IFC-Name]:[Präfix]],5,FALSE)&amp;Tabelle7[[#This Row],[EnuRohValue]]</f>
        <v>eleEAT_FREESTANDINGFAN</v>
      </c>
      <c r="F475" s="44">
        <f>COUNTIF(Tabelle7[EnuValue],Tabelle7[[#This Row],[EnuValue]])</f>
        <v>1</v>
      </c>
      <c r="G475" s="44" t="str">
        <f xml:space="preserve"> "  " &amp; Tabelle7[[#This Row],[EnuValue]] &amp; " = " &amp; Tabelle7[[#This Row],[Wert]]</f>
        <v xml:space="preserve">  eleEAT_FREESTANDINGFAN = 7</v>
      </c>
      <c r="H475" s="44" t="str">
        <f>"  If Wert = " &amp; Tabelle7[[#This Row],[EnuValue]] &amp; " then Res = ""." &amp; Tabelle7[[#This Row],[EnuRohValue]] &amp; "."""</f>
        <v xml:space="preserve">  If Wert = eleEAT_FREESTANDINGFAN then Res = ".FREESTANDINGFAN."</v>
      </c>
      <c r="I475" s="44" t="str">
        <f>"  If wert = ""." &amp; Tabelle7[[#This Row],[EnuRohValue]] &amp; "."" Then Res = " &amp; Tabelle7[[#This Row],[EnuValue]]</f>
        <v xml:space="preserve">  If wert = ".FREESTANDINGFAN." Then Res = eleEAT_FREESTANDINGFAN</v>
      </c>
    </row>
    <row r="476" spans="2:9" x14ac:dyDescent="0.25">
      <c r="B476" s="44">
        <v>8</v>
      </c>
      <c r="C476" s="45" t="s">
        <v>1555</v>
      </c>
      <c r="D476" s="44" t="s">
        <v>4077</v>
      </c>
      <c r="E476" s="44" t="str">
        <f>VLOOKUP(Tabelle7[[#This Row],[EnumName]],Enum[[IFC-Name]:[Präfix]],5,FALSE)&amp;Tabelle7[[#This Row],[EnuRohValue]]</f>
        <v>eleEAT_FREEZER</v>
      </c>
      <c r="F476" s="44">
        <f>COUNTIF(Tabelle7[EnuValue],Tabelle7[[#This Row],[EnuValue]])</f>
        <v>1</v>
      </c>
      <c r="G476" s="44" t="str">
        <f xml:space="preserve"> "  " &amp; Tabelle7[[#This Row],[EnuValue]] &amp; " = " &amp; Tabelle7[[#This Row],[Wert]]</f>
        <v xml:space="preserve">  eleEAT_FREEZER = 8</v>
      </c>
      <c r="H476" s="44" t="str">
        <f>"  If Wert = " &amp; Tabelle7[[#This Row],[EnuValue]] &amp; " then Res = ""." &amp; Tabelle7[[#This Row],[EnuRohValue]] &amp; "."""</f>
        <v xml:space="preserve">  If Wert = eleEAT_FREEZER then Res = ".FREEZER."</v>
      </c>
      <c r="I476" s="44" t="str">
        <f>"  If wert = ""." &amp; Tabelle7[[#This Row],[EnuRohValue]] &amp; "."" Then Res = " &amp; Tabelle7[[#This Row],[EnuValue]]</f>
        <v xml:space="preserve">  If wert = ".FREEZER." Then Res = eleEAT_FREEZER</v>
      </c>
    </row>
    <row r="477" spans="2:9" x14ac:dyDescent="0.25">
      <c r="B477" s="44">
        <v>9</v>
      </c>
      <c r="C477" s="45" t="s">
        <v>1555</v>
      </c>
      <c r="D477" s="44" t="s">
        <v>4078</v>
      </c>
      <c r="E477" s="44" t="str">
        <f>VLOOKUP(Tabelle7[[#This Row],[EnumName]],Enum[[IFC-Name]:[Präfix]],5,FALSE)&amp;Tabelle7[[#This Row],[EnuRohValue]]</f>
        <v>eleEAT_FRIDGE_FREEZER</v>
      </c>
      <c r="F477" s="44">
        <f>COUNTIF(Tabelle7[EnuValue],Tabelle7[[#This Row],[EnuValue]])</f>
        <v>1</v>
      </c>
      <c r="G477" s="44" t="str">
        <f xml:space="preserve"> "  " &amp; Tabelle7[[#This Row],[EnuValue]] &amp; " = " &amp; Tabelle7[[#This Row],[Wert]]</f>
        <v xml:space="preserve">  eleEAT_FRIDGE_FREEZER = 9</v>
      </c>
      <c r="H477" s="44" t="str">
        <f>"  If Wert = " &amp; Tabelle7[[#This Row],[EnuValue]] &amp; " then Res = ""." &amp; Tabelle7[[#This Row],[EnuRohValue]] &amp; "."""</f>
        <v xml:space="preserve">  If Wert = eleEAT_FRIDGE_FREEZER then Res = ".FRIDGE_FREEZER."</v>
      </c>
      <c r="I477" s="44" t="str">
        <f>"  If wert = ""." &amp; Tabelle7[[#This Row],[EnuRohValue]] &amp; "."" Then Res = " &amp; Tabelle7[[#This Row],[EnuValue]]</f>
        <v xml:space="preserve">  If wert = ".FRIDGE_FREEZER." Then Res = eleEAT_FRIDGE_FREEZER</v>
      </c>
    </row>
    <row r="478" spans="2:9" x14ac:dyDescent="0.25">
      <c r="B478" s="44">
        <v>10</v>
      </c>
      <c r="C478" s="45" t="s">
        <v>1555</v>
      </c>
      <c r="D478" s="44" t="s">
        <v>4079</v>
      </c>
      <c r="E478" s="44" t="str">
        <f>VLOOKUP(Tabelle7[[#This Row],[EnumName]],Enum[[IFC-Name]:[Präfix]],5,FALSE)&amp;Tabelle7[[#This Row],[EnuRohValue]]</f>
        <v>eleEAT_HANDDRYER</v>
      </c>
      <c r="F478" s="44">
        <f>COUNTIF(Tabelle7[EnuValue],Tabelle7[[#This Row],[EnuValue]])</f>
        <v>1</v>
      </c>
      <c r="G478" s="44" t="str">
        <f xml:space="preserve"> "  " &amp; Tabelle7[[#This Row],[EnuValue]] &amp; " = " &amp; Tabelle7[[#This Row],[Wert]]</f>
        <v xml:space="preserve">  eleEAT_HANDDRYER = 10</v>
      </c>
      <c r="H478" s="44" t="str">
        <f>"  If Wert = " &amp; Tabelle7[[#This Row],[EnuValue]] &amp; " then Res = ""." &amp; Tabelle7[[#This Row],[EnuRohValue]] &amp; "."""</f>
        <v xml:space="preserve">  If Wert = eleEAT_HANDDRYER then Res = ".HANDDRYER."</v>
      </c>
      <c r="I478" s="44" t="str">
        <f>"  If wert = ""." &amp; Tabelle7[[#This Row],[EnuRohValue]] &amp; "."" Then Res = " &amp; Tabelle7[[#This Row],[EnuValue]]</f>
        <v xml:space="preserve">  If wert = ".HANDDRYER." Then Res = eleEAT_HANDDRYER</v>
      </c>
    </row>
    <row r="479" spans="2:9" x14ac:dyDescent="0.25">
      <c r="B479" s="44">
        <v>11</v>
      </c>
      <c r="C479" s="45" t="s">
        <v>1555</v>
      </c>
      <c r="D479" s="44" t="s">
        <v>4080</v>
      </c>
      <c r="E479" s="44" t="str">
        <f>VLOOKUP(Tabelle7[[#This Row],[EnumName]],Enum[[IFC-Name]:[Präfix]],5,FALSE)&amp;Tabelle7[[#This Row],[EnuRohValue]]</f>
        <v>eleEAT_INDIRECTWATERHEATER</v>
      </c>
      <c r="F479" s="44">
        <f>COUNTIF(Tabelle7[EnuValue],Tabelle7[[#This Row],[EnuValue]])</f>
        <v>1</v>
      </c>
      <c r="G479" s="44" t="str">
        <f xml:space="preserve"> "  " &amp; Tabelle7[[#This Row],[EnuValue]] &amp; " = " &amp; Tabelle7[[#This Row],[Wert]]</f>
        <v xml:space="preserve">  eleEAT_INDIRECTWATERHEATER = 11</v>
      </c>
      <c r="H479" s="44" t="str">
        <f>"  If Wert = " &amp; Tabelle7[[#This Row],[EnuValue]] &amp; " then Res = ""." &amp; Tabelle7[[#This Row],[EnuRohValue]] &amp; "."""</f>
        <v xml:space="preserve">  If Wert = eleEAT_INDIRECTWATERHEATER then Res = ".INDIRECTWATERHEATER."</v>
      </c>
      <c r="I479" s="44" t="str">
        <f>"  If wert = ""." &amp; Tabelle7[[#This Row],[EnuRohValue]] &amp; "."" Then Res = " &amp; Tabelle7[[#This Row],[EnuValue]]</f>
        <v xml:space="preserve">  If wert = ".INDIRECTWATERHEATER." Then Res = eleEAT_INDIRECTWATERHEATER</v>
      </c>
    </row>
    <row r="480" spans="2:9" x14ac:dyDescent="0.25">
      <c r="B480" s="44">
        <v>12</v>
      </c>
      <c r="C480" s="45" t="s">
        <v>1555</v>
      </c>
      <c r="D480" s="44" t="s">
        <v>4081</v>
      </c>
      <c r="E480" s="44" t="str">
        <f>VLOOKUP(Tabelle7[[#This Row],[EnumName]],Enum[[IFC-Name]:[Präfix]],5,FALSE)&amp;Tabelle7[[#This Row],[EnuRohValue]]</f>
        <v>eleEAT_MICROWAVE</v>
      </c>
      <c r="F480" s="44">
        <f>COUNTIF(Tabelle7[EnuValue],Tabelle7[[#This Row],[EnuValue]])</f>
        <v>1</v>
      </c>
      <c r="G480" s="44" t="str">
        <f xml:space="preserve"> "  " &amp; Tabelle7[[#This Row],[EnuValue]] &amp; " = " &amp; Tabelle7[[#This Row],[Wert]]</f>
        <v xml:space="preserve">  eleEAT_MICROWAVE = 12</v>
      </c>
      <c r="H480" s="44" t="str">
        <f>"  If Wert = " &amp; Tabelle7[[#This Row],[EnuValue]] &amp; " then Res = ""." &amp; Tabelle7[[#This Row],[EnuRohValue]] &amp; "."""</f>
        <v xml:space="preserve">  If Wert = eleEAT_MICROWAVE then Res = ".MICROWAVE."</v>
      </c>
      <c r="I480" s="44" t="str">
        <f>"  If wert = ""." &amp; Tabelle7[[#This Row],[EnuRohValue]] &amp; "."" Then Res = " &amp; Tabelle7[[#This Row],[EnuValue]]</f>
        <v xml:space="preserve">  If wert = ".MICROWAVE." Then Res = eleEAT_MICROWAVE</v>
      </c>
    </row>
    <row r="481" spans="2:9" x14ac:dyDescent="0.25">
      <c r="B481" s="44">
        <v>13</v>
      </c>
      <c r="C481" s="45" t="s">
        <v>1555</v>
      </c>
      <c r="D481" s="44" t="s">
        <v>4082</v>
      </c>
      <c r="E481" s="44" t="str">
        <f>VLOOKUP(Tabelle7[[#This Row],[EnumName]],Enum[[IFC-Name]:[Präfix]],5,FALSE)&amp;Tabelle7[[#This Row],[EnuRohValue]]</f>
        <v>eleEAT_PHOTOCOPIER</v>
      </c>
      <c r="F481" s="44">
        <f>COUNTIF(Tabelle7[EnuValue],Tabelle7[[#This Row],[EnuValue]])</f>
        <v>1</v>
      </c>
      <c r="G481" s="44" t="str">
        <f xml:space="preserve"> "  " &amp; Tabelle7[[#This Row],[EnuValue]] &amp; " = " &amp; Tabelle7[[#This Row],[Wert]]</f>
        <v xml:space="preserve">  eleEAT_PHOTOCOPIER = 13</v>
      </c>
      <c r="H481" s="44" t="str">
        <f>"  If Wert = " &amp; Tabelle7[[#This Row],[EnuValue]] &amp; " then Res = ""." &amp; Tabelle7[[#This Row],[EnuRohValue]] &amp; "."""</f>
        <v xml:space="preserve">  If Wert = eleEAT_PHOTOCOPIER then Res = ".PHOTOCOPIER."</v>
      </c>
      <c r="I481" s="44" t="str">
        <f>"  If wert = ""." &amp; Tabelle7[[#This Row],[EnuRohValue]] &amp; "."" Then Res = " &amp; Tabelle7[[#This Row],[EnuValue]]</f>
        <v xml:space="preserve">  If wert = ".PHOTOCOPIER." Then Res = eleEAT_PHOTOCOPIER</v>
      </c>
    </row>
    <row r="482" spans="2:9" x14ac:dyDescent="0.25">
      <c r="B482" s="44">
        <v>14</v>
      </c>
      <c r="C482" s="45" t="s">
        <v>1555</v>
      </c>
      <c r="D482" s="44" t="s">
        <v>4083</v>
      </c>
      <c r="E482" s="44" t="str">
        <f>VLOOKUP(Tabelle7[[#This Row],[EnumName]],Enum[[IFC-Name]:[Präfix]],5,FALSE)&amp;Tabelle7[[#This Row],[EnuRohValue]]</f>
        <v>eleEAT_PRINTER</v>
      </c>
      <c r="F482" s="44">
        <f>COUNTIF(Tabelle7[EnuValue],Tabelle7[[#This Row],[EnuValue]])</f>
        <v>1</v>
      </c>
      <c r="G482" s="44" t="str">
        <f xml:space="preserve"> "  " &amp; Tabelle7[[#This Row],[EnuValue]] &amp; " = " &amp; Tabelle7[[#This Row],[Wert]]</f>
        <v xml:space="preserve">  eleEAT_PRINTER = 14</v>
      </c>
      <c r="H482" s="44" t="str">
        <f>"  If Wert = " &amp; Tabelle7[[#This Row],[EnuValue]] &amp; " then Res = ""." &amp; Tabelle7[[#This Row],[EnuRohValue]] &amp; "."""</f>
        <v xml:space="preserve">  If Wert = eleEAT_PRINTER then Res = ".PRINTER."</v>
      </c>
      <c r="I482" s="44" t="str">
        <f>"  If wert = ""." &amp; Tabelle7[[#This Row],[EnuRohValue]] &amp; "."" Then Res = " &amp; Tabelle7[[#This Row],[EnuValue]]</f>
        <v xml:space="preserve">  If wert = ".PRINTER." Then Res = eleEAT_PRINTER</v>
      </c>
    </row>
    <row r="483" spans="2:9" x14ac:dyDescent="0.25">
      <c r="B483" s="44">
        <v>15</v>
      </c>
      <c r="C483" s="45" t="s">
        <v>1555</v>
      </c>
      <c r="D483" s="44" t="s">
        <v>4084</v>
      </c>
      <c r="E483" s="44" t="str">
        <f>VLOOKUP(Tabelle7[[#This Row],[EnumName]],Enum[[IFC-Name]:[Präfix]],5,FALSE)&amp;Tabelle7[[#This Row],[EnuRohValue]]</f>
        <v>eleEAT_REFRIGERATOR</v>
      </c>
      <c r="F483" s="44">
        <f>COUNTIF(Tabelle7[EnuValue],Tabelle7[[#This Row],[EnuValue]])</f>
        <v>1</v>
      </c>
      <c r="G483" s="44" t="str">
        <f xml:space="preserve"> "  " &amp; Tabelle7[[#This Row],[EnuValue]] &amp; " = " &amp; Tabelle7[[#This Row],[Wert]]</f>
        <v xml:space="preserve">  eleEAT_REFRIGERATOR = 15</v>
      </c>
      <c r="H483" s="44" t="str">
        <f>"  If Wert = " &amp; Tabelle7[[#This Row],[EnuValue]] &amp; " then Res = ""." &amp; Tabelle7[[#This Row],[EnuRohValue]] &amp; "."""</f>
        <v xml:space="preserve">  If Wert = eleEAT_REFRIGERATOR then Res = ".REFRIGERATOR."</v>
      </c>
      <c r="I483" s="44" t="str">
        <f>"  If wert = ""." &amp; Tabelle7[[#This Row],[EnuRohValue]] &amp; "."" Then Res = " &amp; Tabelle7[[#This Row],[EnuValue]]</f>
        <v xml:space="preserve">  If wert = ".REFRIGERATOR." Then Res = eleEAT_REFRIGERATOR</v>
      </c>
    </row>
    <row r="484" spans="2:9" x14ac:dyDescent="0.25">
      <c r="B484" s="44">
        <v>16</v>
      </c>
      <c r="C484" s="45" t="s">
        <v>1555</v>
      </c>
      <c r="D484" s="44" t="s">
        <v>4085</v>
      </c>
      <c r="E484" s="44" t="str">
        <f>VLOOKUP(Tabelle7[[#This Row],[EnumName]],Enum[[IFC-Name]:[Präfix]],5,FALSE)&amp;Tabelle7[[#This Row],[EnuRohValue]]</f>
        <v>eleEAT_RADIANTHEATER</v>
      </c>
      <c r="F484" s="44">
        <f>COUNTIF(Tabelle7[EnuValue],Tabelle7[[#This Row],[EnuValue]])</f>
        <v>1</v>
      </c>
      <c r="G484" s="44" t="str">
        <f xml:space="preserve"> "  " &amp; Tabelle7[[#This Row],[EnuValue]] &amp; " = " &amp; Tabelle7[[#This Row],[Wert]]</f>
        <v xml:space="preserve">  eleEAT_RADIANTHEATER = 16</v>
      </c>
      <c r="H484" s="44" t="str">
        <f>"  If Wert = " &amp; Tabelle7[[#This Row],[EnuValue]] &amp; " then Res = ""." &amp; Tabelle7[[#This Row],[EnuRohValue]] &amp; "."""</f>
        <v xml:space="preserve">  If Wert = eleEAT_RADIANTHEATER then Res = ".RADIANTHEATER."</v>
      </c>
      <c r="I484" s="44" t="str">
        <f>"  If wert = ""." &amp; Tabelle7[[#This Row],[EnuRohValue]] &amp; "."" Then Res = " &amp; Tabelle7[[#This Row],[EnuValue]]</f>
        <v xml:space="preserve">  If wert = ".RADIANTHEATER." Then Res = eleEAT_RADIANTHEATER</v>
      </c>
    </row>
    <row r="485" spans="2:9" x14ac:dyDescent="0.25">
      <c r="B485" s="44">
        <v>17</v>
      </c>
      <c r="C485" s="45" t="s">
        <v>1555</v>
      </c>
      <c r="D485" s="44" t="s">
        <v>4086</v>
      </c>
      <c r="E485" s="44" t="str">
        <f>VLOOKUP(Tabelle7[[#This Row],[EnumName]],Enum[[IFC-Name]:[Präfix]],5,FALSE)&amp;Tabelle7[[#This Row],[EnuRohValue]]</f>
        <v>eleEAT_SCANNER</v>
      </c>
      <c r="F485" s="44">
        <f>COUNTIF(Tabelle7[EnuValue],Tabelle7[[#This Row],[EnuValue]])</f>
        <v>1</v>
      </c>
      <c r="G485" s="44" t="str">
        <f xml:space="preserve"> "  " &amp; Tabelle7[[#This Row],[EnuValue]] &amp; " = " &amp; Tabelle7[[#This Row],[Wert]]</f>
        <v xml:space="preserve">  eleEAT_SCANNER = 17</v>
      </c>
      <c r="H485" s="44" t="str">
        <f>"  If Wert = " &amp; Tabelle7[[#This Row],[EnuValue]] &amp; " then Res = ""." &amp; Tabelle7[[#This Row],[EnuRohValue]] &amp; "."""</f>
        <v xml:space="preserve">  If Wert = eleEAT_SCANNER then Res = ".SCANNER."</v>
      </c>
      <c r="I485" s="44" t="str">
        <f>"  If wert = ""." &amp; Tabelle7[[#This Row],[EnuRohValue]] &amp; "."" Then Res = " &amp; Tabelle7[[#This Row],[EnuValue]]</f>
        <v xml:space="preserve">  If wert = ".SCANNER." Then Res = eleEAT_SCANNER</v>
      </c>
    </row>
    <row r="486" spans="2:9" x14ac:dyDescent="0.25">
      <c r="B486" s="44">
        <v>18</v>
      </c>
      <c r="C486" s="45" t="s">
        <v>1555</v>
      </c>
      <c r="D486" s="44" t="s">
        <v>4087</v>
      </c>
      <c r="E486" s="44" t="str">
        <f>VLOOKUP(Tabelle7[[#This Row],[EnumName]],Enum[[IFC-Name]:[Präfix]],5,FALSE)&amp;Tabelle7[[#This Row],[EnuRohValue]]</f>
        <v>eleEAT_TELEPHONE</v>
      </c>
      <c r="F486" s="44">
        <f>COUNTIF(Tabelle7[EnuValue],Tabelle7[[#This Row],[EnuValue]])</f>
        <v>1</v>
      </c>
      <c r="G486" s="44" t="str">
        <f xml:space="preserve"> "  " &amp; Tabelle7[[#This Row],[EnuValue]] &amp; " = " &amp; Tabelle7[[#This Row],[Wert]]</f>
        <v xml:space="preserve">  eleEAT_TELEPHONE = 18</v>
      </c>
      <c r="H486" s="44" t="str">
        <f>"  If Wert = " &amp; Tabelle7[[#This Row],[EnuValue]] &amp; " then Res = ""." &amp; Tabelle7[[#This Row],[EnuRohValue]] &amp; "."""</f>
        <v xml:space="preserve">  If Wert = eleEAT_TELEPHONE then Res = ".TELEPHONE."</v>
      </c>
      <c r="I486" s="44" t="str">
        <f>"  If wert = ""." &amp; Tabelle7[[#This Row],[EnuRohValue]] &amp; "."" Then Res = " &amp; Tabelle7[[#This Row],[EnuValue]]</f>
        <v xml:space="preserve">  If wert = ".TELEPHONE." Then Res = eleEAT_TELEPHONE</v>
      </c>
    </row>
    <row r="487" spans="2:9" x14ac:dyDescent="0.25">
      <c r="B487" s="44">
        <v>19</v>
      </c>
      <c r="C487" s="45" t="s">
        <v>1555</v>
      </c>
      <c r="D487" s="44" t="s">
        <v>4088</v>
      </c>
      <c r="E487" s="44" t="str">
        <f>VLOOKUP(Tabelle7[[#This Row],[EnumName]],Enum[[IFC-Name]:[Präfix]],5,FALSE)&amp;Tabelle7[[#This Row],[EnuRohValue]]</f>
        <v>eleEAT_TUMBLEDRYER</v>
      </c>
      <c r="F487" s="44">
        <f>COUNTIF(Tabelle7[EnuValue],Tabelle7[[#This Row],[EnuValue]])</f>
        <v>1</v>
      </c>
      <c r="G487" s="44" t="str">
        <f xml:space="preserve"> "  " &amp; Tabelle7[[#This Row],[EnuValue]] &amp; " = " &amp; Tabelle7[[#This Row],[Wert]]</f>
        <v xml:space="preserve">  eleEAT_TUMBLEDRYER = 19</v>
      </c>
      <c r="H487" s="44" t="str">
        <f>"  If Wert = " &amp; Tabelle7[[#This Row],[EnuValue]] &amp; " then Res = ""." &amp; Tabelle7[[#This Row],[EnuRohValue]] &amp; "."""</f>
        <v xml:space="preserve">  If Wert = eleEAT_TUMBLEDRYER then Res = ".TUMBLEDRYER."</v>
      </c>
      <c r="I487" s="44" t="str">
        <f>"  If wert = ""." &amp; Tabelle7[[#This Row],[EnuRohValue]] &amp; "."" Then Res = " &amp; Tabelle7[[#This Row],[EnuValue]]</f>
        <v xml:space="preserve">  If wert = ".TUMBLEDRYER." Then Res = eleEAT_TUMBLEDRYER</v>
      </c>
    </row>
    <row r="488" spans="2:9" x14ac:dyDescent="0.25">
      <c r="B488" s="44">
        <v>20</v>
      </c>
      <c r="C488" s="45" t="s">
        <v>1555</v>
      </c>
      <c r="D488" s="44" t="s">
        <v>4089</v>
      </c>
      <c r="E488" s="44" t="str">
        <f>VLOOKUP(Tabelle7[[#This Row],[EnumName]],Enum[[IFC-Name]:[Präfix]],5,FALSE)&amp;Tabelle7[[#This Row],[EnuRohValue]]</f>
        <v>eleEAT_TV</v>
      </c>
      <c r="F488" s="44">
        <f>COUNTIF(Tabelle7[EnuValue],Tabelle7[[#This Row],[EnuValue]])</f>
        <v>1</v>
      </c>
      <c r="G488" s="44" t="str">
        <f xml:space="preserve"> "  " &amp; Tabelle7[[#This Row],[EnuValue]] &amp; " = " &amp; Tabelle7[[#This Row],[Wert]]</f>
        <v xml:space="preserve">  eleEAT_TV = 20</v>
      </c>
      <c r="H488" s="44" t="str">
        <f>"  If Wert = " &amp; Tabelle7[[#This Row],[EnuValue]] &amp; " then Res = ""." &amp; Tabelle7[[#This Row],[EnuRohValue]] &amp; "."""</f>
        <v xml:space="preserve">  If Wert = eleEAT_TV then Res = ".TV."</v>
      </c>
      <c r="I488" s="44" t="str">
        <f>"  If wert = ""." &amp; Tabelle7[[#This Row],[EnuRohValue]] &amp; "."" Then Res = " &amp; Tabelle7[[#This Row],[EnuValue]]</f>
        <v xml:space="preserve">  If wert = ".TV." Then Res = eleEAT_TV</v>
      </c>
    </row>
    <row r="489" spans="2:9" x14ac:dyDescent="0.25">
      <c r="B489" s="44">
        <v>21</v>
      </c>
      <c r="C489" s="45" t="s">
        <v>1555</v>
      </c>
      <c r="D489" s="44" t="s">
        <v>4090</v>
      </c>
      <c r="E489" s="44" t="str">
        <f>VLOOKUP(Tabelle7[[#This Row],[EnumName]],Enum[[IFC-Name]:[Präfix]],5,FALSE)&amp;Tabelle7[[#This Row],[EnuRohValue]]</f>
        <v>eleEAT_VENDINGMACHINE</v>
      </c>
      <c r="F489" s="44">
        <f>COUNTIF(Tabelle7[EnuValue],Tabelle7[[#This Row],[EnuValue]])</f>
        <v>1</v>
      </c>
      <c r="G489" s="44" t="str">
        <f xml:space="preserve"> "  " &amp; Tabelle7[[#This Row],[EnuValue]] &amp; " = " &amp; Tabelle7[[#This Row],[Wert]]</f>
        <v xml:space="preserve">  eleEAT_VENDINGMACHINE = 21</v>
      </c>
      <c r="H489" s="44" t="str">
        <f>"  If Wert = " &amp; Tabelle7[[#This Row],[EnuValue]] &amp; " then Res = ""." &amp; Tabelle7[[#This Row],[EnuRohValue]] &amp; "."""</f>
        <v xml:space="preserve">  If Wert = eleEAT_VENDINGMACHINE then Res = ".VENDINGMACHINE."</v>
      </c>
      <c r="I489" s="44" t="str">
        <f>"  If wert = ""." &amp; Tabelle7[[#This Row],[EnuRohValue]] &amp; "."" Then Res = " &amp; Tabelle7[[#This Row],[EnuValue]]</f>
        <v xml:space="preserve">  If wert = ".VENDINGMACHINE." Then Res = eleEAT_VENDINGMACHINE</v>
      </c>
    </row>
    <row r="490" spans="2:9" x14ac:dyDescent="0.25">
      <c r="B490" s="44">
        <v>22</v>
      </c>
      <c r="C490" s="45" t="s">
        <v>1555</v>
      </c>
      <c r="D490" s="44" t="s">
        <v>4091</v>
      </c>
      <c r="E490" s="44" t="str">
        <f>VLOOKUP(Tabelle7[[#This Row],[EnumName]],Enum[[IFC-Name]:[Präfix]],5,FALSE)&amp;Tabelle7[[#This Row],[EnuRohValue]]</f>
        <v>eleEAT_WASHINGMACHINE</v>
      </c>
      <c r="F490" s="44">
        <f>COUNTIF(Tabelle7[EnuValue],Tabelle7[[#This Row],[EnuValue]])</f>
        <v>1</v>
      </c>
      <c r="G490" s="44" t="str">
        <f xml:space="preserve"> "  " &amp; Tabelle7[[#This Row],[EnuValue]] &amp; " = " &amp; Tabelle7[[#This Row],[Wert]]</f>
        <v xml:space="preserve">  eleEAT_WASHINGMACHINE = 22</v>
      </c>
      <c r="H490" s="44" t="str">
        <f>"  If Wert = " &amp; Tabelle7[[#This Row],[EnuValue]] &amp; " then Res = ""." &amp; Tabelle7[[#This Row],[EnuRohValue]] &amp; "."""</f>
        <v xml:space="preserve">  If Wert = eleEAT_WASHINGMACHINE then Res = ".WASHINGMACHINE."</v>
      </c>
      <c r="I490" s="44" t="str">
        <f>"  If wert = ""." &amp; Tabelle7[[#This Row],[EnuRohValue]] &amp; "."" Then Res = " &amp; Tabelle7[[#This Row],[EnuValue]]</f>
        <v xml:space="preserve">  If wert = ".WASHINGMACHINE." Then Res = eleEAT_WASHINGMACHINE</v>
      </c>
    </row>
    <row r="491" spans="2:9" x14ac:dyDescent="0.25">
      <c r="B491" s="44">
        <v>23</v>
      </c>
      <c r="C491" s="45" t="s">
        <v>1555</v>
      </c>
      <c r="D491" s="44" t="s">
        <v>4092</v>
      </c>
      <c r="E491" s="44" t="str">
        <f>VLOOKUP(Tabelle7[[#This Row],[EnumName]],Enum[[IFC-Name]:[Präfix]],5,FALSE)&amp;Tabelle7[[#This Row],[EnuRohValue]]</f>
        <v>eleEAT_WATERHEATER</v>
      </c>
      <c r="F491" s="44">
        <f>COUNTIF(Tabelle7[EnuValue],Tabelle7[[#This Row],[EnuValue]])</f>
        <v>1</v>
      </c>
      <c r="G491" s="44" t="str">
        <f xml:space="preserve"> "  " &amp; Tabelle7[[#This Row],[EnuValue]] &amp; " = " &amp; Tabelle7[[#This Row],[Wert]]</f>
        <v xml:space="preserve">  eleEAT_WATERHEATER = 23</v>
      </c>
      <c r="H491" s="44" t="str">
        <f>"  If Wert = " &amp; Tabelle7[[#This Row],[EnuValue]] &amp; " then Res = ""." &amp; Tabelle7[[#This Row],[EnuRohValue]] &amp; "."""</f>
        <v xml:space="preserve">  If Wert = eleEAT_WATERHEATER then Res = ".WATERHEATER."</v>
      </c>
      <c r="I491" s="44" t="str">
        <f>"  If wert = ""." &amp; Tabelle7[[#This Row],[EnuRohValue]] &amp; "."" Then Res = " &amp; Tabelle7[[#This Row],[EnuValue]]</f>
        <v xml:space="preserve">  If wert = ".WATERHEATER." Then Res = eleEAT_WATERHEATER</v>
      </c>
    </row>
    <row r="492" spans="2:9" x14ac:dyDescent="0.25">
      <c r="B492" s="44">
        <v>24</v>
      </c>
      <c r="C492" s="45" t="s">
        <v>1555</v>
      </c>
      <c r="D492" s="44" t="s">
        <v>4093</v>
      </c>
      <c r="E492" s="44" t="str">
        <f>VLOOKUP(Tabelle7[[#This Row],[EnumName]],Enum[[IFC-Name]:[Präfix]],5,FALSE)&amp;Tabelle7[[#This Row],[EnuRohValue]]</f>
        <v>eleEAT_WATERCOOLER</v>
      </c>
      <c r="F492" s="44">
        <f>COUNTIF(Tabelle7[EnuValue],Tabelle7[[#This Row],[EnuValue]])</f>
        <v>1</v>
      </c>
      <c r="G492" s="44" t="str">
        <f xml:space="preserve"> "  " &amp; Tabelle7[[#This Row],[EnuValue]] &amp; " = " &amp; Tabelle7[[#This Row],[Wert]]</f>
        <v xml:space="preserve">  eleEAT_WATERCOOLER = 24</v>
      </c>
      <c r="H492" s="44" t="str">
        <f>"  If Wert = " &amp; Tabelle7[[#This Row],[EnuValue]] &amp; " then Res = ""." &amp; Tabelle7[[#This Row],[EnuRohValue]] &amp; "."""</f>
        <v xml:space="preserve">  If Wert = eleEAT_WATERCOOLER then Res = ".WATERCOOLER."</v>
      </c>
      <c r="I492" s="44" t="str">
        <f>"  If wert = ""." &amp; Tabelle7[[#This Row],[EnuRohValue]] &amp; "."" Then Res = " &amp; Tabelle7[[#This Row],[EnuValue]]</f>
        <v xml:space="preserve">  If wert = ".WATERCOOLER." Then Res = eleEAT_WATERCOOLER</v>
      </c>
    </row>
    <row r="493" spans="2:9" x14ac:dyDescent="0.25">
      <c r="B493" s="44">
        <v>25</v>
      </c>
      <c r="C493" s="45" t="s">
        <v>1555</v>
      </c>
      <c r="D493" s="44" t="s">
        <v>3682</v>
      </c>
      <c r="E493" s="44" t="str">
        <f>VLOOKUP(Tabelle7[[#This Row],[EnumName]],Enum[[IFC-Name]:[Präfix]],5,FALSE)&amp;Tabelle7[[#This Row],[EnuRohValue]]</f>
        <v>eleEAT_USERDEFINED</v>
      </c>
      <c r="F493" s="44">
        <f>COUNTIF(Tabelle7[EnuValue],Tabelle7[[#This Row],[EnuValue]])</f>
        <v>1</v>
      </c>
      <c r="G493" s="44" t="str">
        <f xml:space="preserve"> "  " &amp; Tabelle7[[#This Row],[EnuValue]] &amp; " = " &amp; Tabelle7[[#This Row],[Wert]]</f>
        <v xml:space="preserve">  eleEAT_USERDEFINED = 25</v>
      </c>
      <c r="H493" s="44" t="str">
        <f>"  If Wert = " &amp; Tabelle7[[#This Row],[EnuValue]] &amp; " then Res = ""." &amp; Tabelle7[[#This Row],[EnuRohValue]] &amp; "."""</f>
        <v xml:space="preserve">  If Wert = eleEAT_USERDEFINED then Res = ".USERDEFINED."</v>
      </c>
      <c r="I493" s="44" t="str">
        <f>"  If wert = ""." &amp; Tabelle7[[#This Row],[EnuRohValue]] &amp; "."" Then Res = " &amp; Tabelle7[[#This Row],[EnuValue]]</f>
        <v xml:space="preserve">  If wert = ".USERDEFINED." Then Res = eleEAT_USERDEFINED</v>
      </c>
    </row>
    <row r="494" spans="2:9" x14ac:dyDescent="0.25">
      <c r="B494" s="44">
        <v>26</v>
      </c>
      <c r="C494" s="45" t="s">
        <v>1555</v>
      </c>
      <c r="D494" s="44" t="s">
        <v>3683</v>
      </c>
      <c r="E494" s="44" t="str">
        <f>VLOOKUP(Tabelle7[[#This Row],[EnumName]],Enum[[IFC-Name]:[Präfix]],5,FALSE)&amp;Tabelle7[[#This Row],[EnuRohValue]]</f>
        <v>eleEAT_NOTDEFINED</v>
      </c>
      <c r="F494" s="44">
        <f>COUNTIF(Tabelle7[EnuValue],Tabelle7[[#This Row],[EnuValue]])</f>
        <v>1</v>
      </c>
      <c r="G494" s="44" t="str">
        <f xml:space="preserve"> "  " &amp; Tabelle7[[#This Row],[EnuValue]] &amp; " = " &amp; Tabelle7[[#This Row],[Wert]]</f>
        <v xml:space="preserve">  eleEAT_NOTDEFINED = 26</v>
      </c>
      <c r="H494" s="44" t="str">
        <f>"  If Wert = " &amp; Tabelle7[[#This Row],[EnuValue]] &amp; " then Res = ""." &amp; Tabelle7[[#This Row],[EnuRohValue]] &amp; "."""</f>
        <v xml:space="preserve">  If Wert = eleEAT_NOTDEFINED then Res = ".NOTDEFINED."</v>
      </c>
      <c r="I494" s="44" t="str">
        <f>"  If wert = ""." &amp; Tabelle7[[#This Row],[EnuRohValue]] &amp; "."" Then Res = " &amp; Tabelle7[[#This Row],[EnuValue]]</f>
        <v xml:space="preserve">  If wert = ".NOTDEFINED." Then Res = eleEAT_NOTDEFINED</v>
      </c>
    </row>
    <row r="495" spans="2:9" x14ac:dyDescent="0.25">
      <c r="B495" s="44">
        <v>1</v>
      </c>
      <c r="C495" s="45" t="s">
        <v>1556</v>
      </c>
      <c r="D495" s="44" t="s">
        <v>4094</v>
      </c>
      <c r="E495" s="44" t="str">
        <f>VLOOKUP(Tabelle7[[#This Row],[EnumName]],Enum[[IFC-Name]:[Präfix]],5,FALSE)&amp;Tabelle7[[#This Row],[EnuRohValue]]</f>
        <v>sbsEC_ALTERNATING</v>
      </c>
      <c r="F495" s="44">
        <f>COUNTIF(Tabelle7[EnuValue],Tabelle7[[#This Row],[EnuValue]])</f>
        <v>1</v>
      </c>
      <c r="G495" s="44" t="str">
        <f xml:space="preserve"> "  " &amp; Tabelle7[[#This Row],[EnuValue]] &amp; " = " &amp; Tabelle7[[#This Row],[Wert]]</f>
        <v xml:space="preserve">  sbsEC_ALTERNATING = 1</v>
      </c>
      <c r="H495" s="44" t="str">
        <f>"  If Wert = " &amp; Tabelle7[[#This Row],[EnuValue]] &amp; " then Res = ""." &amp; Tabelle7[[#This Row],[EnuRohValue]] &amp; "."""</f>
        <v xml:space="preserve">  If Wert = sbsEC_ALTERNATING then Res = ".ALTERNATING."</v>
      </c>
      <c r="I495" s="44" t="str">
        <f>"  If wert = ""." &amp; Tabelle7[[#This Row],[EnuRohValue]] &amp; "."" Then Res = " &amp; Tabelle7[[#This Row],[EnuValue]]</f>
        <v xml:space="preserve">  If wert = ".ALTERNATING." Then Res = sbsEC_ALTERNATING</v>
      </c>
    </row>
    <row r="496" spans="2:9" x14ac:dyDescent="0.25">
      <c r="B496" s="44">
        <v>2</v>
      </c>
      <c r="C496" s="45" t="s">
        <v>1556</v>
      </c>
      <c r="D496" s="44" t="s">
        <v>4095</v>
      </c>
      <c r="E496" s="44" t="str">
        <f>VLOOKUP(Tabelle7[[#This Row],[EnumName]],Enum[[IFC-Name]:[Präfix]],5,FALSE)&amp;Tabelle7[[#This Row],[EnuRohValue]]</f>
        <v>sbsEC_DIRECT</v>
      </c>
      <c r="F496" s="44">
        <f>COUNTIF(Tabelle7[EnuValue],Tabelle7[[#This Row],[EnuValue]])</f>
        <v>1</v>
      </c>
      <c r="G496" s="44" t="str">
        <f xml:space="preserve"> "  " &amp; Tabelle7[[#This Row],[EnuValue]] &amp; " = " &amp; Tabelle7[[#This Row],[Wert]]</f>
        <v xml:space="preserve">  sbsEC_DIRECT = 2</v>
      </c>
      <c r="H496" s="44" t="str">
        <f>"  If Wert = " &amp; Tabelle7[[#This Row],[EnuValue]] &amp; " then Res = ""." &amp; Tabelle7[[#This Row],[EnuRohValue]] &amp; "."""</f>
        <v xml:space="preserve">  If Wert = sbsEC_DIRECT then Res = ".DIRECT."</v>
      </c>
      <c r="I496" s="44" t="str">
        <f>"  If wert = ""." &amp; Tabelle7[[#This Row],[EnuRohValue]] &amp; "."" Then Res = " &amp; Tabelle7[[#This Row],[EnuValue]]</f>
        <v xml:space="preserve">  If wert = ".DIRECT." Then Res = sbsEC_DIRECT</v>
      </c>
    </row>
    <row r="497" spans="2:9" x14ac:dyDescent="0.25">
      <c r="B497" s="44">
        <v>3</v>
      </c>
      <c r="C497" s="45" t="s">
        <v>1556</v>
      </c>
      <c r="D497" s="44" t="s">
        <v>3683</v>
      </c>
      <c r="E497" s="44" t="str">
        <f>VLOOKUP(Tabelle7[[#This Row],[EnumName]],Enum[[IFC-Name]:[Präfix]],5,FALSE)&amp;Tabelle7[[#This Row],[EnuRohValue]]</f>
        <v>sbsEC_NOTDEFINED</v>
      </c>
      <c r="F497" s="44">
        <f>COUNTIF(Tabelle7[EnuValue],Tabelle7[[#This Row],[EnuValue]])</f>
        <v>1</v>
      </c>
      <c r="G497" s="44" t="str">
        <f xml:space="preserve"> "  " &amp; Tabelle7[[#This Row],[EnuValue]] &amp; " = " &amp; Tabelle7[[#This Row],[Wert]]</f>
        <v xml:space="preserve">  sbsEC_NOTDEFINED = 3</v>
      </c>
      <c r="H497" s="44" t="str">
        <f>"  If Wert = " &amp; Tabelle7[[#This Row],[EnuValue]] &amp; " then Res = ""." &amp; Tabelle7[[#This Row],[EnuRohValue]] &amp; "."""</f>
        <v xml:space="preserve">  If Wert = sbsEC_NOTDEFINED then Res = ".NOTDEFINED."</v>
      </c>
      <c r="I497" s="44" t="str">
        <f>"  If wert = ""." &amp; Tabelle7[[#This Row],[EnuRohValue]] &amp; "."" Then Res = " &amp; Tabelle7[[#This Row],[EnuValue]]</f>
        <v xml:space="preserve">  If wert = ".NOTDEFINED." Then Res = sbsEC_NOTDEFINED</v>
      </c>
    </row>
    <row r="498" spans="2:9" x14ac:dyDescent="0.25">
      <c r="B498" s="44">
        <v>1</v>
      </c>
      <c r="C498" s="45" t="s">
        <v>1557</v>
      </c>
      <c r="D498" s="44" t="s">
        <v>4096</v>
      </c>
      <c r="E498" s="44" t="str">
        <f>VLOOKUP(Tabelle7[[#This Row],[EnumName]],Enum[[IFC-Name]:[Präfix]],5,FALSE)&amp;Tabelle7[[#This Row],[EnuRohValue]]</f>
        <v>eleEDPF_ALARMPANEL</v>
      </c>
      <c r="F498" s="44">
        <f>COUNTIF(Tabelle7[EnuValue],Tabelle7[[#This Row],[EnuValue]])</f>
        <v>1</v>
      </c>
      <c r="G498" s="44" t="str">
        <f xml:space="preserve"> "  " &amp; Tabelle7[[#This Row],[EnuValue]] &amp; " = " &amp; Tabelle7[[#This Row],[Wert]]</f>
        <v xml:space="preserve">  eleEDPF_ALARMPANEL = 1</v>
      </c>
      <c r="H498" s="44" t="str">
        <f>"  If Wert = " &amp; Tabelle7[[#This Row],[EnuValue]] &amp; " then Res = ""." &amp; Tabelle7[[#This Row],[EnuRohValue]] &amp; "."""</f>
        <v xml:space="preserve">  If Wert = eleEDPF_ALARMPANEL then Res = ".ALARMPANEL."</v>
      </c>
      <c r="I498" s="44" t="str">
        <f>"  If wert = ""." &amp; Tabelle7[[#This Row],[EnuRohValue]] &amp; "."" Then Res = " &amp; Tabelle7[[#This Row],[EnuValue]]</f>
        <v xml:space="preserve">  If wert = ".ALARMPANEL." Then Res = eleEDPF_ALARMPANEL</v>
      </c>
    </row>
    <row r="499" spans="2:9" x14ac:dyDescent="0.25">
      <c r="B499" s="44">
        <v>2</v>
      </c>
      <c r="C499" s="45" t="s">
        <v>1557</v>
      </c>
      <c r="D499" s="44" t="s">
        <v>4097</v>
      </c>
      <c r="E499" s="44" t="str">
        <f>VLOOKUP(Tabelle7[[#This Row],[EnumName]],Enum[[IFC-Name]:[Präfix]],5,FALSE)&amp;Tabelle7[[#This Row],[EnuRohValue]]</f>
        <v>eleEDPF_CONSUMERUNIT</v>
      </c>
      <c r="F499" s="44">
        <f>COUNTIF(Tabelle7[EnuValue],Tabelle7[[#This Row],[EnuValue]])</f>
        <v>1</v>
      </c>
      <c r="G499" s="44" t="str">
        <f xml:space="preserve"> "  " &amp; Tabelle7[[#This Row],[EnuValue]] &amp; " = " &amp; Tabelle7[[#This Row],[Wert]]</f>
        <v xml:space="preserve">  eleEDPF_CONSUMERUNIT = 2</v>
      </c>
      <c r="H499" s="44" t="str">
        <f>"  If Wert = " &amp; Tabelle7[[#This Row],[EnuValue]] &amp; " then Res = ""." &amp; Tabelle7[[#This Row],[EnuRohValue]] &amp; "."""</f>
        <v xml:space="preserve">  If Wert = eleEDPF_CONSUMERUNIT then Res = ".CONSUMERUNIT."</v>
      </c>
      <c r="I499" s="44" t="str">
        <f>"  If wert = ""." &amp; Tabelle7[[#This Row],[EnuRohValue]] &amp; "."" Then Res = " &amp; Tabelle7[[#This Row],[EnuValue]]</f>
        <v xml:space="preserve">  If wert = ".CONSUMERUNIT." Then Res = eleEDPF_CONSUMERUNIT</v>
      </c>
    </row>
    <row r="500" spans="2:9" x14ac:dyDescent="0.25">
      <c r="B500" s="44">
        <v>3</v>
      </c>
      <c r="C500" s="45" t="s">
        <v>1557</v>
      </c>
      <c r="D500" s="44" t="s">
        <v>4098</v>
      </c>
      <c r="E500" s="44" t="str">
        <f>VLOOKUP(Tabelle7[[#This Row],[EnumName]],Enum[[IFC-Name]:[Präfix]],5,FALSE)&amp;Tabelle7[[#This Row],[EnuRohValue]]</f>
        <v>eleEDPF_CONTROLPANEL</v>
      </c>
      <c r="F500" s="44">
        <f>COUNTIF(Tabelle7[EnuValue],Tabelle7[[#This Row],[EnuValue]])</f>
        <v>1</v>
      </c>
      <c r="G500" s="44" t="str">
        <f xml:space="preserve"> "  " &amp; Tabelle7[[#This Row],[EnuValue]] &amp; " = " &amp; Tabelle7[[#This Row],[Wert]]</f>
        <v xml:space="preserve">  eleEDPF_CONTROLPANEL = 3</v>
      </c>
      <c r="H500" s="44" t="str">
        <f>"  If Wert = " &amp; Tabelle7[[#This Row],[EnuValue]] &amp; " then Res = ""." &amp; Tabelle7[[#This Row],[EnuRohValue]] &amp; "."""</f>
        <v xml:space="preserve">  If Wert = eleEDPF_CONTROLPANEL then Res = ".CONTROLPANEL."</v>
      </c>
      <c r="I500" s="44" t="str">
        <f>"  If wert = ""." &amp; Tabelle7[[#This Row],[EnuRohValue]] &amp; "."" Then Res = " &amp; Tabelle7[[#This Row],[EnuValue]]</f>
        <v xml:space="preserve">  If wert = ".CONTROLPANEL." Then Res = eleEDPF_CONTROLPANEL</v>
      </c>
    </row>
    <row r="501" spans="2:9" x14ac:dyDescent="0.25">
      <c r="B501" s="44">
        <v>4</v>
      </c>
      <c r="C501" s="45" t="s">
        <v>1557</v>
      </c>
      <c r="D501" s="44" t="s">
        <v>4099</v>
      </c>
      <c r="E501" s="44" t="str">
        <f>VLOOKUP(Tabelle7[[#This Row],[EnumName]],Enum[[IFC-Name]:[Präfix]],5,FALSE)&amp;Tabelle7[[#This Row],[EnuRohValue]]</f>
        <v>eleEDPF_DISTRIBUTIONBOARD</v>
      </c>
      <c r="F501" s="44">
        <f>COUNTIF(Tabelle7[EnuValue],Tabelle7[[#This Row],[EnuValue]])</f>
        <v>1</v>
      </c>
      <c r="G501" s="44" t="str">
        <f xml:space="preserve"> "  " &amp; Tabelle7[[#This Row],[EnuValue]] &amp; " = " &amp; Tabelle7[[#This Row],[Wert]]</f>
        <v xml:space="preserve">  eleEDPF_DISTRIBUTIONBOARD = 4</v>
      </c>
      <c r="H501" s="44" t="str">
        <f>"  If Wert = " &amp; Tabelle7[[#This Row],[EnuValue]] &amp; " then Res = ""." &amp; Tabelle7[[#This Row],[EnuRohValue]] &amp; "."""</f>
        <v xml:space="preserve">  If Wert = eleEDPF_DISTRIBUTIONBOARD then Res = ".DISTRIBUTIONBOARD."</v>
      </c>
      <c r="I501" s="44" t="str">
        <f>"  If wert = ""." &amp; Tabelle7[[#This Row],[EnuRohValue]] &amp; "."" Then Res = " &amp; Tabelle7[[#This Row],[EnuValue]]</f>
        <v xml:space="preserve">  If wert = ".DISTRIBUTIONBOARD." Then Res = eleEDPF_DISTRIBUTIONBOARD</v>
      </c>
    </row>
    <row r="502" spans="2:9" x14ac:dyDescent="0.25">
      <c r="B502" s="44">
        <v>5</v>
      </c>
      <c r="C502" s="45" t="s">
        <v>1557</v>
      </c>
      <c r="D502" s="44" t="s">
        <v>4100</v>
      </c>
      <c r="E502" s="44" t="str">
        <f>VLOOKUP(Tabelle7[[#This Row],[EnumName]],Enum[[IFC-Name]:[Präfix]],5,FALSE)&amp;Tabelle7[[#This Row],[EnuRohValue]]</f>
        <v>eleEDPF_GASDETECTORPANEL</v>
      </c>
      <c r="F502" s="44">
        <f>COUNTIF(Tabelle7[EnuValue],Tabelle7[[#This Row],[EnuValue]])</f>
        <v>1</v>
      </c>
      <c r="G502" s="44" t="str">
        <f xml:space="preserve"> "  " &amp; Tabelle7[[#This Row],[EnuValue]] &amp; " = " &amp; Tabelle7[[#This Row],[Wert]]</f>
        <v xml:space="preserve">  eleEDPF_GASDETECTORPANEL = 5</v>
      </c>
      <c r="H502" s="44" t="str">
        <f>"  If Wert = " &amp; Tabelle7[[#This Row],[EnuValue]] &amp; " then Res = ""." &amp; Tabelle7[[#This Row],[EnuRohValue]] &amp; "."""</f>
        <v xml:space="preserve">  If Wert = eleEDPF_GASDETECTORPANEL then Res = ".GASDETECTORPANEL."</v>
      </c>
      <c r="I502" s="44" t="str">
        <f>"  If wert = ""." &amp; Tabelle7[[#This Row],[EnuRohValue]] &amp; "."" Then Res = " &amp; Tabelle7[[#This Row],[EnuValue]]</f>
        <v xml:space="preserve">  If wert = ".GASDETECTORPANEL." Then Res = eleEDPF_GASDETECTORPANEL</v>
      </c>
    </row>
    <row r="503" spans="2:9" x14ac:dyDescent="0.25">
      <c r="B503" s="44">
        <v>6</v>
      </c>
      <c r="C503" s="45" t="s">
        <v>1557</v>
      </c>
      <c r="D503" s="44" t="s">
        <v>4101</v>
      </c>
      <c r="E503" s="44" t="str">
        <f>VLOOKUP(Tabelle7[[#This Row],[EnumName]],Enum[[IFC-Name]:[Präfix]],5,FALSE)&amp;Tabelle7[[#This Row],[EnuRohValue]]</f>
        <v>eleEDPF_INDICATORPANEL</v>
      </c>
      <c r="F503" s="44">
        <f>COUNTIF(Tabelle7[EnuValue],Tabelle7[[#This Row],[EnuValue]])</f>
        <v>1</v>
      </c>
      <c r="G503" s="44" t="str">
        <f xml:space="preserve"> "  " &amp; Tabelle7[[#This Row],[EnuValue]] &amp; " = " &amp; Tabelle7[[#This Row],[Wert]]</f>
        <v xml:space="preserve">  eleEDPF_INDICATORPANEL = 6</v>
      </c>
      <c r="H503" s="44" t="str">
        <f>"  If Wert = " &amp; Tabelle7[[#This Row],[EnuValue]] &amp; " then Res = ""." &amp; Tabelle7[[#This Row],[EnuRohValue]] &amp; "."""</f>
        <v xml:space="preserve">  If Wert = eleEDPF_INDICATORPANEL then Res = ".INDICATORPANEL."</v>
      </c>
      <c r="I503" s="44" t="str">
        <f>"  If wert = ""." &amp; Tabelle7[[#This Row],[EnuRohValue]] &amp; "."" Then Res = " &amp; Tabelle7[[#This Row],[EnuValue]]</f>
        <v xml:space="preserve">  If wert = ".INDICATORPANEL." Then Res = eleEDPF_INDICATORPANEL</v>
      </c>
    </row>
    <row r="504" spans="2:9" x14ac:dyDescent="0.25">
      <c r="B504" s="44">
        <v>7</v>
      </c>
      <c r="C504" s="45" t="s">
        <v>1557</v>
      </c>
      <c r="D504" s="44" t="s">
        <v>4102</v>
      </c>
      <c r="E504" s="44" t="str">
        <f>VLOOKUP(Tabelle7[[#This Row],[EnumName]],Enum[[IFC-Name]:[Präfix]],5,FALSE)&amp;Tabelle7[[#This Row],[EnuRohValue]]</f>
        <v>eleEDPF_MIMICPANEL</v>
      </c>
      <c r="F504" s="44">
        <f>COUNTIF(Tabelle7[EnuValue],Tabelle7[[#This Row],[EnuValue]])</f>
        <v>1</v>
      </c>
      <c r="G504" s="44" t="str">
        <f xml:space="preserve"> "  " &amp; Tabelle7[[#This Row],[EnuValue]] &amp; " = " &amp; Tabelle7[[#This Row],[Wert]]</f>
        <v xml:space="preserve">  eleEDPF_MIMICPANEL = 7</v>
      </c>
      <c r="H504" s="44" t="str">
        <f>"  If Wert = " &amp; Tabelle7[[#This Row],[EnuValue]] &amp; " then Res = ""." &amp; Tabelle7[[#This Row],[EnuRohValue]] &amp; "."""</f>
        <v xml:space="preserve">  If Wert = eleEDPF_MIMICPANEL then Res = ".MIMICPANEL."</v>
      </c>
      <c r="I504" s="44" t="str">
        <f>"  If wert = ""." &amp; Tabelle7[[#This Row],[EnuRohValue]] &amp; "."" Then Res = " &amp; Tabelle7[[#This Row],[EnuValue]]</f>
        <v xml:space="preserve">  If wert = ".MIMICPANEL." Then Res = eleEDPF_MIMICPANEL</v>
      </c>
    </row>
    <row r="505" spans="2:9" x14ac:dyDescent="0.25">
      <c r="B505" s="44">
        <v>8</v>
      </c>
      <c r="C505" s="45" t="s">
        <v>1557</v>
      </c>
      <c r="D505" s="44" t="s">
        <v>4103</v>
      </c>
      <c r="E505" s="44" t="str">
        <f>VLOOKUP(Tabelle7[[#This Row],[EnumName]],Enum[[IFC-Name]:[Präfix]],5,FALSE)&amp;Tabelle7[[#This Row],[EnuRohValue]]</f>
        <v>eleEDPF_MOTORCONTROLCENTRE</v>
      </c>
      <c r="F505" s="44">
        <f>COUNTIF(Tabelle7[EnuValue],Tabelle7[[#This Row],[EnuValue]])</f>
        <v>1</v>
      </c>
      <c r="G505" s="44" t="str">
        <f xml:space="preserve"> "  " &amp; Tabelle7[[#This Row],[EnuValue]] &amp; " = " &amp; Tabelle7[[#This Row],[Wert]]</f>
        <v xml:space="preserve">  eleEDPF_MOTORCONTROLCENTRE = 8</v>
      </c>
      <c r="H505" s="44" t="str">
        <f>"  If Wert = " &amp; Tabelle7[[#This Row],[EnuValue]] &amp; " then Res = ""." &amp; Tabelle7[[#This Row],[EnuRohValue]] &amp; "."""</f>
        <v xml:space="preserve">  If Wert = eleEDPF_MOTORCONTROLCENTRE then Res = ".MOTORCONTROLCENTRE."</v>
      </c>
      <c r="I505" s="44" t="str">
        <f>"  If wert = ""." &amp; Tabelle7[[#This Row],[EnuRohValue]] &amp; "."" Then Res = " &amp; Tabelle7[[#This Row],[EnuValue]]</f>
        <v xml:space="preserve">  If wert = ".MOTORCONTROLCENTRE." Then Res = eleEDPF_MOTORCONTROLCENTRE</v>
      </c>
    </row>
    <row r="506" spans="2:9" x14ac:dyDescent="0.25">
      <c r="B506" s="44">
        <v>9</v>
      </c>
      <c r="C506" s="45" t="s">
        <v>1557</v>
      </c>
      <c r="D506" s="44" t="s">
        <v>4104</v>
      </c>
      <c r="E506" s="44" t="str">
        <f>VLOOKUP(Tabelle7[[#This Row],[EnumName]],Enum[[IFC-Name]:[Präfix]],5,FALSE)&amp;Tabelle7[[#This Row],[EnuRohValue]]</f>
        <v>eleEDPF_SWITCHBOARD</v>
      </c>
      <c r="F506" s="44">
        <f>COUNTIF(Tabelle7[EnuValue],Tabelle7[[#This Row],[EnuValue]])</f>
        <v>1</v>
      </c>
      <c r="G506" s="44" t="str">
        <f xml:space="preserve"> "  " &amp; Tabelle7[[#This Row],[EnuValue]] &amp; " = " &amp; Tabelle7[[#This Row],[Wert]]</f>
        <v xml:space="preserve">  eleEDPF_SWITCHBOARD = 9</v>
      </c>
      <c r="H506" s="44" t="str">
        <f>"  If Wert = " &amp; Tabelle7[[#This Row],[EnuValue]] &amp; " then Res = ""." &amp; Tabelle7[[#This Row],[EnuRohValue]] &amp; "."""</f>
        <v xml:space="preserve">  If Wert = eleEDPF_SWITCHBOARD then Res = ".SWITCHBOARD."</v>
      </c>
      <c r="I506" s="44" t="str">
        <f>"  If wert = ""." &amp; Tabelle7[[#This Row],[EnuRohValue]] &amp; "."" Then Res = " &amp; Tabelle7[[#This Row],[EnuValue]]</f>
        <v xml:space="preserve">  If wert = ".SWITCHBOARD." Then Res = eleEDPF_SWITCHBOARD</v>
      </c>
    </row>
    <row r="507" spans="2:9" x14ac:dyDescent="0.25">
      <c r="B507" s="44">
        <v>10</v>
      </c>
      <c r="C507" s="45" t="s">
        <v>1557</v>
      </c>
      <c r="D507" s="44" t="s">
        <v>3682</v>
      </c>
      <c r="E507" s="44" t="str">
        <f>VLOOKUP(Tabelle7[[#This Row],[EnumName]],Enum[[IFC-Name]:[Präfix]],5,FALSE)&amp;Tabelle7[[#This Row],[EnuRohValue]]</f>
        <v>eleEDPF_USERDEFINED</v>
      </c>
      <c r="F507" s="44">
        <f>COUNTIF(Tabelle7[EnuValue],Tabelle7[[#This Row],[EnuValue]])</f>
        <v>1</v>
      </c>
      <c r="G507" s="44" t="str">
        <f xml:space="preserve"> "  " &amp; Tabelle7[[#This Row],[EnuValue]] &amp; " = " &amp; Tabelle7[[#This Row],[Wert]]</f>
        <v xml:space="preserve">  eleEDPF_USERDEFINED = 10</v>
      </c>
      <c r="H507" s="44" t="str">
        <f>"  If Wert = " &amp; Tabelle7[[#This Row],[EnuValue]] &amp; " then Res = ""." &amp; Tabelle7[[#This Row],[EnuRohValue]] &amp; "."""</f>
        <v xml:space="preserve">  If Wert = eleEDPF_USERDEFINED then Res = ".USERDEFINED."</v>
      </c>
      <c r="I507" s="44" t="str">
        <f>"  If wert = ""." &amp; Tabelle7[[#This Row],[EnuRohValue]] &amp; "."" Then Res = " &amp; Tabelle7[[#This Row],[EnuValue]]</f>
        <v xml:space="preserve">  If wert = ".USERDEFINED." Then Res = eleEDPF_USERDEFINED</v>
      </c>
    </row>
    <row r="508" spans="2:9" x14ac:dyDescent="0.25">
      <c r="B508" s="44">
        <v>11</v>
      </c>
      <c r="C508" s="45" t="s">
        <v>1557</v>
      </c>
      <c r="D508" s="44" t="s">
        <v>3683</v>
      </c>
      <c r="E508" s="44" t="str">
        <f>VLOOKUP(Tabelle7[[#This Row],[EnumName]],Enum[[IFC-Name]:[Präfix]],5,FALSE)&amp;Tabelle7[[#This Row],[EnuRohValue]]</f>
        <v>eleEDPF_NOTDEFINED</v>
      </c>
      <c r="F508" s="44">
        <f>COUNTIF(Tabelle7[EnuValue],Tabelle7[[#This Row],[EnuValue]])</f>
        <v>1</v>
      </c>
      <c r="G508" s="44" t="str">
        <f xml:space="preserve"> "  " &amp; Tabelle7[[#This Row],[EnuValue]] &amp; " = " &amp; Tabelle7[[#This Row],[Wert]]</f>
        <v xml:space="preserve">  eleEDPF_NOTDEFINED = 11</v>
      </c>
      <c r="H508" s="44" t="str">
        <f>"  If Wert = " &amp; Tabelle7[[#This Row],[EnuValue]] &amp; " then Res = ""." &amp; Tabelle7[[#This Row],[EnuRohValue]] &amp; "."""</f>
        <v xml:space="preserve">  If Wert = eleEDPF_NOTDEFINED then Res = ".NOTDEFINED."</v>
      </c>
      <c r="I508" s="44" t="str">
        <f>"  If wert = ""." &amp; Tabelle7[[#This Row],[EnuRohValue]] &amp; "."" Then Res = " &amp; Tabelle7[[#This Row],[EnuValue]]</f>
        <v xml:space="preserve">  If wert = ".NOTDEFINED." Then Res = eleEDPF_NOTDEFINED</v>
      </c>
    </row>
    <row r="509" spans="2:9" x14ac:dyDescent="0.25">
      <c r="B509" s="44">
        <v>1</v>
      </c>
      <c r="C509" s="45" t="s">
        <v>1558</v>
      </c>
      <c r="D509" s="44" t="s">
        <v>4105</v>
      </c>
      <c r="E509" s="44" t="str">
        <f>VLOOKUP(Tabelle7[[#This Row],[EnumName]],Enum[[IFC-Name]:[Präfix]],5,FALSE)&amp;Tabelle7[[#This Row],[EnuRohValue]]</f>
        <v>eleEFSDT_BATTERY</v>
      </c>
      <c r="F509" s="44">
        <f>COUNTIF(Tabelle7[EnuValue],Tabelle7[[#This Row],[EnuValue]])</f>
        <v>1</v>
      </c>
      <c r="G509" s="44" t="str">
        <f xml:space="preserve"> "  " &amp; Tabelle7[[#This Row],[EnuValue]] &amp; " = " &amp; Tabelle7[[#This Row],[Wert]]</f>
        <v xml:space="preserve">  eleEFSDT_BATTERY = 1</v>
      </c>
      <c r="H509" s="44" t="str">
        <f>"  If Wert = " &amp; Tabelle7[[#This Row],[EnuValue]] &amp; " then Res = ""." &amp; Tabelle7[[#This Row],[EnuRohValue]] &amp; "."""</f>
        <v xml:space="preserve">  If Wert = eleEFSDT_BATTERY then Res = ".BATTERY."</v>
      </c>
      <c r="I509" s="44" t="str">
        <f>"  If wert = ""." &amp; Tabelle7[[#This Row],[EnuRohValue]] &amp; "."" Then Res = " &amp; Tabelle7[[#This Row],[EnuValue]]</f>
        <v xml:space="preserve">  If wert = ".BATTERY." Then Res = eleEFSDT_BATTERY</v>
      </c>
    </row>
    <row r="510" spans="2:9" x14ac:dyDescent="0.25">
      <c r="B510" s="44">
        <v>2</v>
      </c>
      <c r="C510" s="45" t="s">
        <v>1558</v>
      </c>
      <c r="D510" s="44" t="s">
        <v>4106</v>
      </c>
      <c r="E510" s="44" t="str">
        <f>VLOOKUP(Tabelle7[[#This Row],[EnumName]],Enum[[IFC-Name]:[Präfix]],5,FALSE)&amp;Tabelle7[[#This Row],[EnuRohValue]]</f>
        <v>eleEFSDT_CAPACITORBANK</v>
      </c>
      <c r="F510" s="44">
        <f>COUNTIF(Tabelle7[EnuValue],Tabelle7[[#This Row],[EnuValue]])</f>
        <v>1</v>
      </c>
      <c r="G510" s="44" t="str">
        <f xml:space="preserve"> "  " &amp; Tabelle7[[#This Row],[EnuValue]] &amp; " = " &amp; Tabelle7[[#This Row],[Wert]]</f>
        <v xml:space="preserve">  eleEFSDT_CAPACITORBANK = 2</v>
      </c>
      <c r="H510" s="44" t="str">
        <f>"  If Wert = " &amp; Tabelle7[[#This Row],[EnuValue]] &amp; " then Res = ""." &amp; Tabelle7[[#This Row],[EnuRohValue]] &amp; "."""</f>
        <v xml:space="preserve">  If Wert = eleEFSDT_CAPACITORBANK then Res = ".CAPACITORBANK."</v>
      </c>
      <c r="I510" s="44" t="str">
        <f>"  If wert = ""." &amp; Tabelle7[[#This Row],[EnuRohValue]] &amp; "."" Then Res = " &amp; Tabelle7[[#This Row],[EnuValue]]</f>
        <v xml:space="preserve">  If wert = ".CAPACITORBANK." Then Res = eleEFSDT_CAPACITORBANK</v>
      </c>
    </row>
    <row r="511" spans="2:9" x14ac:dyDescent="0.25">
      <c r="B511" s="44">
        <v>3</v>
      </c>
      <c r="C511" s="45" t="s">
        <v>1558</v>
      </c>
      <c r="D511" s="44" t="s">
        <v>4107</v>
      </c>
      <c r="E511" s="44" t="str">
        <f>VLOOKUP(Tabelle7[[#This Row],[EnumName]],Enum[[IFC-Name]:[Präfix]],5,FALSE)&amp;Tabelle7[[#This Row],[EnuRohValue]]</f>
        <v>eleEFSDT_HARMONICFILTER</v>
      </c>
      <c r="F511" s="44">
        <f>COUNTIF(Tabelle7[EnuValue],Tabelle7[[#This Row],[EnuValue]])</f>
        <v>1</v>
      </c>
      <c r="G511" s="44" t="str">
        <f xml:space="preserve"> "  " &amp; Tabelle7[[#This Row],[EnuValue]] &amp; " = " &amp; Tabelle7[[#This Row],[Wert]]</f>
        <v xml:space="preserve">  eleEFSDT_HARMONICFILTER = 3</v>
      </c>
      <c r="H511" s="44" t="str">
        <f>"  If Wert = " &amp; Tabelle7[[#This Row],[EnuValue]] &amp; " then Res = ""." &amp; Tabelle7[[#This Row],[EnuRohValue]] &amp; "."""</f>
        <v xml:space="preserve">  If Wert = eleEFSDT_HARMONICFILTER then Res = ".HARMONICFILTER."</v>
      </c>
      <c r="I511" s="44" t="str">
        <f>"  If wert = ""." &amp; Tabelle7[[#This Row],[EnuRohValue]] &amp; "."" Then Res = " &amp; Tabelle7[[#This Row],[EnuValue]]</f>
        <v xml:space="preserve">  If wert = ".HARMONICFILTER." Then Res = eleEFSDT_HARMONICFILTER</v>
      </c>
    </row>
    <row r="512" spans="2:9" x14ac:dyDescent="0.25">
      <c r="B512" s="44">
        <v>4</v>
      </c>
      <c r="C512" s="45" t="s">
        <v>1558</v>
      </c>
      <c r="D512" s="44" t="s">
        <v>4108</v>
      </c>
      <c r="E512" s="44" t="str">
        <f>VLOOKUP(Tabelle7[[#This Row],[EnumName]],Enum[[IFC-Name]:[Präfix]],5,FALSE)&amp;Tabelle7[[#This Row],[EnuRohValue]]</f>
        <v>eleEFSDT_INDUCTORBANK</v>
      </c>
      <c r="F512" s="44">
        <f>COUNTIF(Tabelle7[EnuValue],Tabelle7[[#This Row],[EnuValue]])</f>
        <v>1</v>
      </c>
      <c r="G512" s="44" t="str">
        <f xml:space="preserve"> "  " &amp; Tabelle7[[#This Row],[EnuValue]] &amp; " = " &amp; Tabelle7[[#This Row],[Wert]]</f>
        <v xml:space="preserve">  eleEFSDT_INDUCTORBANK = 4</v>
      </c>
      <c r="H512" s="44" t="str">
        <f>"  If Wert = " &amp; Tabelle7[[#This Row],[EnuValue]] &amp; " then Res = ""." &amp; Tabelle7[[#This Row],[EnuRohValue]] &amp; "."""</f>
        <v xml:space="preserve">  If Wert = eleEFSDT_INDUCTORBANK then Res = ".INDUCTORBANK."</v>
      </c>
      <c r="I512" s="44" t="str">
        <f>"  If wert = ""." &amp; Tabelle7[[#This Row],[EnuRohValue]] &amp; "."" Then Res = " &amp; Tabelle7[[#This Row],[EnuValue]]</f>
        <v xml:space="preserve">  If wert = ".INDUCTORBANK." Then Res = eleEFSDT_INDUCTORBANK</v>
      </c>
    </row>
    <row r="513" spans="2:9" x14ac:dyDescent="0.25">
      <c r="B513" s="44">
        <v>5</v>
      </c>
      <c r="C513" s="45" t="s">
        <v>1558</v>
      </c>
      <c r="D513" s="44" t="s">
        <v>4109</v>
      </c>
      <c r="E513" s="44" t="str">
        <f>VLOOKUP(Tabelle7[[#This Row],[EnumName]],Enum[[IFC-Name]:[Präfix]],5,FALSE)&amp;Tabelle7[[#This Row],[EnuRohValue]]</f>
        <v>eleEFSDT_UPS</v>
      </c>
      <c r="F513" s="44">
        <f>COUNTIF(Tabelle7[EnuValue],Tabelle7[[#This Row],[EnuValue]])</f>
        <v>1</v>
      </c>
      <c r="G513" s="44" t="str">
        <f xml:space="preserve"> "  " &amp; Tabelle7[[#This Row],[EnuValue]] &amp; " = " &amp; Tabelle7[[#This Row],[Wert]]</f>
        <v xml:space="preserve">  eleEFSDT_UPS = 5</v>
      </c>
      <c r="H513" s="44" t="str">
        <f>"  If Wert = " &amp; Tabelle7[[#This Row],[EnuValue]] &amp; " then Res = ""." &amp; Tabelle7[[#This Row],[EnuRohValue]] &amp; "."""</f>
        <v xml:space="preserve">  If Wert = eleEFSDT_UPS then Res = ".UPS."</v>
      </c>
      <c r="I513" s="44" t="str">
        <f>"  If wert = ""." &amp; Tabelle7[[#This Row],[EnuRohValue]] &amp; "."" Then Res = " &amp; Tabelle7[[#This Row],[EnuValue]]</f>
        <v xml:space="preserve">  If wert = ".UPS." Then Res = eleEFSDT_UPS</v>
      </c>
    </row>
    <row r="514" spans="2:9" x14ac:dyDescent="0.25">
      <c r="B514" s="44">
        <v>6</v>
      </c>
      <c r="C514" s="45" t="s">
        <v>1558</v>
      </c>
      <c r="D514" s="44" t="s">
        <v>3682</v>
      </c>
      <c r="E514" s="44" t="str">
        <f>VLOOKUP(Tabelle7[[#This Row],[EnumName]],Enum[[IFC-Name]:[Präfix]],5,FALSE)&amp;Tabelle7[[#This Row],[EnuRohValue]]</f>
        <v>eleEFSDT_USERDEFINED</v>
      </c>
      <c r="F514" s="44">
        <f>COUNTIF(Tabelle7[EnuValue],Tabelle7[[#This Row],[EnuValue]])</f>
        <v>1</v>
      </c>
      <c r="G514" s="44" t="str">
        <f xml:space="preserve"> "  " &amp; Tabelle7[[#This Row],[EnuValue]] &amp; " = " &amp; Tabelle7[[#This Row],[Wert]]</f>
        <v xml:space="preserve">  eleEFSDT_USERDEFINED = 6</v>
      </c>
      <c r="H514" s="44" t="str">
        <f>"  If Wert = " &amp; Tabelle7[[#This Row],[EnuValue]] &amp; " then Res = ""." &amp; Tabelle7[[#This Row],[EnuRohValue]] &amp; "."""</f>
        <v xml:space="preserve">  If Wert = eleEFSDT_USERDEFINED then Res = ".USERDEFINED."</v>
      </c>
      <c r="I514" s="44" t="str">
        <f>"  If wert = ""." &amp; Tabelle7[[#This Row],[EnuRohValue]] &amp; "."" Then Res = " &amp; Tabelle7[[#This Row],[EnuValue]]</f>
        <v xml:space="preserve">  If wert = ".USERDEFINED." Then Res = eleEFSDT_USERDEFINED</v>
      </c>
    </row>
    <row r="515" spans="2:9" x14ac:dyDescent="0.25">
      <c r="B515" s="44">
        <v>7</v>
      </c>
      <c r="C515" s="45" t="s">
        <v>1558</v>
      </c>
      <c r="D515" s="44" t="s">
        <v>3683</v>
      </c>
      <c r="E515" s="44" t="str">
        <f>VLOOKUP(Tabelle7[[#This Row],[EnumName]],Enum[[IFC-Name]:[Präfix]],5,FALSE)&amp;Tabelle7[[#This Row],[EnuRohValue]]</f>
        <v>eleEFSDT_NOTDEFINED</v>
      </c>
      <c r="F515" s="44">
        <f>COUNTIF(Tabelle7[EnuValue],Tabelle7[[#This Row],[EnuValue]])</f>
        <v>1</v>
      </c>
      <c r="G515" s="44" t="str">
        <f xml:space="preserve"> "  " &amp; Tabelle7[[#This Row],[EnuValue]] &amp; " = " &amp; Tabelle7[[#This Row],[Wert]]</f>
        <v xml:space="preserve">  eleEFSDT_NOTDEFINED = 7</v>
      </c>
      <c r="H515" s="44" t="str">
        <f>"  If Wert = " &amp; Tabelle7[[#This Row],[EnuValue]] &amp; " then Res = ""." &amp; Tabelle7[[#This Row],[EnuRohValue]] &amp; "."""</f>
        <v xml:space="preserve">  If Wert = eleEFSDT_NOTDEFINED then Res = ".NOTDEFINED."</v>
      </c>
      <c r="I515" s="44" t="str">
        <f>"  If wert = ""." &amp; Tabelle7[[#This Row],[EnuRohValue]] &amp; "."" Then Res = " &amp; Tabelle7[[#This Row],[EnuValue]]</f>
        <v xml:space="preserve">  If wert = ".NOTDEFINED." Then Res = eleEFSDT_NOTDEFINED</v>
      </c>
    </row>
    <row r="516" spans="2:9" x14ac:dyDescent="0.25">
      <c r="B516" s="44">
        <v>1</v>
      </c>
      <c r="C516" s="45" t="s">
        <v>1559</v>
      </c>
      <c r="D516" s="44" t="s">
        <v>3682</v>
      </c>
      <c r="E516" s="44" t="str">
        <f>VLOOKUP(Tabelle7[[#This Row],[EnumName]],Enum[[IFC-Name]:[Präfix]],5,FALSE)&amp;Tabelle7[[#This Row],[EnuRohValue]]</f>
        <v>eleEGT_USERDEFINED</v>
      </c>
      <c r="F516" s="44">
        <f>COUNTIF(Tabelle7[EnuValue],Tabelle7[[#This Row],[EnuValue]])</f>
        <v>1</v>
      </c>
      <c r="G516" s="44" t="str">
        <f xml:space="preserve"> "  " &amp; Tabelle7[[#This Row],[EnuValue]] &amp; " = " &amp; Tabelle7[[#This Row],[Wert]]</f>
        <v xml:space="preserve">  eleEGT_USERDEFINED = 1</v>
      </c>
      <c r="H516" s="44" t="str">
        <f>"  If Wert = " &amp; Tabelle7[[#This Row],[EnuValue]] &amp; " then Res = ""." &amp; Tabelle7[[#This Row],[EnuRohValue]] &amp; "."""</f>
        <v xml:space="preserve">  If Wert = eleEGT_USERDEFINED then Res = ".USERDEFINED."</v>
      </c>
      <c r="I516" s="44" t="str">
        <f>"  If wert = ""." &amp; Tabelle7[[#This Row],[EnuRohValue]] &amp; "."" Then Res = " &amp; Tabelle7[[#This Row],[EnuValue]]</f>
        <v xml:space="preserve">  If wert = ".USERDEFINED." Then Res = eleEGT_USERDEFINED</v>
      </c>
    </row>
    <row r="517" spans="2:9" x14ac:dyDescent="0.25">
      <c r="B517" s="44">
        <v>2</v>
      </c>
      <c r="C517" s="45" t="s">
        <v>1559</v>
      </c>
      <c r="D517" s="44" t="s">
        <v>3683</v>
      </c>
      <c r="E517" s="44" t="str">
        <f>VLOOKUP(Tabelle7[[#This Row],[EnumName]],Enum[[IFC-Name]:[Präfix]],5,FALSE)&amp;Tabelle7[[#This Row],[EnuRohValue]]</f>
        <v>eleEGT_NOTDEFINED</v>
      </c>
      <c r="F517" s="44">
        <f>COUNTIF(Tabelle7[EnuValue],Tabelle7[[#This Row],[EnuValue]])</f>
        <v>1</v>
      </c>
      <c r="G517" s="44" t="str">
        <f xml:space="preserve"> "  " &amp; Tabelle7[[#This Row],[EnuValue]] &amp; " = " &amp; Tabelle7[[#This Row],[Wert]]</f>
        <v xml:space="preserve">  eleEGT_NOTDEFINED = 2</v>
      </c>
      <c r="H517" s="44" t="str">
        <f>"  If Wert = " &amp; Tabelle7[[#This Row],[EnuValue]] &amp; " then Res = ""." &amp; Tabelle7[[#This Row],[EnuRohValue]] &amp; "."""</f>
        <v xml:space="preserve">  If Wert = eleEGT_NOTDEFINED then Res = ".NOTDEFINED."</v>
      </c>
      <c r="I517" s="44" t="str">
        <f>"  If wert = ""." &amp; Tabelle7[[#This Row],[EnuRohValue]] &amp; "."" Then Res = " &amp; Tabelle7[[#This Row],[EnuValue]]</f>
        <v xml:space="preserve">  If wert = ".NOTDEFINED." Then Res = eleEGT_NOTDEFINED</v>
      </c>
    </row>
    <row r="518" spans="2:9" x14ac:dyDescent="0.25">
      <c r="B518" s="44">
        <v>1</v>
      </c>
      <c r="C518" s="45" t="s">
        <v>1560</v>
      </c>
      <c r="D518" s="44" t="s">
        <v>4110</v>
      </c>
      <c r="E518" s="44" t="str">
        <f>VLOOKUP(Tabelle7[[#This Row],[EnumName]],Enum[[IFC-Name]:[Präfix]],5,FALSE)&amp;Tabelle7[[#This Row],[EnuRohValue]]</f>
        <v>eleEHT_ELECTRICPOINTHEATER</v>
      </c>
      <c r="F518" s="44">
        <f>COUNTIF(Tabelle7[EnuValue],Tabelle7[[#This Row],[EnuValue]])</f>
        <v>1</v>
      </c>
      <c r="G518" s="44" t="str">
        <f xml:space="preserve"> "  " &amp; Tabelle7[[#This Row],[EnuValue]] &amp; " = " &amp; Tabelle7[[#This Row],[Wert]]</f>
        <v xml:space="preserve">  eleEHT_ELECTRICPOINTHEATER = 1</v>
      </c>
      <c r="H518" s="44" t="str">
        <f>"  If Wert = " &amp; Tabelle7[[#This Row],[EnuValue]] &amp; " then Res = ""." &amp; Tabelle7[[#This Row],[EnuRohValue]] &amp; "."""</f>
        <v xml:space="preserve">  If Wert = eleEHT_ELECTRICPOINTHEATER then Res = ".ELECTRICPOINTHEATER."</v>
      </c>
      <c r="I518" s="44" t="str">
        <f>"  If wert = ""." &amp; Tabelle7[[#This Row],[EnuRohValue]] &amp; "."" Then Res = " &amp; Tabelle7[[#This Row],[EnuValue]]</f>
        <v xml:space="preserve">  If wert = ".ELECTRICPOINTHEATER." Then Res = eleEHT_ELECTRICPOINTHEATER</v>
      </c>
    </row>
    <row r="519" spans="2:9" x14ac:dyDescent="0.25">
      <c r="B519" s="44">
        <v>2</v>
      </c>
      <c r="C519" s="45" t="s">
        <v>1560</v>
      </c>
      <c r="D519" s="44" t="s">
        <v>4111</v>
      </c>
      <c r="E519" s="44" t="str">
        <f>VLOOKUP(Tabelle7[[#This Row],[EnumName]],Enum[[IFC-Name]:[Präfix]],5,FALSE)&amp;Tabelle7[[#This Row],[EnuRohValue]]</f>
        <v>eleEHT_ELECTRICCABLEHEATER</v>
      </c>
      <c r="F519" s="44">
        <f>COUNTIF(Tabelle7[EnuValue],Tabelle7[[#This Row],[EnuValue]])</f>
        <v>1</v>
      </c>
      <c r="G519" s="44" t="str">
        <f xml:space="preserve"> "  " &amp; Tabelle7[[#This Row],[EnuValue]] &amp; " = " &amp; Tabelle7[[#This Row],[Wert]]</f>
        <v xml:space="preserve">  eleEHT_ELECTRICCABLEHEATER = 2</v>
      </c>
      <c r="H519" s="44" t="str">
        <f>"  If Wert = " &amp; Tabelle7[[#This Row],[EnuValue]] &amp; " then Res = ""." &amp; Tabelle7[[#This Row],[EnuRohValue]] &amp; "."""</f>
        <v xml:space="preserve">  If Wert = eleEHT_ELECTRICCABLEHEATER then Res = ".ELECTRICCABLEHEATER."</v>
      </c>
      <c r="I519" s="44" t="str">
        <f>"  If wert = ""." &amp; Tabelle7[[#This Row],[EnuRohValue]] &amp; "."" Then Res = " &amp; Tabelle7[[#This Row],[EnuValue]]</f>
        <v xml:space="preserve">  If wert = ".ELECTRICCABLEHEATER." Then Res = eleEHT_ELECTRICCABLEHEATER</v>
      </c>
    </row>
    <row r="520" spans="2:9" x14ac:dyDescent="0.25">
      <c r="B520" s="44">
        <v>3</v>
      </c>
      <c r="C520" s="45" t="s">
        <v>1560</v>
      </c>
      <c r="D520" s="44" t="s">
        <v>4112</v>
      </c>
      <c r="E520" s="44" t="str">
        <f>VLOOKUP(Tabelle7[[#This Row],[EnumName]],Enum[[IFC-Name]:[Präfix]],5,FALSE)&amp;Tabelle7[[#This Row],[EnuRohValue]]</f>
        <v>eleEHT_ELECTRICMATHEATER</v>
      </c>
      <c r="F520" s="44">
        <f>COUNTIF(Tabelle7[EnuValue],Tabelle7[[#This Row],[EnuValue]])</f>
        <v>1</v>
      </c>
      <c r="G520" s="44" t="str">
        <f xml:space="preserve"> "  " &amp; Tabelle7[[#This Row],[EnuValue]] &amp; " = " &amp; Tabelle7[[#This Row],[Wert]]</f>
        <v xml:space="preserve">  eleEHT_ELECTRICMATHEATER = 3</v>
      </c>
      <c r="H520" s="44" t="str">
        <f>"  If Wert = " &amp; Tabelle7[[#This Row],[EnuValue]] &amp; " then Res = ""." &amp; Tabelle7[[#This Row],[EnuRohValue]] &amp; "."""</f>
        <v xml:space="preserve">  If Wert = eleEHT_ELECTRICMATHEATER then Res = ".ELECTRICMATHEATER."</v>
      </c>
      <c r="I520" s="44" t="str">
        <f>"  If wert = ""." &amp; Tabelle7[[#This Row],[EnuRohValue]] &amp; "."" Then Res = " &amp; Tabelle7[[#This Row],[EnuValue]]</f>
        <v xml:space="preserve">  If wert = ".ELECTRICMATHEATER." Then Res = eleEHT_ELECTRICMATHEATER</v>
      </c>
    </row>
    <row r="521" spans="2:9" x14ac:dyDescent="0.25">
      <c r="B521" s="44">
        <v>4</v>
      </c>
      <c r="C521" s="45" t="s">
        <v>1560</v>
      </c>
      <c r="D521" s="44" t="s">
        <v>3682</v>
      </c>
      <c r="E521" s="44" t="str">
        <f>VLOOKUP(Tabelle7[[#This Row],[EnumName]],Enum[[IFC-Name]:[Präfix]],5,FALSE)&amp;Tabelle7[[#This Row],[EnuRohValue]]</f>
        <v>eleEHT_USERDEFINED</v>
      </c>
      <c r="F521" s="44">
        <f>COUNTIF(Tabelle7[EnuValue],Tabelle7[[#This Row],[EnuValue]])</f>
        <v>1</v>
      </c>
      <c r="G521" s="44" t="str">
        <f xml:space="preserve"> "  " &amp; Tabelle7[[#This Row],[EnuValue]] &amp; " = " &amp; Tabelle7[[#This Row],[Wert]]</f>
        <v xml:space="preserve">  eleEHT_USERDEFINED = 4</v>
      </c>
      <c r="H521" s="44" t="str">
        <f>"  If Wert = " &amp; Tabelle7[[#This Row],[EnuValue]] &amp; " then Res = ""." &amp; Tabelle7[[#This Row],[EnuRohValue]] &amp; "."""</f>
        <v xml:space="preserve">  If Wert = eleEHT_USERDEFINED then Res = ".USERDEFINED."</v>
      </c>
      <c r="I521" s="44" t="str">
        <f>"  If wert = ""." &amp; Tabelle7[[#This Row],[EnuRohValue]] &amp; "."" Then Res = " &amp; Tabelle7[[#This Row],[EnuValue]]</f>
        <v xml:space="preserve">  If wert = ".USERDEFINED." Then Res = eleEHT_USERDEFINED</v>
      </c>
    </row>
    <row r="522" spans="2:9" x14ac:dyDescent="0.25">
      <c r="B522" s="44">
        <v>5</v>
      </c>
      <c r="C522" s="45" t="s">
        <v>1560</v>
      </c>
      <c r="D522" s="44" t="s">
        <v>3683</v>
      </c>
      <c r="E522" s="44" t="str">
        <f>VLOOKUP(Tabelle7[[#This Row],[EnumName]],Enum[[IFC-Name]:[Präfix]],5,FALSE)&amp;Tabelle7[[#This Row],[EnuRohValue]]</f>
        <v>eleEHT_NOTDEFINED</v>
      </c>
      <c r="F522" s="44">
        <f>COUNTIF(Tabelle7[EnuValue],Tabelle7[[#This Row],[EnuValue]])</f>
        <v>1</v>
      </c>
      <c r="G522" s="44" t="str">
        <f xml:space="preserve"> "  " &amp; Tabelle7[[#This Row],[EnuValue]] &amp; " = " &amp; Tabelle7[[#This Row],[Wert]]</f>
        <v xml:space="preserve">  eleEHT_NOTDEFINED = 5</v>
      </c>
      <c r="H522" s="44" t="str">
        <f>"  If Wert = " &amp; Tabelle7[[#This Row],[EnuValue]] &amp; " then Res = ""." &amp; Tabelle7[[#This Row],[EnuRohValue]] &amp; "."""</f>
        <v xml:space="preserve">  If Wert = eleEHT_NOTDEFINED then Res = ".NOTDEFINED."</v>
      </c>
      <c r="I522" s="44" t="str">
        <f>"  If wert = ""." &amp; Tabelle7[[#This Row],[EnuRohValue]] &amp; "."" Then Res = " &amp; Tabelle7[[#This Row],[EnuValue]]</f>
        <v xml:space="preserve">  If wert = ".NOTDEFINED." Then Res = eleEHT_NOTDEFINED</v>
      </c>
    </row>
    <row r="523" spans="2:9" x14ac:dyDescent="0.25">
      <c r="B523" s="44">
        <v>1</v>
      </c>
      <c r="C523" s="45" t="s">
        <v>1561</v>
      </c>
      <c r="D523" s="44" t="s">
        <v>4113</v>
      </c>
      <c r="E523" s="44" t="str">
        <f>VLOOKUP(Tabelle7[[#This Row],[EnumName]],Enum[[IFC-Name]:[Präfix]],5,FALSE)&amp;Tabelle7[[#This Row],[EnuRohValue]]</f>
        <v>eleEMT_DC</v>
      </c>
      <c r="F523" s="44">
        <f>COUNTIF(Tabelle7[EnuValue],Tabelle7[[#This Row],[EnuValue]])</f>
        <v>1</v>
      </c>
      <c r="G523" s="44" t="str">
        <f xml:space="preserve"> "  " &amp; Tabelle7[[#This Row],[EnuValue]] &amp; " = " &amp; Tabelle7[[#This Row],[Wert]]</f>
        <v xml:space="preserve">  eleEMT_DC = 1</v>
      </c>
      <c r="H523" s="44" t="str">
        <f>"  If Wert = " &amp; Tabelle7[[#This Row],[EnuValue]] &amp; " then Res = ""." &amp; Tabelle7[[#This Row],[EnuRohValue]] &amp; "."""</f>
        <v xml:space="preserve">  If Wert = eleEMT_DC then Res = ".DC."</v>
      </c>
      <c r="I523" s="44" t="str">
        <f>"  If wert = ""." &amp; Tabelle7[[#This Row],[EnuRohValue]] &amp; "."" Then Res = " &amp; Tabelle7[[#This Row],[EnuValue]]</f>
        <v xml:space="preserve">  If wert = ".DC." Then Res = eleEMT_DC</v>
      </c>
    </row>
    <row r="524" spans="2:9" x14ac:dyDescent="0.25">
      <c r="B524" s="44">
        <v>2</v>
      </c>
      <c r="C524" s="45" t="s">
        <v>1561</v>
      </c>
      <c r="D524" s="44" t="s">
        <v>4114</v>
      </c>
      <c r="E524" s="44" t="str">
        <f>VLOOKUP(Tabelle7[[#This Row],[EnumName]],Enum[[IFC-Name]:[Präfix]],5,FALSE)&amp;Tabelle7[[#This Row],[EnuRohValue]]</f>
        <v>eleEMT_INDUCTION</v>
      </c>
      <c r="F524" s="44">
        <f>COUNTIF(Tabelle7[EnuValue],Tabelle7[[#This Row],[EnuValue]])</f>
        <v>1</v>
      </c>
      <c r="G524" s="44" t="str">
        <f xml:space="preserve"> "  " &amp; Tabelle7[[#This Row],[EnuValue]] &amp; " = " &amp; Tabelle7[[#This Row],[Wert]]</f>
        <v xml:space="preserve">  eleEMT_INDUCTION = 2</v>
      </c>
      <c r="H524" s="44" t="str">
        <f>"  If Wert = " &amp; Tabelle7[[#This Row],[EnuValue]] &amp; " then Res = ""." &amp; Tabelle7[[#This Row],[EnuRohValue]] &amp; "."""</f>
        <v xml:space="preserve">  If Wert = eleEMT_INDUCTION then Res = ".INDUCTION."</v>
      </c>
      <c r="I524" s="44" t="str">
        <f>"  If wert = ""." &amp; Tabelle7[[#This Row],[EnuRohValue]] &amp; "."" Then Res = " &amp; Tabelle7[[#This Row],[EnuValue]]</f>
        <v xml:space="preserve">  If wert = ".INDUCTION." Then Res = eleEMT_INDUCTION</v>
      </c>
    </row>
    <row r="525" spans="2:9" x14ac:dyDescent="0.25">
      <c r="B525" s="44">
        <v>3</v>
      </c>
      <c r="C525" s="45" t="s">
        <v>1561</v>
      </c>
      <c r="D525" s="44" t="s">
        <v>4115</v>
      </c>
      <c r="E525" s="44" t="str">
        <f>VLOOKUP(Tabelle7[[#This Row],[EnumName]],Enum[[IFC-Name]:[Präfix]],5,FALSE)&amp;Tabelle7[[#This Row],[EnuRohValue]]</f>
        <v>eleEMT_POLYPHASE</v>
      </c>
      <c r="F525" s="44">
        <f>COUNTIF(Tabelle7[EnuValue],Tabelle7[[#This Row],[EnuValue]])</f>
        <v>1</v>
      </c>
      <c r="G525" s="44" t="str">
        <f xml:space="preserve"> "  " &amp; Tabelle7[[#This Row],[EnuValue]] &amp; " = " &amp; Tabelle7[[#This Row],[Wert]]</f>
        <v xml:space="preserve">  eleEMT_POLYPHASE = 3</v>
      </c>
      <c r="H525" s="44" t="str">
        <f>"  If Wert = " &amp; Tabelle7[[#This Row],[EnuValue]] &amp; " then Res = ""." &amp; Tabelle7[[#This Row],[EnuRohValue]] &amp; "."""</f>
        <v xml:space="preserve">  If Wert = eleEMT_POLYPHASE then Res = ".POLYPHASE."</v>
      </c>
      <c r="I525" s="44" t="str">
        <f>"  If wert = ""." &amp; Tabelle7[[#This Row],[EnuRohValue]] &amp; "."" Then Res = " &amp; Tabelle7[[#This Row],[EnuValue]]</f>
        <v xml:space="preserve">  If wert = ".POLYPHASE." Then Res = eleEMT_POLYPHASE</v>
      </c>
    </row>
    <row r="526" spans="2:9" x14ac:dyDescent="0.25">
      <c r="B526" s="44">
        <v>4</v>
      </c>
      <c r="C526" s="45" t="s">
        <v>1561</v>
      </c>
      <c r="D526" s="44" t="s">
        <v>4116</v>
      </c>
      <c r="E526" s="44" t="str">
        <f>VLOOKUP(Tabelle7[[#This Row],[EnumName]],Enum[[IFC-Name]:[Präfix]],5,FALSE)&amp;Tabelle7[[#This Row],[EnuRohValue]]</f>
        <v>eleEMT_RELUCTANCESYNCHRONOUS</v>
      </c>
      <c r="F526" s="44">
        <f>COUNTIF(Tabelle7[EnuValue],Tabelle7[[#This Row],[EnuValue]])</f>
        <v>1</v>
      </c>
      <c r="G526" s="44" t="str">
        <f xml:space="preserve"> "  " &amp; Tabelle7[[#This Row],[EnuValue]] &amp; " = " &amp; Tabelle7[[#This Row],[Wert]]</f>
        <v xml:space="preserve">  eleEMT_RELUCTANCESYNCHRONOUS = 4</v>
      </c>
      <c r="H526" s="44" t="str">
        <f>"  If Wert = " &amp; Tabelle7[[#This Row],[EnuValue]] &amp; " then Res = ""." &amp; Tabelle7[[#This Row],[EnuRohValue]] &amp; "."""</f>
        <v xml:space="preserve">  If Wert = eleEMT_RELUCTANCESYNCHRONOUS then Res = ".RELUCTANCESYNCHRONOUS."</v>
      </c>
      <c r="I526" s="44" t="str">
        <f>"  If wert = ""." &amp; Tabelle7[[#This Row],[EnuRohValue]] &amp; "."" Then Res = " &amp; Tabelle7[[#This Row],[EnuValue]]</f>
        <v xml:space="preserve">  If wert = ".RELUCTANCESYNCHRONOUS." Then Res = eleEMT_RELUCTANCESYNCHRONOUS</v>
      </c>
    </row>
    <row r="527" spans="2:9" x14ac:dyDescent="0.25">
      <c r="B527" s="44">
        <v>5</v>
      </c>
      <c r="C527" s="45" t="s">
        <v>1561</v>
      </c>
      <c r="D527" s="44" t="s">
        <v>4117</v>
      </c>
      <c r="E527" s="44" t="str">
        <f>VLOOKUP(Tabelle7[[#This Row],[EnumName]],Enum[[IFC-Name]:[Präfix]],5,FALSE)&amp;Tabelle7[[#This Row],[EnuRohValue]]</f>
        <v>eleEMT_SYNCHRONOUS</v>
      </c>
      <c r="F527" s="44">
        <f>COUNTIF(Tabelle7[EnuValue],Tabelle7[[#This Row],[EnuValue]])</f>
        <v>1</v>
      </c>
      <c r="G527" s="44" t="str">
        <f xml:space="preserve"> "  " &amp; Tabelle7[[#This Row],[EnuValue]] &amp; " = " &amp; Tabelle7[[#This Row],[Wert]]</f>
        <v xml:space="preserve">  eleEMT_SYNCHRONOUS = 5</v>
      </c>
      <c r="H527" s="44" t="str">
        <f>"  If Wert = " &amp; Tabelle7[[#This Row],[EnuValue]] &amp; " then Res = ""." &amp; Tabelle7[[#This Row],[EnuRohValue]] &amp; "."""</f>
        <v xml:space="preserve">  If Wert = eleEMT_SYNCHRONOUS then Res = ".SYNCHRONOUS."</v>
      </c>
      <c r="I527" s="44" t="str">
        <f>"  If wert = ""." &amp; Tabelle7[[#This Row],[EnuRohValue]] &amp; "."" Then Res = " &amp; Tabelle7[[#This Row],[EnuValue]]</f>
        <v xml:space="preserve">  If wert = ".SYNCHRONOUS." Then Res = eleEMT_SYNCHRONOUS</v>
      </c>
    </row>
    <row r="528" spans="2:9" x14ac:dyDescent="0.25">
      <c r="B528" s="44">
        <v>6</v>
      </c>
      <c r="C528" s="45" t="s">
        <v>1561</v>
      </c>
      <c r="D528" s="44" t="s">
        <v>3682</v>
      </c>
      <c r="E528" s="44" t="str">
        <f>VLOOKUP(Tabelle7[[#This Row],[EnumName]],Enum[[IFC-Name]:[Präfix]],5,FALSE)&amp;Tabelle7[[#This Row],[EnuRohValue]]</f>
        <v>eleEMT_USERDEFINED</v>
      </c>
      <c r="F528" s="44">
        <f>COUNTIF(Tabelle7[EnuValue],Tabelle7[[#This Row],[EnuValue]])</f>
        <v>1</v>
      </c>
      <c r="G528" s="44" t="str">
        <f xml:space="preserve"> "  " &amp; Tabelle7[[#This Row],[EnuValue]] &amp; " = " &amp; Tabelle7[[#This Row],[Wert]]</f>
        <v xml:space="preserve">  eleEMT_USERDEFINED = 6</v>
      </c>
      <c r="H528" s="44" t="str">
        <f>"  If Wert = " &amp; Tabelle7[[#This Row],[EnuValue]] &amp; " then Res = ""." &amp; Tabelle7[[#This Row],[EnuRohValue]] &amp; "."""</f>
        <v xml:space="preserve">  If Wert = eleEMT_USERDEFINED then Res = ".USERDEFINED."</v>
      </c>
      <c r="I528" s="44" t="str">
        <f>"  If wert = ""." &amp; Tabelle7[[#This Row],[EnuRohValue]] &amp; "."" Then Res = " &amp; Tabelle7[[#This Row],[EnuValue]]</f>
        <v xml:space="preserve">  If wert = ".USERDEFINED." Then Res = eleEMT_USERDEFINED</v>
      </c>
    </row>
    <row r="529" spans="2:9" x14ac:dyDescent="0.25">
      <c r="B529" s="44">
        <v>7</v>
      </c>
      <c r="C529" s="45" t="s">
        <v>1561</v>
      </c>
      <c r="D529" s="44" t="s">
        <v>3683</v>
      </c>
      <c r="E529" s="44" t="str">
        <f>VLOOKUP(Tabelle7[[#This Row],[EnumName]],Enum[[IFC-Name]:[Präfix]],5,FALSE)&amp;Tabelle7[[#This Row],[EnuRohValue]]</f>
        <v>eleEMT_NOTDEFINED</v>
      </c>
      <c r="F529" s="44">
        <f>COUNTIF(Tabelle7[EnuValue],Tabelle7[[#This Row],[EnuValue]])</f>
        <v>1</v>
      </c>
      <c r="G529" s="44" t="str">
        <f xml:space="preserve"> "  " &amp; Tabelle7[[#This Row],[EnuValue]] &amp; " = " &amp; Tabelle7[[#This Row],[Wert]]</f>
        <v xml:space="preserve">  eleEMT_NOTDEFINED = 7</v>
      </c>
      <c r="H529" s="44" t="str">
        <f>"  If Wert = " &amp; Tabelle7[[#This Row],[EnuValue]] &amp; " then Res = ""." &amp; Tabelle7[[#This Row],[EnuRohValue]] &amp; "."""</f>
        <v xml:space="preserve">  If Wert = eleEMT_NOTDEFINED then Res = ".NOTDEFINED."</v>
      </c>
      <c r="I529" s="44" t="str">
        <f>"  If wert = ""." &amp; Tabelle7[[#This Row],[EnuRohValue]] &amp; "."" Then Res = " &amp; Tabelle7[[#This Row],[EnuValue]]</f>
        <v xml:space="preserve">  If wert = ".NOTDEFINED." Then Res = eleEMT_NOTDEFINED</v>
      </c>
    </row>
    <row r="530" spans="2:9" x14ac:dyDescent="0.25">
      <c r="B530" s="44">
        <v>1</v>
      </c>
      <c r="C530" s="45" t="s">
        <v>1562</v>
      </c>
      <c r="D530" s="44" t="s">
        <v>4118</v>
      </c>
      <c r="E530" s="44" t="str">
        <f>VLOOKUP(Tabelle7[[#This Row],[EnumName]],Enum[[IFC-Name]:[Präfix]],5,FALSE)&amp;Tabelle7[[#This Row],[EnuRohValue]]</f>
        <v>eleETCT_TIMECLOCK</v>
      </c>
      <c r="F530" s="44">
        <f>COUNTIF(Tabelle7[EnuValue],Tabelle7[[#This Row],[EnuValue]])</f>
        <v>1</v>
      </c>
      <c r="G530" s="44" t="str">
        <f xml:space="preserve"> "  " &amp; Tabelle7[[#This Row],[EnuValue]] &amp; " = " &amp; Tabelle7[[#This Row],[Wert]]</f>
        <v xml:space="preserve">  eleETCT_TIMECLOCK = 1</v>
      </c>
      <c r="H530" s="44" t="str">
        <f>"  If Wert = " &amp; Tabelle7[[#This Row],[EnuValue]] &amp; " then Res = ""." &amp; Tabelle7[[#This Row],[EnuRohValue]] &amp; "."""</f>
        <v xml:space="preserve">  If Wert = eleETCT_TIMECLOCK then Res = ".TIMECLOCK."</v>
      </c>
      <c r="I530" s="44" t="str">
        <f>"  If wert = ""." &amp; Tabelle7[[#This Row],[EnuRohValue]] &amp; "."" Then Res = " &amp; Tabelle7[[#This Row],[EnuValue]]</f>
        <v xml:space="preserve">  If wert = ".TIMECLOCK." Then Res = eleETCT_TIMECLOCK</v>
      </c>
    </row>
    <row r="531" spans="2:9" x14ac:dyDescent="0.25">
      <c r="B531" s="44">
        <v>2</v>
      </c>
      <c r="C531" s="45" t="s">
        <v>1562</v>
      </c>
      <c r="D531" s="44" t="s">
        <v>4119</v>
      </c>
      <c r="E531" s="44" t="str">
        <f>VLOOKUP(Tabelle7[[#This Row],[EnumName]],Enum[[IFC-Name]:[Präfix]],5,FALSE)&amp;Tabelle7[[#This Row],[EnuRohValue]]</f>
        <v>eleETCT_TIMEDELAY</v>
      </c>
      <c r="F531" s="44">
        <f>COUNTIF(Tabelle7[EnuValue],Tabelle7[[#This Row],[EnuValue]])</f>
        <v>1</v>
      </c>
      <c r="G531" s="44" t="str">
        <f xml:space="preserve"> "  " &amp; Tabelle7[[#This Row],[EnuValue]] &amp; " = " &amp; Tabelle7[[#This Row],[Wert]]</f>
        <v xml:space="preserve">  eleETCT_TIMEDELAY = 2</v>
      </c>
      <c r="H531" s="44" t="str">
        <f>"  If Wert = " &amp; Tabelle7[[#This Row],[EnuValue]] &amp; " then Res = ""." &amp; Tabelle7[[#This Row],[EnuRohValue]] &amp; "."""</f>
        <v xml:space="preserve">  If Wert = eleETCT_TIMEDELAY then Res = ".TIMEDELAY."</v>
      </c>
      <c r="I531" s="44" t="str">
        <f>"  If wert = ""." &amp; Tabelle7[[#This Row],[EnuRohValue]] &amp; "."" Then Res = " &amp; Tabelle7[[#This Row],[EnuValue]]</f>
        <v xml:space="preserve">  If wert = ".TIMEDELAY." Then Res = eleETCT_TIMEDELAY</v>
      </c>
    </row>
    <row r="532" spans="2:9" x14ac:dyDescent="0.25">
      <c r="B532" s="44">
        <v>3</v>
      </c>
      <c r="C532" s="45" t="s">
        <v>1562</v>
      </c>
      <c r="D532" s="44" t="s">
        <v>4120</v>
      </c>
      <c r="E532" s="44" t="str">
        <f>VLOOKUP(Tabelle7[[#This Row],[EnumName]],Enum[[IFC-Name]:[Präfix]],5,FALSE)&amp;Tabelle7[[#This Row],[EnuRohValue]]</f>
        <v>eleETCT_RELAY</v>
      </c>
      <c r="F532" s="44">
        <f>COUNTIF(Tabelle7[EnuValue],Tabelle7[[#This Row],[EnuValue]])</f>
        <v>1</v>
      </c>
      <c r="G532" s="44" t="str">
        <f xml:space="preserve"> "  " &amp; Tabelle7[[#This Row],[EnuValue]] &amp; " = " &amp; Tabelle7[[#This Row],[Wert]]</f>
        <v xml:space="preserve">  eleETCT_RELAY = 3</v>
      </c>
      <c r="H532" s="44" t="str">
        <f>"  If Wert = " &amp; Tabelle7[[#This Row],[EnuValue]] &amp; " then Res = ""." &amp; Tabelle7[[#This Row],[EnuRohValue]] &amp; "."""</f>
        <v xml:space="preserve">  If Wert = eleETCT_RELAY then Res = ".RELAY."</v>
      </c>
      <c r="I532" s="44" t="str">
        <f>"  If wert = ""." &amp; Tabelle7[[#This Row],[EnuRohValue]] &amp; "."" Then Res = " &amp; Tabelle7[[#This Row],[EnuValue]]</f>
        <v xml:space="preserve">  If wert = ".RELAY." Then Res = eleETCT_RELAY</v>
      </c>
    </row>
    <row r="533" spans="2:9" x14ac:dyDescent="0.25">
      <c r="B533" s="44">
        <v>4</v>
      </c>
      <c r="C533" s="45" t="s">
        <v>1562</v>
      </c>
      <c r="D533" s="44" t="s">
        <v>3682</v>
      </c>
      <c r="E533" s="44" t="str">
        <f>VLOOKUP(Tabelle7[[#This Row],[EnumName]],Enum[[IFC-Name]:[Präfix]],5,FALSE)&amp;Tabelle7[[#This Row],[EnuRohValue]]</f>
        <v>eleETCT_USERDEFINED</v>
      </c>
      <c r="F533" s="44">
        <f>COUNTIF(Tabelle7[EnuValue],Tabelle7[[#This Row],[EnuValue]])</f>
        <v>1</v>
      </c>
      <c r="G533" s="44" t="str">
        <f xml:space="preserve"> "  " &amp; Tabelle7[[#This Row],[EnuValue]] &amp; " = " &amp; Tabelle7[[#This Row],[Wert]]</f>
        <v xml:space="preserve">  eleETCT_USERDEFINED = 4</v>
      </c>
      <c r="H533" s="44" t="str">
        <f>"  If Wert = " &amp; Tabelle7[[#This Row],[EnuValue]] &amp; " then Res = ""." &amp; Tabelle7[[#This Row],[EnuRohValue]] &amp; "."""</f>
        <v xml:space="preserve">  If Wert = eleETCT_USERDEFINED then Res = ".USERDEFINED."</v>
      </c>
      <c r="I533" s="44" t="str">
        <f>"  If wert = ""." &amp; Tabelle7[[#This Row],[EnuRohValue]] &amp; "."" Then Res = " &amp; Tabelle7[[#This Row],[EnuValue]]</f>
        <v xml:space="preserve">  If wert = ".USERDEFINED." Then Res = eleETCT_USERDEFINED</v>
      </c>
    </row>
    <row r="534" spans="2:9" x14ac:dyDescent="0.25">
      <c r="B534" s="44">
        <v>5</v>
      </c>
      <c r="C534" s="45" t="s">
        <v>1562</v>
      </c>
      <c r="D534" s="44" t="s">
        <v>3683</v>
      </c>
      <c r="E534" s="44" t="str">
        <f>VLOOKUP(Tabelle7[[#This Row],[EnumName]],Enum[[IFC-Name]:[Präfix]],5,FALSE)&amp;Tabelle7[[#This Row],[EnuRohValue]]</f>
        <v>eleETCT_NOTDEFINED</v>
      </c>
      <c r="F534" s="44">
        <f>COUNTIF(Tabelle7[EnuValue],Tabelle7[[#This Row],[EnuValue]])</f>
        <v>1</v>
      </c>
      <c r="G534" s="44" t="str">
        <f xml:space="preserve"> "  " &amp; Tabelle7[[#This Row],[EnuValue]] &amp; " = " &amp; Tabelle7[[#This Row],[Wert]]</f>
        <v xml:space="preserve">  eleETCT_NOTDEFINED = 5</v>
      </c>
      <c r="H534" s="44" t="str">
        <f>"  If Wert = " &amp; Tabelle7[[#This Row],[EnuValue]] &amp; " then Res = ""." &amp; Tabelle7[[#This Row],[EnuRohValue]] &amp; "."""</f>
        <v xml:space="preserve">  If Wert = eleETCT_NOTDEFINED then Res = ".NOTDEFINED."</v>
      </c>
      <c r="I534" s="44" t="str">
        <f>"  If wert = ""." &amp; Tabelle7[[#This Row],[EnuRohValue]] &amp; "."" Then Res = " &amp; Tabelle7[[#This Row],[EnuValue]]</f>
        <v xml:space="preserve">  If wert = ".NOTDEFINED." Then Res = eleETCT_NOTDEFINED</v>
      </c>
    </row>
    <row r="535" spans="2:9" x14ac:dyDescent="0.25">
      <c r="B535" s="44">
        <v>1</v>
      </c>
      <c r="C535" s="45" t="s">
        <v>1563</v>
      </c>
      <c r="D535" s="44" t="s">
        <v>4121</v>
      </c>
      <c r="E535" s="44" t="str">
        <f>VLOOKUP(Tabelle7[[#This Row],[EnumName]],Enum[[IFC-Name]:[Präfix]],5,FALSE)&amp;Tabelle7[[#This Row],[EnuRohValue]]</f>
        <v>pocEAT_ACCESSORY_ASSEMBLY</v>
      </c>
      <c r="F535" s="44">
        <f>COUNTIF(Tabelle7[EnuValue],Tabelle7[[#This Row],[EnuValue]])</f>
        <v>1</v>
      </c>
      <c r="G535" s="44" t="str">
        <f xml:space="preserve"> "  " &amp; Tabelle7[[#This Row],[EnuValue]] &amp; " = " &amp; Tabelle7[[#This Row],[Wert]]</f>
        <v xml:space="preserve">  pocEAT_ACCESSORY_ASSEMBLY = 1</v>
      </c>
      <c r="H535" s="44" t="str">
        <f>"  If Wert = " &amp; Tabelle7[[#This Row],[EnuValue]] &amp; " then Res = ""." &amp; Tabelle7[[#This Row],[EnuRohValue]] &amp; "."""</f>
        <v xml:space="preserve">  If Wert = pocEAT_ACCESSORY_ASSEMBLY then Res = ".ACCESSORY_ASSEMBLY."</v>
      </c>
      <c r="I535" s="44" t="str">
        <f>"  If wert = ""." &amp; Tabelle7[[#This Row],[EnuRohValue]] &amp; "."" Then Res = " &amp; Tabelle7[[#This Row],[EnuValue]]</f>
        <v xml:space="preserve">  If wert = ".ACCESSORY_ASSEMBLY." Then Res = pocEAT_ACCESSORY_ASSEMBLY</v>
      </c>
    </row>
    <row r="536" spans="2:9" x14ac:dyDescent="0.25">
      <c r="B536" s="44">
        <v>2</v>
      </c>
      <c r="C536" s="45" t="s">
        <v>1563</v>
      </c>
      <c r="D536" s="44" t="s">
        <v>4122</v>
      </c>
      <c r="E536" s="44" t="str">
        <f>VLOOKUP(Tabelle7[[#This Row],[EnumName]],Enum[[IFC-Name]:[Präfix]],5,FALSE)&amp;Tabelle7[[#This Row],[EnuRohValue]]</f>
        <v>pocEAT_ARCH</v>
      </c>
      <c r="F536" s="44">
        <f>COUNTIF(Tabelle7[EnuValue],Tabelle7[[#This Row],[EnuValue]])</f>
        <v>1</v>
      </c>
      <c r="G536" s="44" t="str">
        <f xml:space="preserve"> "  " &amp; Tabelle7[[#This Row],[EnuValue]] &amp; " = " &amp; Tabelle7[[#This Row],[Wert]]</f>
        <v xml:space="preserve">  pocEAT_ARCH = 2</v>
      </c>
      <c r="H536" s="44" t="str">
        <f>"  If Wert = " &amp; Tabelle7[[#This Row],[EnuValue]] &amp; " then Res = ""." &amp; Tabelle7[[#This Row],[EnuRohValue]] &amp; "."""</f>
        <v xml:space="preserve">  If Wert = pocEAT_ARCH then Res = ".ARCH."</v>
      </c>
      <c r="I536" s="44" t="str">
        <f>"  If wert = ""." &amp; Tabelle7[[#This Row],[EnuRohValue]] &amp; "."" Then Res = " &amp; Tabelle7[[#This Row],[EnuValue]]</f>
        <v xml:space="preserve">  If wert = ".ARCH." Then Res = pocEAT_ARCH</v>
      </c>
    </row>
    <row r="537" spans="2:9" x14ac:dyDescent="0.25">
      <c r="B537" s="44">
        <v>3</v>
      </c>
      <c r="C537" s="45" t="s">
        <v>1563</v>
      </c>
      <c r="D537" s="44" t="s">
        <v>4123</v>
      </c>
      <c r="E537" s="44" t="str">
        <f>VLOOKUP(Tabelle7[[#This Row],[EnumName]],Enum[[IFC-Name]:[Präfix]],5,FALSE)&amp;Tabelle7[[#This Row],[EnuRohValue]]</f>
        <v>pocEAT_BEAM_GRID</v>
      </c>
      <c r="F537" s="44">
        <f>COUNTIF(Tabelle7[EnuValue],Tabelle7[[#This Row],[EnuValue]])</f>
        <v>1</v>
      </c>
      <c r="G537" s="44" t="str">
        <f xml:space="preserve"> "  " &amp; Tabelle7[[#This Row],[EnuValue]] &amp; " = " &amp; Tabelle7[[#This Row],[Wert]]</f>
        <v xml:space="preserve">  pocEAT_BEAM_GRID = 3</v>
      </c>
      <c r="H537" s="44" t="str">
        <f>"  If Wert = " &amp; Tabelle7[[#This Row],[EnuValue]] &amp; " then Res = ""." &amp; Tabelle7[[#This Row],[EnuRohValue]] &amp; "."""</f>
        <v xml:space="preserve">  If Wert = pocEAT_BEAM_GRID then Res = ".BEAM_GRID."</v>
      </c>
      <c r="I537" s="44" t="str">
        <f>"  If wert = ""." &amp; Tabelle7[[#This Row],[EnuRohValue]] &amp; "."" Then Res = " &amp; Tabelle7[[#This Row],[EnuValue]]</f>
        <v xml:space="preserve">  If wert = ".BEAM_GRID." Then Res = pocEAT_BEAM_GRID</v>
      </c>
    </row>
    <row r="538" spans="2:9" x14ac:dyDescent="0.25">
      <c r="B538" s="44">
        <v>4</v>
      </c>
      <c r="C538" s="45" t="s">
        <v>1563</v>
      </c>
      <c r="D538" s="44" t="s">
        <v>4124</v>
      </c>
      <c r="E538" s="44" t="str">
        <f>VLOOKUP(Tabelle7[[#This Row],[EnumName]],Enum[[IFC-Name]:[Präfix]],5,FALSE)&amp;Tabelle7[[#This Row],[EnuRohValue]]</f>
        <v>pocEAT_BRACED_FRAME</v>
      </c>
      <c r="F538" s="44">
        <f>COUNTIF(Tabelle7[EnuValue],Tabelle7[[#This Row],[EnuValue]])</f>
        <v>1</v>
      </c>
      <c r="G538" s="44" t="str">
        <f xml:space="preserve"> "  " &amp; Tabelle7[[#This Row],[EnuValue]] &amp; " = " &amp; Tabelle7[[#This Row],[Wert]]</f>
        <v xml:space="preserve">  pocEAT_BRACED_FRAME = 4</v>
      </c>
      <c r="H538" s="44" t="str">
        <f>"  If Wert = " &amp; Tabelle7[[#This Row],[EnuValue]] &amp; " then Res = ""." &amp; Tabelle7[[#This Row],[EnuRohValue]] &amp; "."""</f>
        <v xml:space="preserve">  If Wert = pocEAT_BRACED_FRAME then Res = ".BRACED_FRAME."</v>
      </c>
      <c r="I538" s="44" t="str">
        <f>"  If wert = ""." &amp; Tabelle7[[#This Row],[EnuRohValue]] &amp; "."" Then Res = " &amp; Tabelle7[[#This Row],[EnuValue]]</f>
        <v xml:space="preserve">  If wert = ".BRACED_FRAME." Then Res = pocEAT_BRACED_FRAME</v>
      </c>
    </row>
    <row r="539" spans="2:9" x14ac:dyDescent="0.25">
      <c r="B539" s="44">
        <v>5</v>
      </c>
      <c r="C539" s="45" t="s">
        <v>1563</v>
      </c>
      <c r="D539" s="44" t="s">
        <v>4125</v>
      </c>
      <c r="E539" s="44" t="str">
        <f>VLOOKUP(Tabelle7[[#This Row],[EnumName]],Enum[[IFC-Name]:[Präfix]],5,FALSE)&amp;Tabelle7[[#This Row],[EnuRohValue]]</f>
        <v>pocEAT_GIRDER</v>
      </c>
      <c r="F539" s="44">
        <f>COUNTIF(Tabelle7[EnuValue],Tabelle7[[#This Row],[EnuValue]])</f>
        <v>1</v>
      </c>
      <c r="G539" s="44" t="str">
        <f xml:space="preserve"> "  " &amp; Tabelle7[[#This Row],[EnuValue]] &amp; " = " &amp; Tabelle7[[#This Row],[Wert]]</f>
        <v xml:space="preserve">  pocEAT_GIRDER = 5</v>
      </c>
      <c r="H539" s="44" t="str">
        <f>"  If Wert = " &amp; Tabelle7[[#This Row],[EnuValue]] &amp; " then Res = ""." &amp; Tabelle7[[#This Row],[EnuRohValue]] &amp; "."""</f>
        <v xml:space="preserve">  If Wert = pocEAT_GIRDER then Res = ".GIRDER."</v>
      </c>
      <c r="I539" s="44" t="str">
        <f>"  If wert = ""." &amp; Tabelle7[[#This Row],[EnuRohValue]] &amp; "."" Then Res = " &amp; Tabelle7[[#This Row],[EnuValue]]</f>
        <v xml:space="preserve">  If wert = ".GIRDER." Then Res = pocEAT_GIRDER</v>
      </c>
    </row>
    <row r="540" spans="2:9" x14ac:dyDescent="0.25">
      <c r="B540" s="44">
        <v>6</v>
      </c>
      <c r="C540" s="45" t="s">
        <v>1563</v>
      </c>
      <c r="D540" s="44" t="s">
        <v>4126</v>
      </c>
      <c r="E540" s="44" t="str">
        <f>VLOOKUP(Tabelle7[[#This Row],[EnumName]],Enum[[IFC-Name]:[Präfix]],5,FALSE)&amp;Tabelle7[[#This Row],[EnuRohValue]]</f>
        <v>pocEAT_REINFORCEMENT_UNIT</v>
      </c>
      <c r="F540" s="44">
        <f>COUNTIF(Tabelle7[EnuValue],Tabelle7[[#This Row],[EnuValue]])</f>
        <v>1</v>
      </c>
      <c r="G540" s="44" t="str">
        <f xml:space="preserve"> "  " &amp; Tabelle7[[#This Row],[EnuValue]] &amp; " = " &amp; Tabelle7[[#This Row],[Wert]]</f>
        <v xml:space="preserve">  pocEAT_REINFORCEMENT_UNIT = 6</v>
      </c>
      <c r="H540" s="44" t="str">
        <f>"  If Wert = " &amp; Tabelle7[[#This Row],[EnuValue]] &amp; " then Res = ""." &amp; Tabelle7[[#This Row],[EnuRohValue]] &amp; "."""</f>
        <v xml:space="preserve">  If Wert = pocEAT_REINFORCEMENT_UNIT then Res = ".REINFORCEMENT_UNIT."</v>
      </c>
      <c r="I540" s="44" t="str">
        <f>"  If wert = ""." &amp; Tabelle7[[#This Row],[EnuRohValue]] &amp; "."" Then Res = " &amp; Tabelle7[[#This Row],[EnuValue]]</f>
        <v xml:space="preserve">  If wert = ".REINFORCEMENT_UNIT." Then Res = pocEAT_REINFORCEMENT_UNIT</v>
      </c>
    </row>
    <row r="541" spans="2:9" x14ac:dyDescent="0.25">
      <c r="B541" s="44">
        <v>7</v>
      </c>
      <c r="C541" s="45" t="s">
        <v>1563</v>
      </c>
      <c r="D541" s="44" t="s">
        <v>4127</v>
      </c>
      <c r="E541" s="44" t="str">
        <f>VLOOKUP(Tabelle7[[#This Row],[EnumName]],Enum[[IFC-Name]:[Präfix]],5,FALSE)&amp;Tabelle7[[#This Row],[EnuRohValue]]</f>
        <v>pocEAT_RIGID_FRAME</v>
      </c>
      <c r="F541" s="44">
        <f>COUNTIF(Tabelle7[EnuValue],Tabelle7[[#This Row],[EnuValue]])</f>
        <v>1</v>
      </c>
      <c r="G541" s="44" t="str">
        <f xml:space="preserve"> "  " &amp; Tabelle7[[#This Row],[EnuValue]] &amp; " = " &amp; Tabelle7[[#This Row],[Wert]]</f>
        <v xml:space="preserve">  pocEAT_RIGID_FRAME = 7</v>
      </c>
      <c r="H541" s="44" t="str">
        <f>"  If Wert = " &amp; Tabelle7[[#This Row],[EnuValue]] &amp; " then Res = ""." &amp; Tabelle7[[#This Row],[EnuRohValue]] &amp; "."""</f>
        <v xml:space="preserve">  If Wert = pocEAT_RIGID_FRAME then Res = ".RIGID_FRAME."</v>
      </c>
      <c r="I541" s="44" t="str">
        <f>"  If wert = ""." &amp; Tabelle7[[#This Row],[EnuRohValue]] &amp; "."" Then Res = " &amp; Tabelle7[[#This Row],[EnuValue]]</f>
        <v xml:space="preserve">  If wert = ".RIGID_FRAME." Then Res = pocEAT_RIGID_FRAME</v>
      </c>
    </row>
    <row r="542" spans="2:9" x14ac:dyDescent="0.25">
      <c r="B542" s="44">
        <v>8</v>
      </c>
      <c r="C542" s="45" t="s">
        <v>1563</v>
      </c>
      <c r="D542" s="44" t="s">
        <v>4128</v>
      </c>
      <c r="E542" s="44" t="str">
        <f>VLOOKUP(Tabelle7[[#This Row],[EnumName]],Enum[[IFC-Name]:[Präfix]],5,FALSE)&amp;Tabelle7[[#This Row],[EnuRohValue]]</f>
        <v>pocEAT_SLAB_FIELD</v>
      </c>
      <c r="F542" s="44">
        <f>COUNTIF(Tabelle7[EnuValue],Tabelle7[[#This Row],[EnuValue]])</f>
        <v>1</v>
      </c>
      <c r="G542" s="44" t="str">
        <f xml:space="preserve"> "  " &amp; Tabelle7[[#This Row],[EnuValue]] &amp; " = " &amp; Tabelle7[[#This Row],[Wert]]</f>
        <v xml:space="preserve">  pocEAT_SLAB_FIELD = 8</v>
      </c>
      <c r="H542" s="44" t="str">
        <f>"  If Wert = " &amp; Tabelle7[[#This Row],[EnuValue]] &amp; " then Res = ""." &amp; Tabelle7[[#This Row],[EnuRohValue]] &amp; "."""</f>
        <v xml:space="preserve">  If Wert = pocEAT_SLAB_FIELD then Res = ".SLAB_FIELD."</v>
      </c>
      <c r="I542" s="44" t="str">
        <f>"  If wert = ""." &amp; Tabelle7[[#This Row],[EnuRohValue]] &amp; "."" Then Res = " &amp; Tabelle7[[#This Row],[EnuValue]]</f>
        <v xml:space="preserve">  If wert = ".SLAB_FIELD." Then Res = pocEAT_SLAB_FIELD</v>
      </c>
    </row>
    <row r="543" spans="2:9" x14ac:dyDescent="0.25">
      <c r="B543" s="44">
        <v>9</v>
      </c>
      <c r="C543" s="45" t="s">
        <v>1563</v>
      </c>
      <c r="D543" s="44" t="s">
        <v>4129</v>
      </c>
      <c r="E543" s="44" t="str">
        <f>VLOOKUP(Tabelle7[[#This Row],[EnumName]],Enum[[IFC-Name]:[Präfix]],5,FALSE)&amp;Tabelle7[[#This Row],[EnuRohValue]]</f>
        <v>pocEAT_TRUSS</v>
      </c>
      <c r="F543" s="44">
        <f>COUNTIF(Tabelle7[EnuValue],Tabelle7[[#This Row],[EnuValue]])</f>
        <v>1</v>
      </c>
      <c r="G543" s="44" t="str">
        <f xml:space="preserve"> "  " &amp; Tabelle7[[#This Row],[EnuValue]] &amp; " = " &amp; Tabelle7[[#This Row],[Wert]]</f>
        <v xml:space="preserve">  pocEAT_TRUSS = 9</v>
      </c>
      <c r="H543" s="44" t="str">
        <f>"  If Wert = " &amp; Tabelle7[[#This Row],[EnuValue]] &amp; " then Res = ""." &amp; Tabelle7[[#This Row],[EnuRohValue]] &amp; "."""</f>
        <v xml:space="preserve">  If Wert = pocEAT_TRUSS then Res = ".TRUSS."</v>
      </c>
      <c r="I543" s="44" t="str">
        <f>"  If wert = ""." &amp; Tabelle7[[#This Row],[EnuRohValue]] &amp; "."" Then Res = " &amp; Tabelle7[[#This Row],[EnuValue]]</f>
        <v xml:space="preserve">  If wert = ".TRUSS." Then Res = pocEAT_TRUSS</v>
      </c>
    </row>
    <row r="544" spans="2:9" x14ac:dyDescent="0.25">
      <c r="B544" s="44">
        <v>10</v>
      </c>
      <c r="C544" s="45" t="s">
        <v>1563</v>
      </c>
      <c r="D544" s="44" t="s">
        <v>3682</v>
      </c>
      <c r="E544" s="44" t="str">
        <f>VLOOKUP(Tabelle7[[#This Row],[EnumName]],Enum[[IFC-Name]:[Präfix]],5,FALSE)&amp;Tabelle7[[#This Row],[EnuRohValue]]</f>
        <v>pocEAT_USERDEFINED</v>
      </c>
      <c r="F544" s="44">
        <f>COUNTIF(Tabelle7[EnuValue],Tabelle7[[#This Row],[EnuValue]])</f>
        <v>1</v>
      </c>
      <c r="G544" s="44" t="str">
        <f xml:space="preserve"> "  " &amp; Tabelle7[[#This Row],[EnuValue]] &amp; " = " &amp; Tabelle7[[#This Row],[Wert]]</f>
        <v xml:space="preserve">  pocEAT_USERDEFINED = 10</v>
      </c>
      <c r="H544" s="44" t="str">
        <f>"  If Wert = " &amp; Tabelle7[[#This Row],[EnuValue]] &amp; " then Res = ""." &amp; Tabelle7[[#This Row],[EnuRohValue]] &amp; "."""</f>
        <v xml:space="preserve">  If Wert = pocEAT_USERDEFINED then Res = ".USERDEFINED."</v>
      </c>
      <c r="I544" s="44" t="str">
        <f>"  If wert = ""." &amp; Tabelle7[[#This Row],[EnuRohValue]] &amp; "."" Then Res = " &amp; Tabelle7[[#This Row],[EnuValue]]</f>
        <v xml:space="preserve">  If wert = ".USERDEFINED." Then Res = pocEAT_USERDEFINED</v>
      </c>
    </row>
    <row r="545" spans="2:9" x14ac:dyDescent="0.25">
      <c r="B545" s="44">
        <v>11</v>
      </c>
      <c r="C545" s="45" t="s">
        <v>1563</v>
      </c>
      <c r="D545" s="44" t="s">
        <v>3683</v>
      </c>
      <c r="E545" s="44" t="str">
        <f>VLOOKUP(Tabelle7[[#This Row],[EnumName]],Enum[[IFC-Name]:[Präfix]],5,FALSE)&amp;Tabelle7[[#This Row],[EnuRohValue]]</f>
        <v>pocEAT_NOTDEFINED</v>
      </c>
      <c r="F545" s="44">
        <f>COUNTIF(Tabelle7[EnuValue],Tabelle7[[#This Row],[EnuValue]])</f>
        <v>1</v>
      </c>
      <c r="G545" s="44" t="str">
        <f xml:space="preserve"> "  " &amp; Tabelle7[[#This Row],[EnuValue]] &amp; " = " &amp; Tabelle7[[#This Row],[Wert]]</f>
        <v xml:space="preserve">  pocEAT_NOTDEFINED = 11</v>
      </c>
      <c r="H545" s="44" t="str">
        <f>"  If Wert = " &amp; Tabelle7[[#This Row],[EnuValue]] &amp; " then Res = ""." &amp; Tabelle7[[#This Row],[EnuRohValue]] &amp; "."""</f>
        <v xml:space="preserve">  If Wert = pocEAT_NOTDEFINED then Res = ".NOTDEFINED."</v>
      </c>
      <c r="I545" s="44" t="str">
        <f>"  If wert = ""." &amp; Tabelle7[[#This Row],[EnuRohValue]] &amp; "."" Then Res = " &amp; Tabelle7[[#This Row],[EnuValue]]</f>
        <v xml:space="preserve">  If wert = ".NOTDEFINED." Then Res = pocEAT_NOTDEFINED</v>
      </c>
    </row>
    <row r="546" spans="2:9" x14ac:dyDescent="0.25">
      <c r="B546" s="44">
        <v>1</v>
      </c>
      <c r="C546" s="45" t="s">
        <v>1564</v>
      </c>
      <c r="D546" s="44" t="s">
        <v>4130</v>
      </c>
      <c r="E546" s="44" t="str">
        <f>VLOOKUP(Tabelle7[[#This Row],[EnumName]],Enum[[IFC-Name]:[Präfix]],5,FALSE)&amp;Tabelle7[[#This Row],[EnuRohValue]]</f>
        <v>pocEC_COMPLEX</v>
      </c>
      <c r="F546" s="44">
        <f>COUNTIF(Tabelle7[EnuValue],Tabelle7[[#This Row],[EnuValue]])</f>
        <v>1</v>
      </c>
      <c r="G546" s="44" t="str">
        <f xml:space="preserve"> "  " &amp; Tabelle7[[#This Row],[EnuValue]] &amp; " = " &amp; Tabelle7[[#This Row],[Wert]]</f>
        <v xml:space="preserve">  pocEC_COMPLEX = 1</v>
      </c>
      <c r="H546" s="44" t="str">
        <f>"  If Wert = " &amp; Tabelle7[[#This Row],[EnuValue]] &amp; " then Res = ""." &amp; Tabelle7[[#This Row],[EnuRohValue]] &amp; "."""</f>
        <v xml:space="preserve">  If Wert = pocEC_COMPLEX then Res = ".COMPLEX."</v>
      </c>
      <c r="I546" s="44" t="str">
        <f>"  If wert = ""." &amp; Tabelle7[[#This Row],[EnuRohValue]] &amp; "."" Then Res = " &amp; Tabelle7[[#This Row],[EnuValue]]</f>
        <v xml:space="preserve">  If wert = ".COMPLEX." Then Res = pocEC_COMPLEX</v>
      </c>
    </row>
    <row r="547" spans="2:9" x14ac:dyDescent="0.25">
      <c r="B547" s="44">
        <v>2</v>
      </c>
      <c r="C547" s="45" t="s">
        <v>1564</v>
      </c>
      <c r="D547" s="44" t="s">
        <v>4131</v>
      </c>
      <c r="E547" s="44" t="str">
        <f>VLOOKUP(Tabelle7[[#This Row],[EnumName]],Enum[[IFC-Name]:[Präfix]],5,FALSE)&amp;Tabelle7[[#This Row],[EnuRohValue]]</f>
        <v>pocEC_ELEMENT</v>
      </c>
      <c r="F547" s="44">
        <f>COUNTIF(Tabelle7[EnuValue],Tabelle7[[#This Row],[EnuValue]])</f>
        <v>1</v>
      </c>
      <c r="G547" s="44" t="str">
        <f xml:space="preserve"> "  " &amp; Tabelle7[[#This Row],[EnuValue]] &amp; " = " &amp; Tabelle7[[#This Row],[Wert]]</f>
        <v xml:space="preserve">  pocEC_ELEMENT = 2</v>
      </c>
      <c r="H547" s="44" t="str">
        <f>"  If Wert = " &amp; Tabelle7[[#This Row],[EnuValue]] &amp; " then Res = ""." &amp; Tabelle7[[#This Row],[EnuRohValue]] &amp; "."""</f>
        <v xml:space="preserve">  If Wert = pocEC_ELEMENT then Res = ".ELEMENT."</v>
      </c>
      <c r="I547" s="44" t="str">
        <f>"  If wert = ""." &amp; Tabelle7[[#This Row],[EnuRohValue]] &amp; "."" Then Res = " &amp; Tabelle7[[#This Row],[EnuValue]]</f>
        <v xml:space="preserve">  If wert = ".ELEMENT." Then Res = pocEC_ELEMENT</v>
      </c>
    </row>
    <row r="548" spans="2:9" x14ac:dyDescent="0.25">
      <c r="B548" s="44">
        <v>3</v>
      </c>
      <c r="C548" s="45" t="s">
        <v>1564</v>
      </c>
      <c r="D548" s="44" t="s">
        <v>4132</v>
      </c>
      <c r="E548" s="44" t="str">
        <f>VLOOKUP(Tabelle7[[#This Row],[EnumName]],Enum[[IFC-Name]:[Präfix]],5,FALSE)&amp;Tabelle7[[#This Row],[EnuRohValue]]</f>
        <v>pocEC_PARTIAL</v>
      </c>
      <c r="F548" s="44">
        <f>COUNTIF(Tabelle7[EnuValue],Tabelle7[[#This Row],[EnuValue]])</f>
        <v>1</v>
      </c>
      <c r="G548" s="44" t="str">
        <f xml:space="preserve"> "  " &amp; Tabelle7[[#This Row],[EnuValue]] &amp; " = " &amp; Tabelle7[[#This Row],[Wert]]</f>
        <v xml:space="preserve">  pocEC_PARTIAL = 3</v>
      </c>
      <c r="H548" s="44" t="str">
        <f>"  If Wert = " &amp; Tabelle7[[#This Row],[EnuValue]] &amp; " then Res = ""." &amp; Tabelle7[[#This Row],[EnuRohValue]] &amp; "."""</f>
        <v xml:space="preserve">  If Wert = pocEC_PARTIAL then Res = ".PARTIAL."</v>
      </c>
      <c r="I548" s="44" t="str">
        <f>"  If wert = ""." &amp; Tabelle7[[#This Row],[EnuRohValue]] &amp; "."" Then Res = " &amp; Tabelle7[[#This Row],[EnuValue]]</f>
        <v xml:space="preserve">  If wert = ".PARTIAL." Then Res = pocEC_PARTIAL</v>
      </c>
    </row>
    <row r="549" spans="2:9" x14ac:dyDescent="0.25">
      <c r="B549" s="44">
        <v>1</v>
      </c>
      <c r="C549" s="45" t="s">
        <v>1565</v>
      </c>
      <c r="D549" s="44" t="s">
        <v>4133</v>
      </c>
      <c r="E549" s="44" t="str">
        <f>VLOOKUP(Tabelle7[[#This Row],[EnumName]],Enum[[IFC-Name]:[Präfix]],5,FALSE)&amp;Tabelle7[[#This Row],[EnuRohValue]]</f>
        <v>sbsES_PRIMARY</v>
      </c>
      <c r="F549" s="44">
        <f>COUNTIF(Tabelle7[EnuValue],Tabelle7[[#This Row],[EnuValue]])</f>
        <v>1</v>
      </c>
      <c r="G549" s="44" t="str">
        <f xml:space="preserve"> "  " &amp; Tabelle7[[#This Row],[EnuValue]] &amp; " = " &amp; Tabelle7[[#This Row],[Wert]]</f>
        <v xml:space="preserve">  sbsES_PRIMARY = 1</v>
      </c>
      <c r="H549" s="44" t="str">
        <f>"  If Wert = " &amp; Tabelle7[[#This Row],[EnuValue]] &amp; " then Res = ""." &amp; Tabelle7[[#This Row],[EnuRohValue]] &amp; "."""</f>
        <v xml:space="preserve">  If Wert = sbsES_PRIMARY then Res = ".PRIMARY."</v>
      </c>
      <c r="I549" s="44" t="str">
        <f>"  If wert = ""." &amp; Tabelle7[[#This Row],[EnuRohValue]] &amp; "."" Then Res = " &amp; Tabelle7[[#This Row],[EnuValue]]</f>
        <v xml:space="preserve">  If wert = ".PRIMARY." Then Res = sbsES_PRIMARY</v>
      </c>
    </row>
    <row r="550" spans="2:9" x14ac:dyDescent="0.25">
      <c r="B550" s="44">
        <v>2</v>
      </c>
      <c r="C550" s="45" t="s">
        <v>1565</v>
      </c>
      <c r="D550" s="44" t="s">
        <v>4134</v>
      </c>
      <c r="E550" s="44" t="str">
        <f>VLOOKUP(Tabelle7[[#This Row],[EnumName]],Enum[[IFC-Name]:[Präfix]],5,FALSE)&amp;Tabelle7[[#This Row],[EnuRohValue]]</f>
        <v>sbsES_SECONDARY</v>
      </c>
      <c r="F550" s="44">
        <f>COUNTIF(Tabelle7[EnuValue],Tabelle7[[#This Row],[EnuValue]])</f>
        <v>1</v>
      </c>
      <c r="G550" s="44" t="str">
        <f xml:space="preserve"> "  " &amp; Tabelle7[[#This Row],[EnuValue]] &amp; " = " &amp; Tabelle7[[#This Row],[Wert]]</f>
        <v xml:space="preserve">  sbsES_SECONDARY = 2</v>
      </c>
      <c r="H550" s="44" t="str">
        <f>"  If Wert = " &amp; Tabelle7[[#This Row],[EnuValue]] &amp; " then Res = ""." &amp; Tabelle7[[#This Row],[EnuRohValue]] &amp; "."""</f>
        <v xml:space="preserve">  If Wert = sbsES_SECONDARY then Res = ".SECONDARY."</v>
      </c>
      <c r="I550" s="44" t="str">
        <f>"  If wert = ""." &amp; Tabelle7[[#This Row],[EnuRohValue]] &amp; "."" Then Res = " &amp; Tabelle7[[#This Row],[EnuValue]]</f>
        <v xml:space="preserve">  If wert = ".SECONDARY." Then Res = sbsES_SECONDARY</v>
      </c>
    </row>
    <row r="551" spans="2:9" x14ac:dyDescent="0.25">
      <c r="B551" s="44">
        <v>3</v>
      </c>
      <c r="C551" s="45" t="s">
        <v>1565</v>
      </c>
      <c r="D551" s="44" t="s">
        <v>4135</v>
      </c>
      <c r="E551" s="44" t="str">
        <f>VLOOKUP(Tabelle7[[#This Row],[EnumName]],Enum[[IFC-Name]:[Präfix]],5,FALSE)&amp;Tabelle7[[#This Row],[EnuRohValue]]</f>
        <v>sbsES_TERTIARY</v>
      </c>
      <c r="F551" s="44">
        <f>COUNTIF(Tabelle7[EnuValue],Tabelle7[[#This Row],[EnuValue]])</f>
        <v>1</v>
      </c>
      <c r="G551" s="44" t="str">
        <f xml:space="preserve"> "  " &amp; Tabelle7[[#This Row],[EnuValue]] &amp; " = " &amp; Tabelle7[[#This Row],[Wert]]</f>
        <v xml:space="preserve">  sbsES_TERTIARY = 3</v>
      </c>
      <c r="H551" s="44" t="str">
        <f>"  If Wert = " &amp; Tabelle7[[#This Row],[EnuValue]] &amp; " then Res = ""." &amp; Tabelle7[[#This Row],[EnuRohValue]] &amp; "."""</f>
        <v xml:space="preserve">  If Wert = sbsES_TERTIARY then Res = ".TERTIARY."</v>
      </c>
      <c r="I551" s="44" t="str">
        <f>"  If wert = ""." &amp; Tabelle7[[#This Row],[EnuRohValue]] &amp; "."" Then Res = " &amp; Tabelle7[[#This Row],[EnuValue]]</f>
        <v xml:space="preserve">  If wert = ".TERTIARY." Then Res = sbsES_TERTIARY</v>
      </c>
    </row>
    <row r="552" spans="2:9" x14ac:dyDescent="0.25">
      <c r="B552" s="44">
        <v>4</v>
      </c>
      <c r="C552" s="45" t="s">
        <v>1565</v>
      </c>
      <c r="D552" s="44" t="s">
        <v>4136</v>
      </c>
      <c r="E552" s="44" t="str">
        <f>VLOOKUP(Tabelle7[[#This Row],[EnumName]],Enum[[IFC-Name]:[Präfix]],5,FALSE)&amp;Tabelle7[[#This Row],[EnuRohValue]]</f>
        <v>sbsES_AUXILIARY</v>
      </c>
      <c r="F552" s="44">
        <f>COUNTIF(Tabelle7[EnuValue],Tabelle7[[#This Row],[EnuValue]])</f>
        <v>1</v>
      </c>
      <c r="G552" s="44" t="str">
        <f xml:space="preserve"> "  " &amp; Tabelle7[[#This Row],[EnuValue]] &amp; " = " &amp; Tabelle7[[#This Row],[Wert]]</f>
        <v xml:space="preserve">  sbsES_AUXILIARY = 4</v>
      </c>
      <c r="H552" s="44" t="str">
        <f>"  If Wert = " &amp; Tabelle7[[#This Row],[EnuValue]] &amp; " then Res = ""." &amp; Tabelle7[[#This Row],[EnuRohValue]] &amp; "."""</f>
        <v xml:space="preserve">  If Wert = sbsES_AUXILIARY then Res = ".AUXILIARY."</v>
      </c>
      <c r="I552" s="44" t="str">
        <f>"  If wert = ""." &amp; Tabelle7[[#This Row],[EnuRohValue]] &amp; "."" Then Res = " &amp; Tabelle7[[#This Row],[EnuValue]]</f>
        <v xml:space="preserve">  If wert = ".AUXILIARY." Then Res = sbsES_AUXILIARY</v>
      </c>
    </row>
    <row r="553" spans="2:9" x14ac:dyDescent="0.25">
      <c r="B553" s="44">
        <v>5</v>
      </c>
      <c r="C553" s="45" t="s">
        <v>1565</v>
      </c>
      <c r="D553" s="44" t="s">
        <v>3682</v>
      </c>
      <c r="E553" s="44" t="str">
        <f>VLOOKUP(Tabelle7[[#This Row],[EnumName]],Enum[[IFC-Name]:[Präfix]],5,FALSE)&amp;Tabelle7[[#This Row],[EnuRohValue]]</f>
        <v>sbsES_USERDEFINED</v>
      </c>
      <c r="F553" s="44">
        <f>COUNTIF(Tabelle7[EnuValue],Tabelle7[[#This Row],[EnuValue]])</f>
        <v>1</v>
      </c>
      <c r="G553" s="44" t="str">
        <f xml:space="preserve"> "  " &amp; Tabelle7[[#This Row],[EnuValue]] &amp; " = " &amp; Tabelle7[[#This Row],[Wert]]</f>
        <v xml:space="preserve">  sbsES_USERDEFINED = 5</v>
      </c>
      <c r="H553" s="44" t="str">
        <f>"  If Wert = " &amp; Tabelle7[[#This Row],[EnuValue]] &amp; " then Res = ""." &amp; Tabelle7[[#This Row],[EnuRohValue]] &amp; "."""</f>
        <v xml:space="preserve">  If Wert = sbsES_USERDEFINED then Res = ".USERDEFINED."</v>
      </c>
      <c r="I553" s="44" t="str">
        <f>"  If wert = ""." &amp; Tabelle7[[#This Row],[EnuRohValue]] &amp; "."" Then Res = " &amp; Tabelle7[[#This Row],[EnuValue]]</f>
        <v xml:space="preserve">  If wert = ".USERDEFINED." Then Res = sbsES_USERDEFINED</v>
      </c>
    </row>
    <row r="554" spans="2:9" x14ac:dyDescent="0.25">
      <c r="B554" s="44">
        <v>6</v>
      </c>
      <c r="C554" s="45" t="s">
        <v>1565</v>
      </c>
      <c r="D554" s="44" t="s">
        <v>3683</v>
      </c>
      <c r="E554" s="44" t="str">
        <f>VLOOKUP(Tabelle7[[#This Row],[EnumName]],Enum[[IFC-Name]:[Präfix]],5,FALSE)&amp;Tabelle7[[#This Row],[EnuRohValue]]</f>
        <v>sbsES_NOTDEFINED</v>
      </c>
      <c r="F554" s="44">
        <f>COUNTIF(Tabelle7[EnuValue],Tabelle7[[#This Row],[EnuValue]])</f>
        <v>1</v>
      </c>
      <c r="G554" s="44" t="str">
        <f xml:space="preserve"> "  " &amp; Tabelle7[[#This Row],[EnuValue]] &amp; " = " &amp; Tabelle7[[#This Row],[Wert]]</f>
        <v xml:space="preserve">  sbsES_NOTDEFINED = 6</v>
      </c>
      <c r="H554" s="44" t="str">
        <f>"  If Wert = " &amp; Tabelle7[[#This Row],[EnuValue]] &amp; " then Res = ""." &amp; Tabelle7[[#This Row],[EnuRohValue]] &amp; "."""</f>
        <v xml:space="preserve">  If Wert = sbsES_NOTDEFINED then Res = ".NOTDEFINED."</v>
      </c>
      <c r="I554" s="44" t="str">
        <f>"  If wert = ""." &amp; Tabelle7[[#This Row],[EnuRohValue]] &amp; "."" Then Res = " &amp; Tabelle7[[#This Row],[EnuValue]]</f>
        <v xml:space="preserve">  If wert = ".NOTDEFINED." Then Res = sbsES_NOTDEFINED</v>
      </c>
    </row>
    <row r="555" spans="2:9" x14ac:dyDescent="0.25">
      <c r="B555" s="44">
        <v>1</v>
      </c>
      <c r="C555" s="45" t="s">
        <v>1566</v>
      </c>
      <c r="D555" s="44" t="s">
        <v>4137</v>
      </c>
      <c r="E555" s="44" t="str">
        <f>VLOOKUP(Tabelle7[[#This Row],[EnumName]],Enum[[IFC-Name]:[Präfix]],5,FALSE)&amp;Tabelle7[[#This Row],[EnuRohValue]]</f>
        <v>cosEC_COMBINEDVALUE</v>
      </c>
      <c r="F555" s="44">
        <f>COUNTIF(Tabelle7[EnuValue],Tabelle7[[#This Row],[EnuValue]])</f>
        <v>1</v>
      </c>
      <c r="G555" s="44" t="str">
        <f xml:space="preserve"> "  " &amp; Tabelle7[[#This Row],[EnuValue]] &amp; " = " &amp; Tabelle7[[#This Row],[Wert]]</f>
        <v xml:space="preserve">  cosEC_COMBINEDVALUE = 1</v>
      </c>
      <c r="H555" s="44" t="str">
        <f>"  If Wert = " &amp; Tabelle7[[#This Row],[EnuValue]] &amp; " then Res = ""." &amp; Tabelle7[[#This Row],[EnuRohValue]] &amp; "."""</f>
        <v xml:space="preserve">  If Wert = cosEC_COMBINEDVALUE then Res = ".COMBINEDVALUE."</v>
      </c>
      <c r="I555" s="44" t="str">
        <f>"  If wert = ""." &amp; Tabelle7[[#This Row],[EnuRohValue]] &amp; "."" Then Res = " &amp; Tabelle7[[#This Row],[EnuValue]]</f>
        <v xml:space="preserve">  If wert = ".COMBINEDVALUE." Then Res = cosEC_COMBINEDVALUE</v>
      </c>
    </row>
    <row r="556" spans="2:9" x14ac:dyDescent="0.25">
      <c r="B556" s="44">
        <v>2</v>
      </c>
      <c r="C556" s="45" t="s">
        <v>1566</v>
      </c>
      <c r="D556" s="44" t="s">
        <v>4138</v>
      </c>
      <c r="E556" s="44" t="str">
        <f>VLOOKUP(Tabelle7[[#This Row],[EnumName]],Enum[[IFC-Name]:[Präfix]],5,FALSE)&amp;Tabelle7[[#This Row],[EnuRohValue]]</f>
        <v>cosEC_DISPOSAL</v>
      </c>
      <c r="F556" s="44">
        <f>COUNTIF(Tabelle7[EnuValue],Tabelle7[[#This Row],[EnuValue]])</f>
        <v>1</v>
      </c>
      <c r="G556" s="44" t="str">
        <f xml:space="preserve"> "  " &amp; Tabelle7[[#This Row],[EnuValue]] &amp; " = " &amp; Tabelle7[[#This Row],[Wert]]</f>
        <v xml:space="preserve">  cosEC_DISPOSAL = 2</v>
      </c>
      <c r="H556" s="44" t="str">
        <f>"  If Wert = " &amp; Tabelle7[[#This Row],[EnuValue]] &amp; " then Res = ""." &amp; Tabelle7[[#This Row],[EnuRohValue]] &amp; "."""</f>
        <v xml:space="preserve">  If Wert = cosEC_DISPOSAL then Res = ".DISPOSAL."</v>
      </c>
      <c r="I556" s="44" t="str">
        <f>"  If wert = ""." &amp; Tabelle7[[#This Row],[EnuRohValue]] &amp; "."" Then Res = " &amp; Tabelle7[[#This Row],[EnuValue]]</f>
        <v xml:space="preserve">  If wert = ".DISPOSAL." Then Res = cosEC_DISPOSAL</v>
      </c>
    </row>
    <row r="557" spans="2:9" x14ac:dyDescent="0.25">
      <c r="B557" s="44">
        <v>3</v>
      </c>
      <c r="C557" s="45" t="s">
        <v>1566</v>
      </c>
      <c r="D557" s="44" t="s">
        <v>4139</v>
      </c>
      <c r="E557" s="44" t="str">
        <f>VLOOKUP(Tabelle7[[#This Row],[EnumName]],Enum[[IFC-Name]:[Präfix]],5,FALSE)&amp;Tabelle7[[#This Row],[EnuRohValue]]</f>
        <v>cosEC_EXTRACTION</v>
      </c>
      <c r="F557" s="44">
        <f>COUNTIF(Tabelle7[EnuValue],Tabelle7[[#This Row],[EnuValue]])</f>
        <v>1</v>
      </c>
      <c r="G557" s="44" t="str">
        <f xml:space="preserve"> "  " &amp; Tabelle7[[#This Row],[EnuValue]] &amp; " = " &amp; Tabelle7[[#This Row],[Wert]]</f>
        <v xml:space="preserve">  cosEC_EXTRACTION = 3</v>
      </c>
      <c r="H557" s="44" t="str">
        <f>"  If Wert = " &amp; Tabelle7[[#This Row],[EnuValue]] &amp; " then Res = ""." &amp; Tabelle7[[#This Row],[EnuRohValue]] &amp; "."""</f>
        <v xml:space="preserve">  If Wert = cosEC_EXTRACTION then Res = ".EXTRACTION."</v>
      </c>
      <c r="I557" s="44" t="str">
        <f>"  If wert = ""." &amp; Tabelle7[[#This Row],[EnuRohValue]] &amp; "."" Then Res = " &amp; Tabelle7[[#This Row],[EnuValue]]</f>
        <v xml:space="preserve">  If wert = ".EXTRACTION." Then Res = cosEC_EXTRACTION</v>
      </c>
    </row>
    <row r="558" spans="2:9" x14ac:dyDescent="0.25">
      <c r="B558" s="44">
        <v>4</v>
      </c>
      <c r="C558" s="45" t="s">
        <v>1566</v>
      </c>
      <c r="D558" s="44" t="s">
        <v>4140</v>
      </c>
      <c r="E558" s="44" t="str">
        <f>VLOOKUP(Tabelle7[[#This Row],[EnumName]],Enum[[IFC-Name]:[Präfix]],5,FALSE)&amp;Tabelle7[[#This Row],[EnuRohValue]]</f>
        <v>cosEC_INSTALLATION</v>
      </c>
      <c r="F558" s="44">
        <f>COUNTIF(Tabelle7[EnuValue],Tabelle7[[#This Row],[EnuValue]])</f>
        <v>1</v>
      </c>
      <c r="G558" s="44" t="str">
        <f xml:space="preserve"> "  " &amp; Tabelle7[[#This Row],[EnuValue]] &amp; " = " &amp; Tabelle7[[#This Row],[Wert]]</f>
        <v xml:space="preserve">  cosEC_INSTALLATION = 4</v>
      </c>
      <c r="H558" s="44" t="str">
        <f>"  If Wert = " &amp; Tabelle7[[#This Row],[EnuValue]] &amp; " then Res = ""." &amp; Tabelle7[[#This Row],[EnuRohValue]] &amp; "."""</f>
        <v xml:space="preserve">  If Wert = cosEC_INSTALLATION then Res = ".INSTALLATION."</v>
      </c>
      <c r="I558" s="44" t="str">
        <f>"  If wert = ""." &amp; Tabelle7[[#This Row],[EnuRohValue]] &amp; "."" Then Res = " &amp; Tabelle7[[#This Row],[EnuValue]]</f>
        <v xml:space="preserve">  If wert = ".INSTALLATION." Then Res = cosEC_INSTALLATION</v>
      </c>
    </row>
    <row r="559" spans="2:9" x14ac:dyDescent="0.25">
      <c r="B559" s="44">
        <v>5</v>
      </c>
      <c r="C559" s="45" t="s">
        <v>1566</v>
      </c>
      <c r="D559" s="44" t="s">
        <v>4141</v>
      </c>
      <c r="E559" s="44" t="str">
        <f>VLOOKUP(Tabelle7[[#This Row],[EnumName]],Enum[[IFC-Name]:[Präfix]],5,FALSE)&amp;Tabelle7[[#This Row],[EnuRohValue]]</f>
        <v>cosEC_MANUFACTURE</v>
      </c>
      <c r="F559" s="44">
        <f>COUNTIF(Tabelle7[EnuValue],Tabelle7[[#This Row],[EnuValue]])</f>
        <v>1</v>
      </c>
      <c r="G559" s="44" t="str">
        <f xml:space="preserve"> "  " &amp; Tabelle7[[#This Row],[EnuValue]] &amp; " = " &amp; Tabelle7[[#This Row],[Wert]]</f>
        <v xml:space="preserve">  cosEC_MANUFACTURE = 5</v>
      </c>
      <c r="H559" s="44" t="str">
        <f>"  If Wert = " &amp; Tabelle7[[#This Row],[EnuValue]] &amp; " then Res = ""." &amp; Tabelle7[[#This Row],[EnuRohValue]] &amp; "."""</f>
        <v xml:space="preserve">  If Wert = cosEC_MANUFACTURE then Res = ".MANUFACTURE."</v>
      </c>
      <c r="I559" s="44" t="str">
        <f>"  If wert = ""." &amp; Tabelle7[[#This Row],[EnuRohValue]] &amp; "."" Then Res = " &amp; Tabelle7[[#This Row],[EnuValue]]</f>
        <v xml:space="preserve">  If wert = ".MANUFACTURE." Then Res = cosEC_MANUFACTURE</v>
      </c>
    </row>
    <row r="560" spans="2:9" x14ac:dyDescent="0.25">
      <c r="B560" s="44">
        <v>6</v>
      </c>
      <c r="C560" s="45" t="s">
        <v>1566</v>
      </c>
      <c r="D560" s="44" t="s">
        <v>4142</v>
      </c>
      <c r="E560" s="44" t="str">
        <f>VLOOKUP(Tabelle7[[#This Row],[EnumName]],Enum[[IFC-Name]:[Präfix]],5,FALSE)&amp;Tabelle7[[#This Row],[EnuRohValue]]</f>
        <v>cosEC_TRANSPORTATION</v>
      </c>
      <c r="F560" s="44">
        <f>COUNTIF(Tabelle7[EnuValue],Tabelle7[[#This Row],[EnuValue]])</f>
        <v>1</v>
      </c>
      <c r="G560" s="44" t="str">
        <f xml:space="preserve"> "  " &amp; Tabelle7[[#This Row],[EnuValue]] &amp; " = " &amp; Tabelle7[[#This Row],[Wert]]</f>
        <v xml:space="preserve">  cosEC_TRANSPORTATION = 6</v>
      </c>
      <c r="H560" s="44" t="str">
        <f>"  If Wert = " &amp; Tabelle7[[#This Row],[EnuValue]] &amp; " then Res = ""." &amp; Tabelle7[[#This Row],[EnuRohValue]] &amp; "."""</f>
        <v xml:space="preserve">  If Wert = cosEC_TRANSPORTATION then Res = ".TRANSPORTATION."</v>
      </c>
      <c r="I560" s="44" t="str">
        <f>"  If wert = ""." &amp; Tabelle7[[#This Row],[EnuRohValue]] &amp; "."" Then Res = " &amp; Tabelle7[[#This Row],[EnuValue]]</f>
        <v xml:space="preserve">  If wert = ".TRANSPORTATION." Then Res = cosEC_TRANSPORTATION</v>
      </c>
    </row>
    <row r="561" spans="2:9" x14ac:dyDescent="0.25">
      <c r="B561" s="44">
        <v>7</v>
      </c>
      <c r="C561" s="45" t="s">
        <v>1566</v>
      </c>
      <c r="D561" s="44" t="s">
        <v>3682</v>
      </c>
      <c r="E561" s="44" t="str">
        <f>VLOOKUP(Tabelle7[[#This Row],[EnumName]],Enum[[IFC-Name]:[Präfix]],5,FALSE)&amp;Tabelle7[[#This Row],[EnuRohValue]]</f>
        <v>cosEC_USERDEFINED</v>
      </c>
      <c r="F561" s="44">
        <f>COUNTIF(Tabelle7[EnuValue],Tabelle7[[#This Row],[EnuValue]])</f>
        <v>1</v>
      </c>
      <c r="G561" s="44" t="str">
        <f xml:space="preserve"> "  " &amp; Tabelle7[[#This Row],[EnuValue]] &amp; " = " &amp; Tabelle7[[#This Row],[Wert]]</f>
        <v xml:space="preserve">  cosEC_USERDEFINED = 7</v>
      </c>
      <c r="H561" s="44" t="str">
        <f>"  If Wert = " &amp; Tabelle7[[#This Row],[EnuValue]] &amp; " then Res = ""." &amp; Tabelle7[[#This Row],[EnuRohValue]] &amp; "."""</f>
        <v xml:space="preserve">  If Wert = cosEC_USERDEFINED then Res = ".USERDEFINED."</v>
      </c>
      <c r="I561" s="44" t="str">
        <f>"  If wert = ""." &amp; Tabelle7[[#This Row],[EnuRohValue]] &amp; "."" Then Res = " &amp; Tabelle7[[#This Row],[EnuValue]]</f>
        <v xml:space="preserve">  If wert = ".USERDEFINED." Then Res = cosEC_USERDEFINED</v>
      </c>
    </row>
    <row r="562" spans="2:9" x14ac:dyDescent="0.25">
      <c r="B562" s="44">
        <v>8</v>
      </c>
      <c r="C562" s="45" t="s">
        <v>1566</v>
      </c>
      <c r="D562" s="44" t="s">
        <v>3683</v>
      </c>
      <c r="E562" s="44" t="str">
        <f>VLOOKUP(Tabelle7[[#This Row],[EnumName]],Enum[[IFC-Name]:[Präfix]],5,FALSE)&amp;Tabelle7[[#This Row],[EnuRohValue]]</f>
        <v>cosEC_NOTDEFINED</v>
      </c>
      <c r="F562" s="44">
        <f>COUNTIF(Tabelle7[EnuValue],Tabelle7[[#This Row],[EnuValue]])</f>
        <v>1</v>
      </c>
      <c r="G562" s="44" t="str">
        <f xml:space="preserve"> "  " &amp; Tabelle7[[#This Row],[EnuValue]] &amp; " = " &amp; Tabelle7[[#This Row],[Wert]]</f>
        <v xml:space="preserve">  cosEC_NOTDEFINED = 8</v>
      </c>
      <c r="H562" s="44" t="str">
        <f>"  If Wert = " &amp; Tabelle7[[#This Row],[EnuValue]] &amp; " then Res = ""." &amp; Tabelle7[[#This Row],[EnuRohValue]] &amp; "."""</f>
        <v xml:space="preserve">  If Wert = cosEC_NOTDEFINED then Res = ".NOTDEFINED."</v>
      </c>
      <c r="I562" s="44" t="str">
        <f>"  If wert = ""." &amp; Tabelle7[[#This Row],[EnuRohValue]] &amp; "."" Then Res = " &amp; Tabelle7[[#This Row],[EnuValue]]</f>
        <v xml:space="preserve">  If wert = ".NOTDEFINED." Then Res = cosEC_NOTDEFINED</v>
      </c>
    </row>
    <row r="563" spans="2:9" x14ac:dyDescent="0.25">
      <c r="B563" s="44">
        <v>1</v>
      </c>
      <c r="C563" s="45" t="s">
        <v>1567</v>
      </c>
      <c r="D563" s="44" t="s">
        <v>4143</v>
      </c>
      <c r="E563" s="44" t="str">
        <f>VLOOKUP(Tabelle7[[#This Row],[EnumName]],Enum[[IFC-Name]:[Präfix]],5,FALSE)&amp;Tabelle7[[#This Row],[EnuRohValue]]</f>
        <v>hvacECT_DIRECTEVAPORATIVERANDOMMEDIAAIRCOOLER</v>
      </c>
      <c r="F563" s="44">
        <f>COUNTIF(Tabelle7[EnuValue],Tabelle7[[#This Row],[EnuValue]])</f>
        <v>1</v>
      </c>
      <c r="G563" s="44" t="str">
        <f xml:space="preserve"> "  " &amp; Tabelle7[[#This Row],[EnuValue]] &amp; " = " &amp; Tabelle7[[#This Row],[Wert]]</f>
        <v xml:space="preserve">  hvacECT_DIRECTEVAPORATIVERANDOMMEDIAAIRCOOLER = 1</v>
      </c>
      <c r="H563" s="44" t="str">
        <f>"  If Wert = " &amp; Tabelle7[[#This Row],[EnuValue]] &amp; " then Res = ""." &amp; Tabelle7[[#This Row],[EnuRohValue]] &amp; "."""</f>
        <v xml:space="preserve">  If Wert = hvacECT_DIRECTEVAPORATIVERANDOMMEDIAAIRCOOLER then Res = ".DIRECTEVAPORATIVERANDOMMEDIAAIRCOOLER."</v>
      </c>
      <c r="I563" s="44" t="str">
        <f>"  If wert = ""." &amp; Tabelle7[[#This Row],[EnuRohValue]] &amp; "."" Then Res = " &amp; Tabelle7[[#This Row],[EnuValue]]</f>
        <v xml:space="preserve">  If wert = ".DIRECTEVAPORATIVERANDOMMEDIAAIRCOOLER." Then Res = hvacECT_DIRECTEVAPORATIVERANDOMMEDIAAIRCOOLER</v>
      </c>
    </row>
    <row r="564" spans="2:9" x14ac:dyDescent="0.25">
      <c r="B564" s="44">
        <v>2</v>
      </c>
      <c r="C564" s="45" t="s">
        <v>1567</v>
      </c>
      <c r="D564" s="44" t="s">
        <v>4144</v>
      </c>
      <c r="E564" s="44" t="str">
        <f>VLOOKUP(Tabelle7[[#This Row],[EnumName]],Enum[[IFC-Name]:[Präfix]],5,FALSE)&amp;Tabelle7[[#This Row],[EnuRohValue]]</f>
        <v>hvacECT_DIRECTEVAPORATIVERIGIDMEDIAAIRCOOLER</v>
      </c>
      <c r="F564" s="44">
        <f>COUNTIF(Tabelle7[EnuValue],Tabelle7[[#This Row],[EnuValue]])</f>
        <v>1</v>
      </c>
      <c r="G564" s="44" t="str">
        <f xml:space="preserve"> "  " &amp; Tabelle7[[#This Row],[EnuValue]] &amp; " = " &amp; Tabelle7[[#This Row],[Wert]]</f>
        <v xml:space="preserve">  hvacECT_DIRECTEVAPORATIVERIGIDMEDIAAIRCOOLER = 2</v>
      </c>
      <c r="H564" s="44" t="str">
        <f>"  If Wert = " &amp; Tabelle7[[#This Row],[EnuValue]] &amp; " then Res = ""." &amp; Tabelle7[[#This Row],[EnuRohValue]] &amp; "."""</f>
        <v xml:space="preserve">  If Wert = hvacECT_DIRECTEVAPORATIVERIGIDMEDIAAIRCOOLER then Res = ".DIRECTEVAPORATIVERIGIDMEDIAAIRCOOLER."</v>
      </c>
      <c r="I564" s="44" t="str">
        <f>"  If wert = ""." &amp; Tabelle7[[#This Row],[EnuRohValue]] &amp; "."" Then Res = " &amp; Tabelle7[[#This Row],[EnuValue]]</f>
        <v xml:space="preserve">  If wert = ".DIRECTEVAPORATIVERIGIDMEDIAAIRCOOLER." Then Res = hvacECT_DIRECTEVAPORATIVERIGIDMEDIAAIRCOOLER</v>
      </c>
    </row>
    <row r="565" spans="2:9" x14ac:dyDescent="0.25">
      <c r="B565" s="44">
        <v>3</v>
      </c>
      <c r="C565" s="45" t="s">
        <v>1567</v>
      </c>
      <c r="D565" s="44" t="s">
        <v>4145</v>
      </c>
      <c r="E565" s="44" t="str">
        <f>VLOOKUP(Tabelle7[[#This Row],[EnumName]],Enum[[IFC-Name]:[Präfix]],5,FALSE)&amp;Tabelle7[[#This Row],[EnuRohValue]]</f>
        <v>hvacECT_DIRECTEVAPORATIVESLINGERSPACKAGEDAIRCOOLER</v>
      </c>
      <c r="F565" s="44">
        <f>COUNTIF(Tabelle7[EnuValue],Tabelle7[[#This Row],[EnuValue]])</f>
        <v>1</v>
      </c>
      <c r="G565" s="44" t="str">
        <f xml:space="preserve"> "  " &amp; Tabelle7[[#This Row],[EnuValue]] &amp; " = " &amp; Tabelle7[[#This Row],[Wert]]</f>
        <v xml:space="preserve">  hvacECT_DIRECTEVAPORATIVESLINGERSPACKAGEDAIRCOOLER = 3</v>
      </c>
      <c r="H565" s="44" t="str">
        <f>"  If Wert = " &amp; Tabelle7[[#This Row],[EnuValue]] &amp; " then Res = ""." &amp; Tabelle7[[#This Row],[EnuRohValue]] &amp; "."""</f>
        <v xml:space="preserve">  If Wert = hvacECT_DIRECTEVAPORATIVESLINGERSPACKAGEDAIRCOOLER then Res = ".DIRECTEVAPORATIVESLINGERSPACKAGEDAIRCOOLER."</v>
      </c>
      <c r="I565" s="44" t="str">
        <f>"  If wert = ""." &amp; Tabelle7[[#This Row],[EnuRohValue]] &amp; "."" Then Res = " &amp; Tabelle7[[#This Row],[EnuValue]]</f>
        <v xml:space="preserve">  If wert = ".DIRECTEVAPORATIVESLINGERSPACKAGEDAIRCOOLER." Then Res = hvacECT_DIRECTEVAPORATIVESLINGERSPACKAGEDAIRCOOLER</v>
      </c>
    </row>
    <row r="566" spans="2:9" x14ac:dyDescent="0.25">
      <c r="B566" s="44">
        <v>4</v>
      </c>
      <c r="C566" s="45" t="s">
        <v>1567</v>
      </c>
      <c r="D566" s="44" t="s">
        <v>4146</v>
      </c>
      <c r="E566" s="44" t="str">
        <f>VLOOKUP(Tabelle7[[#This Row],[EnumName]],Enum[[IFC-Name]:[Präfix]],5,FALSE)&amp;Tabelle7[[#This Row],[EnuRohValue]]</f>
        <v>hvacECT_DIRECTEVAPORATIVEPACKAGEDROTARYAIRCOOLER</v>
      </c>
      <c r="F566" s="44">
        <f>COUNTIF(Tabelle7[EnuValue],Tabelle7[[#This Row],[EnuValue]])</f>
        <v>1</v>
      </c>
      <c r="G566" s="44" t="str">
        <f xml:space="preserve"> "  " &amp; Tabelle7[[#This Row],[EnuValue]] &amp; " = " &amp; Tabelle7[[#This Row],[Wert]]</f>
        <v xml:space="preserve">  hvacECT_DIRECTEVAPORATIVEPACKAGEDROTARYAIRCOOLER = 4</v>
      </c>
      <c r="H566" s="44" t="str">
        <f>"  If Wert = " &amp; Tabelle7[[#This Row],[EnuValue]] &amp; " then Res = ""." &amp; Tabelle7[[#This Row],[EnuRohValue]] &amp; "."""</f>
        <v xml:space="preserve">  If Wert = hvacECT_DIRECTEVAPORATIVEPACKAGEDROTARYAIRCOOLER then Res = ".DIRECTEVAPORATIVEPACKAGEDROTARYAIRCOOLER."</v>
      </c>
      <c r="I566" s="44" t="str">
        <f>"  If wert = ""." &amp; Tabelle7[[#This Row],[EnuRohValue]] &amp; "."" Then Res = " &amp; Tabelle7[[#This Row],[EnuValue]]</f>
        <v xml:space="preserve">  If wert = ".DIRECTEVAPORATIVEPACKAGEDROTARYAIRCOOLER." Then Res = hvacECT_DIRECTEVAPORATIVEPACKAGEDROTARYAIRCOOLER</v>
      </c>
    </row>
    <row r="567" spans="2:9" x14ac:dyDescent="0.25">
      <c r="B567" s="44">
        <v>5</v>
      </c>
      <c r="C567" s="45" t="s">
        <v>1567</v>
      </c>
      <c r="D567" s="44" t="s">
        <v>4147</v>
      </c>
      <c r="E567" s="44" t="str">
        <f>VLOOKUP(Tabelle7[[#This Row],[EnumName]],Enum[[IFC-Name]:[Präfix]],5,FALSE)&amp;Tabelle7[[#This Row],[EnuRohValue]]</f>
        <v>hvacECT_DIRECTEVAPORATIVEAIRWASHER</v>
      </c>
      <c r="F567" s="44">
        <f>COUNTIF(Tabelle7[EnuValue],Tabelle7[[#This Row],[EnuValue]])</f>
        <v>1</v>
      </c>
      <c r="G567" s="44" t="str">
        <f xml:space="preserve"> "  " &amp; Tabelle7[[#This Row],[EnuValue]] &amp; " = " &amp; Tabelle7[[#This Row],[Wert]]</f>
        <v xml:space="preserve">  hvacECT_DIRECTEVAPORATIVEAIRWASHER = 5</v>
      </c>
      <c r="H567" s="44" t="str">
        <f>"  If Wert = " &amp; Tabelle7[[#This Row],[EnuValue]] &amp; " then Res = ""." &amp; Tabelle7[[#This Row],[EnuRohValue]] &amp; "."""</f>
        <v xml:space="preserve">  If Wert = hvacECT_DIRECTEVAPORATIVEAIRWASHER then Res = ".DIRECTEVAPORATIVEAIRWASHER."</v>
      </c>
      <c r="I567" s="44" t="str">
        <f>"  If wert = ""." &amp; Tabelle7[[#This Row],[EnuRohValue]] &amp; "."" Then Res = " &amp; Tabelle7[[#This Row],[EnuValue]]</f>
        <v xml:space="preserve">  If wert = ".DIRECTEVAPORATIVEAIRWASHER." Then Res = hvacECT_DIRECTEVAPORATIVEAIRWASHER</v>
      </c>
    </row>
    <row r="568" spans="2:9" x14ac:dyDescent="0.25">
      <c r="B568" s="44">
        <v>6</v>
      </c>
      <c r="C568" s="45" t="s">
        <v>1567</v>
      </c>
      <c r="D568" s="44" t="s">
        <v>4148</v>
      </c>
      <c r="E568" s="44" t="str">
        <f>VLOOKUP(Tabelle7[[#This Row],[EnumName]],Enum[[IFC-Name]:[Präfix]],5,FALSE)&amp;Tabelle7[[#This Row],[EnuRohValue]]</f>
        <v>hvacECT_INDIRECTEVAPORATIVEPACKAGEAIRCOOLER</v>
      </c>
      <c r="F568" s="44">
        <f>COUNTIF(Tabelle7[EnuValue],Tabelle7[[#This Row],[EnuValue]])</f>
        <v>1</v>
      </c>
      <c r="G568" s="44" t="str">
        <f xml:space="preserve"> "  " &amp; Tabelle7[[#This Row],[EnuValue]] &amp; " = " &amp; Tabelle7[[#This Row],[Wert]]</f>
        <v xml:space="preserve">  hvacECT_INDIRECTEVAPORATIVEPACKAGEAIRCOOLER = 6</v>
      </c>
      <c r="H568" s="44" t="str">
        <f>"  If Wert = " &amp; Tabelle7[[#This Row],[EnuValue]] &amp; " then Res = ""." &amp; Tabelle7[[#This Row],[EnuRohValue]] &amp; "."""</f>
        <v xml:space="preserve">  If Wert = hvacECT_INDIRECTEVAPORATIVEPACKAGEAIRCOOLER then Res = ".INDIRECTEVAPORATIVEPACKAGEAIRCOOLER."</v>
      </c>
      <c r="I568" s="44" t="str">
        <f>"  If wert = ""." &amp; Tabelle7[[#This Row],[EnuRohValue]] &amp; "."" Then Res = " &amp; Tabelle7[[#This Row],[EnuValue]]</f>
        <v xml:space="preserve">  If wert = ".INDIRECTEVAPORATIVEPACKAGEAIRCOOLER." Then Res = hvacECT_INDIRECTEVAPORATIVEPACKAGEAIRCOOLER</v>
      </c>
    </row>
    <row r="569" spans="2:9" x14ac:dyDescent="0.25">
      <c r="B569" s="44">
        <v>7</v>
      </c>
      <c r="C569" s="45" t="s">
        <v>1567</v>
      </c>
      <c r="D569" s="44" t="s">
        <v>4149</v>
      </c>
      <c r="E569" s="44" t="str">
        <f>VLOOKUP(Tabelle7[[#This Row],[EnumName]],Enum[[IFC-Name]:[Präfix]],5,FALSE)&amp;Tabelle7[[#This Row],[EnuRohValue]]</f>
        <v>hvacECT_INDIRECTEVAPORATIVEWETCOIL</v>
      </c>
      <c r="F569" s="44">
        <f>COUNTIF(Tabelle7[EnuValue],Tabelle7[[#This Row],[EnuValue]])</f>
        <v>1</v>
      </c>
      <c r="G569" s="44" t="str">
        <f xml:space="preserve"> "  " &amp; Tabelle7[[#This Row],[EnuValue]] &amp; " = " &amp; Tabelle7[[#This Row],[Wert]]</f>
        <v xml:space="preserve">  hvacECT_INDIRECTEVAPORATIVEWETCOIL = 7</v>
      </c>
      <c r="H569" s="44" t="str">
        <f>"  If Wert = " &amp; Tabelle7[[#This Row],[EnuValue]] &amp; " then Res = ""." &amp; Tabelle7[[#This Row],[EnuRohValue]] &amp; "."""</f>
        <v xml:space="preserve">  If Wert = hvacECT_INDIRECTEVAPORATIVEWETCOIL then Res = ".INDIRECTEVAPORATIVEWETCOIL."</v>
      </c>
      <c r="I569" s="44" t="str">
        <f>"  If wert = ""." &amp; Tabelle7[[#This Row],[EnuRohValue]] &amp; "."" Then Res = " &amp; Tabelle7[[#This Row],[EnuValue]]</f>
        <v xml:space="preserve">  If wert = ".INDIRECTEVAPORATIVEWETCOIL." Then Res = hvacECT_INDIRECTEVAPORATIVEWETCOIL</v>
      </c>
    </row>
    <row r="570" spans="2:9" x14ac:dyDescent="0.25">
      <c r="B570" s="44">
        <v>8</v>
      </c>
      <c r="C570" s="45" t="s">
        <v>1567</v>
      </c>
      <c r="D570" s="44" t="s">
        <v>4150</v>
      </c>
      <c r="E570" s="44" t="str">
        <f>VLOOKUP(Tabelle7[[#This Row],[EnumName]],Enum[[IFC-Name]:[Präfix]],5,FALSE)&amp;Tabelle7[[#This Row],[EnuRohValue]]</f>
        <v>hvacECT_INDIRECTEVAPORATIVECOOLINGTOWERORCOILCOOLER</v>
      </c>
      <c r="F570" s="44">
        <f>COUNTIF(Tabelle7[EnuValue],Tabelle7[[#This Row],[EnuValue]])</f>
        <v>1</v>
      </c>
      <c r="G570" s="44" t="str">
        <f xml:space="preserve"> "  " &amp; Tabelle7[[#This Row],[EnuValue]] &amp; " = " &amp; Tabelle7[[#This Row],[Wert]]</f>
        <v xml:space="preserve">  hvacECT_INDIRECTEVAPORATIVECOOLINGTOWERORCOILCOOLER = 8</v>
      </c>
      <c r="H570" s="44" t="str">
        <f>"  If Wert = " &amp; Tabelle7[[#This Row],[EnuValue]] &amp; " then Res = ""." &amp; Tabelle7[[#This Row],[EnuRohValue]] &amp; "."""</f>
        <v xml:space="preserve">  If Wert = hvacECT_INDIRECTEVAPORATIVECOOLINGTOWERORCOILCOOLER then Res = ".INDIRECTEVAPORATIVECOOLINGTOWERORCOILCOOLER."</v>
      </c>
      <c r="I570" s="44" t="str">
        <f>"  If wert = ""." &amp; Tabelle7[[#This Row],[EnuRohValue]] &amp; "."" Then Res = " &amp; Tabelle7[[#This Row],[EnuValue]]</f>
        <v xml:space="preserve">  If wert = ".INDIRECTEVAPORATIVECOOLINGTOWERORCOILCOOLER." Then Res = hvacECT_INDIRECTEVAPORATIVECOOLINGTOWERORCOILCOOLER</v>
      </c>
    </row>
    <row r="571" spans="2:9" x14ac:dyDescent="0.25">
      <c r="B571" s="44">
        <v>9</v>
      </c>
      <c r="C571" s="45" t="s">
        <v>1567</v>
      </c>
      <c r="D571" s="44" t="s">
        <v>4151</v>
      </c>
      <c r="E571" s="44" t="str">
        <f>VLOOKUP(Tabelle7[[#This Row],[EnumName]],Enum[[IFC-Name]:[Präfix]],5,FALSE)&amp;Tabelle7[[#This Row],[EnuRohValue]]</f>
        <v>hvacECT_INDIRECTDIRECTCOMBINATION</v>
      </c>
      <c r="F571" s="44">
        <f>COUNTIF(Tabelle7[EnuValue],Tabelle7[[#This Row],[EnuValue]])</f>
        <v>1</v>
      </c>
      <c r="G571" s="44" t="str">
        <f xml:space="preserve"> "  " &amp; Tabelle7[[#This Row],[EnuValue]] &amp; " = " &amp; Tabelle7[[#This Row],[Wert]]</f>
        <v xml:space="preserve">  hvacECT_INDIRECTDIRECTCOMBINATION = 9</v>
      </c>
      <c r="H571" s="44" t="str">
        <f>"  If Wert = " &amp; Tabelle7[[#This Row],[EnuValue]] &amp; " then Res = ""." &amp; Tabelle7[[#This Row],[EnuRohValue]] &amp; "."""</f>
        <v xml:space="preserve">  If Wert = hvacECT_INDIRECTDIRECTCOMBINATION then Res = ".INDIRECTDIRECTCOMBINATION."</v>
      </c>
      <c r="I571" s="44" t="str">
        <f>"  If wert = ""." &amp; Tabelle7[[#This Row],[EnuRohValue]] &amp; "."" Then Res = " &amp; Tabelle7[[#This Row],[EnuValue]]</f>
        <v xml:space="preserve">  If wert = ".INDIRECTDIRECTCOMBINATION." Then Res = hvacECT_INDIRECTDIRECTCOMBINATION</v>
      </c>
    </row>
    <row r="572" spans="2:9" x14ac:dyDescent="0.25">
      <c r="B572" s="44">
        <v>10</v>
      </c>
      <c r="C572" s="45" t="s">
        <v>1567</v>
      </c>
      <c r="D572" s="44" t="s">
        <v>3682</v>
      </c>
      <c r="E572" s="44" t="str">
        <f>VLOOKUP(Tabelle7[[#This Row],[EnumName]],Enum[[IFC-Name]:[Präfix]],5,FALSE)&amp;Tabelle7[[#This Row],[EnuRohValue]]</f>
        <v>hvacECT_USERDEFINED</v>
      </c>
      <c r="F572" s="44">
        <f>COUNTIF(Tabelle7[EnuValue],Tabelle7[[#This Row],[EnuValue]])</f>
        <v>1</v>
      </c>
      <c r="G572" s="44" t="str">
        <f xml:space="preserve"> "  " &amp; Tabelle7[[#This Row],[EnuValue]] &amp; " = " &amp; Tabelle7[[#This Row],[Wert]]</f>
        <v xml:space="preserve">  hvacECT_USERDEFINED = 10</v>
      </c>
      <c r="H572" s="44" t="str">
        <f>"  If Wert = " &amp; Tabelle7[[#This Row],[EnuValue]] &amp; " then Res = ""." &amp; Tabelle7[[#This Row],[EnuRohValue]] &amp; "."""</f>
        <v xml:space="preserve">  If Wert = hvacECT_USERDEFINED then Res = ".USERDEFINED."</v>
      </c>
      <c r="I572" s="44" t="str">
        <f>"  If wert = ""." &amp; Tabelle7[[#This Row],[EnuRohValue]] &amp; "."" Then Res = " &amp; Tabelle7[[#This Row],[EnuValue]]</f>
        <v xml:space="preserve">  If wert = ".USERDEFINED." Then Res = hvacECT_USERDEFINED</v>
      </c>
    </row>
    <row r="573" spans="2:9" x14ac:dyDescent="0.25">
      <c r="B573" s="44">
        <v>11</v>
      </c>
      <c r="C573" s="45" t="s">
        <v>1567</v>
      </c>
      <c r="D573" s="44" t="s">
        <v>3683</v>
      </c>
      <c r="E573" s="44" t="str">
        <f>VLOOKUP(Tabelle7[[#This Row],[EnumName]],Enum[[IFC-Name]:[Präfix]],5,FALSE)&amp;Tabelle7[[#This Row],[EnuRohValue]]</f>
        <v>hvacECT_NOTDEFINED</v>
      </c>
      <c r="F573" s="44">
        <f>COUNTIF(Tabelle7[EnuValue],Tabelle7[[#This Row],[EnuValue]])</f>
        <v>1</v>
      </c>
      <c r="G573" s="44" t="str">
        <f xml:space="preserve"> "  " &amp; Tabelle7[[#This Row],[EnuValue]] &amp; " = " &amp; Tabelle7[[#This Row],[Wert]]</f>
        <v xml:space="preserve">  hvacECT_NOTDEFINED = 11</v>
      </c>
      <c r="H573" s="44" t="str">
        <f>"  If Wert = " &amp; Tabelle7[[#This Row],[EnuValue]] &amp; " then Res = ""." &amp; Tabelle7[[#This Row],[EnuRohValue]] &amp; "."""</f>
        <v xml:space="preserve">  If Wert = hvacECT_NOTDEFINED then Res = ".NOTDEFINED."</v>
      </c>
      <c r="I573" s="44" t="str">
        <f>"  If wert = ""." &amp; Tabelle7[[#This Row],[EnuRohValue]] &amp; "."" Then Res = " &amp; Tabelle7[[#This Row],[EnuValue]]</f>
        <v xml:space="preserve">  If wert = ".NOTDEFINED." Then Res = hvacECT_NOTDEFINED</v>
      </c>
    </row>
    <row r="574" spans="2:9" x14ac:dyDescent="0.25">
      <c r="B574" s="44">
        <v>1</v>
      </c>
      <c r="C574" s="45" t="s">
        <v>1568</v>
      </c>
      <c r="D574" s="44" t="s">
        <v>4152</v>
      </c>
      <c r="E574" s="44" t="str">
        <f>VLOOKUP(Tabelle7[[#This Row],[EnumName]],Enum[[IFC-Name]:[Präfix]],5,FALSE)&amp;Tabelle7[[#This Row],[EnuRohValue]]</f>
        <v>hvacET_DIRECTEXPANSIONSHELLANDTUBE</v>
      </c>
      <c r="F574" s="44">
        <f>COUNTIF(Tabelle7[EnuValue],Tabelle7[[#This Row],[EnuValue]])</f>
        <v>1</v>
      </c>
      <c r="G574" s="44" t="str">
        <f xml:space="preserve"> "  " &amp; Tabelle7[[#This Row],[EnuValue]] &amp; " = " &amp; Tabelle7[[#This Row],[Wert]]</f>
        <v xml:space="preserve">  hvacET_DIRECTEXPANSIONSHELLANDTUBE = 1</v>
      </c>
      <c r="H574" s="44" t="str">
        <f>"  If Wert = " &amp; Tabelle7[[#This Row],[EnuValue]] &amp; " then Res = ""." &amp; Tabelle7[[#This Row],[EnuRohValue]] &amp; "."""</f>
        <v xml:space="preserve">  If Wert = hvacET_DIRECTEXPANSIONSHELLANDTUBE then Res = ".DIRECTEXPANSIONSHELLANDTUBE."</v>
      </c>
      <c r="I574" s="44" t="str">
        <f>"  If wert = ""." &amp; Tabelle7[[#This Row],[EnuRohValue]] &amp; "."" Then Res = " &amp; Tabelle7[[#This Row],[EnuValue]]</f>
        <v xml:space="preserve">  If wert = ".DIRECTEXPANSIONSHELLANDTUBE." Then Res = hvacET_DIRECTEXPANSIONSHELLANDTUBE</v>
      </c>
    </row>
    <row r="575" spans="2:9" x14ac:dyDescent="0.25">
      <c r="B575" s="44">
        <v>2</v>
      </c>
      <c r="C575" s="45" t="s">
        <v>1568</v>
      </c>
      <c r="D575" s="44" t="s">
        <v>4153</v>
      </c>
      <c r="E575" s="44" t="str">
        <f>VLOOKUP(Tabelle7[[#This Row],[EnumName]],Enum[[IFC-Name]:[Präfix]],5,FALSE)&amp;Tabelle7[[#This Row],[EnuRohValue]]</f>
        <v>hvacET_DIRECTEXPANSIONTUBEINTUBE</v>
      </c>
      <c r="F575" s="44">
        <f>COUNTIF(Tabelle7[EnuValue],Tabelle7[[#This Row],[EnuValue]])</f>
        <v>1</v>
      </c>
      <c r="G575" s="44" t="str">
        <f xml:space="preserve"> "  " &amp; Tabelle7[[#This Row],[EnuValue]] &amp; " = " &amp; Tabelle7[[#This Row],[Wert]]</f>
        <v xml:space="preserve">  hvacET_DIRECTEXPANSIONTUBEINTUBE = 2</v>
      </c>
      <c r="H575" s="44" t="str">
        <f>"  If Wert = " &amp; Tabelle7[[#This Row],[EnuValue]] &amp; " then Res = ""." &amp; Tabelle7[[#This Row],[EnuRohValue]] &amp; "."""</f>
        <v xml:space="preserve">  If Wert = hvacET_DIRECTEXPANSIONTUBEINTUBE then Res = ".DIRECTEXPANSIONTUBEINTUBE."</v>
      </c>
      <c r="I575" s="44" t="str">
        <f>"  If wert = ""." &amp; Tabelle7[[#This Row],[EnuRohValue]] &amp; "."" Then Res = " &amp; Tabelle7[[#This Row],[EnuValue]]</f>
        <v xml:space="preserve">  If wert = ".DIRECTEXPANSIONTUBEINTUBE." Then Res = hvacET_DIRECTEXPANSIONTUBEINTUBE</v>
      </c>
    </row>
    <row r="576" spans="2:9" x14ac:dyDescent="0.25">
      <c r="B576" s="44">
        <v>3</v>
      </c>
      <c r="C576" s="45" t="s">
        <v>1568</v>
      </c>
      <c r="D576" s="44" t="s">
        <v>4154</v>
      </c>
      <c r="E576" s="44" t="str">
        <f>VLOOKUP(Tabelle7[[#This Row],[EnumName]],Enum[[IFC-Name]:[Präfix]],5,FALSE)&amp;Tabelle7[[#This Row],[EnuRohValue]]</f>
        <v>hvacET_DIRECTEXPANSIONBRAZEDPLATE</v>
      </c>
      <c r="F576" s="44">
        <f>COUNTIF(Tabelle7[EnuValue],Tabelle7[[#This Row],[EnuValue]])</f>
        <v>1</v>
      </c>
      <c r="G576" s="44" t="str">
        <f xml:space="preserve"> "  " &amp; Tabelle7[[#This Row],[EnuValue]] &amp; " = " &amp; Tabelle7[[#This Row],[Wert]]</f>
        <v xml:space="preserve">  hvacET_DIRECTEXPANSIONBRAZEDPLATE = 3</v>
      </c>
      <c r="H576" s="44" t="str">
        <f>"  If Wert = " &amp; Tabelle7[[#This Row],[EnuValue]] &amp; " then Res = ""." &amp; Tabelle7[[#This Row],[EnuRohValue]] &amp; "."""</f>
        <v xml:space="preserve">  If Wert = hvacET_DIRECTEXPANSIONBRAZEDPLATE then Res = ".DIRECTEXPANSIONBRAZEDPLATE."</v>
      </c>
      <c r="I576" s="44" t="str">
        <f>"  If wert = ""." &amp; Tabelle7[[#This Row],[EnuRohValue]] &amp; "."" Then Res = " &amp; Tabelle7[[#This Row],[EnuValue]]</f>
        <v xml:space="preserve">  If wert = ".DIRECTEXPANSIONBRAZEDPLATE." Then Res = hvacET_DIRECTEXPANSIONBRAZEDPLATE</v>
      </c>
    </row>
    <row r="577" spans="2:9" x14ac:dyDescent="0.25">
      <c r="B577" s="44">
        <v>4</v>
      </c>
      <c r="C577" s="45" t="s">
        <v>1568</v>
      </c>
      <c r="D577" s="44" t="s">
        <v>4155</v>
      </c>
      <c r="E577" s="44" t="str">
        <f>VLOOKUP(Tabelle7[[#This Row],[EnumName]],Enum[[IFC-Name]:[Präfix]],5,FALSE)&amp;Tabelle7[[#This Row],[EnuRohValue]]</f>
        <v>hvacET_FLOODEDSHELLANDTUBE</v>
      </c>
      <c r="F577" s="44">
        <f>COUNTIF(Tabelle7[EnuValue],Tabelle7[[#This Row],[EnuValue]])</f>
        <v>1</v>
      </c>
      <c r="G577" s="44" t="str">
        <f xml:space="preserve"> "  " &amp; Tabelle7[[#This Row],[EnuValue]] &amp; " = " &amp; Tabelle7[[#This Row],[Wert]]</f>
        <v xml:space="preserve">  hvacET_FLOODEDSHELLANDTUBE = 4</v>
      </c>
      <c r="H577" s="44" t="str">
        <f>"  If Wert = " &amp; Tabelle7[[#This Row],[EnuValue]] &amp; " then Res = ""." &amp; Tabelle7[[#This Row],[EnuRohValue]] &amp; "."""</f>
        <v xml:space="preserve">  If Wert = hvacET_FLOODEDSHELLANDTUBE then Res = ".FLOODEDSHELLANDTUBE."</v>
      </c>
      <c r="I577" s="44" t="str">
        <f>"  If wert = ""." &amp; Tabelle7[[#This Row],[EnuRohValue]] &amp; "."" Then Res = " &amp; Tabelle7[[#This Row],[EnuValue]]</f>
        <v xml:space="preserve">  If wert = ".FLOODEDSHELLANDTUBE." Then Res = hvacET_FLOODEDSHELLANDTUBE</v>
      </c>
    </row>
    <row r="578" spans="2:9" x14ac:dyDescent="0.25">
      <c r="B578" s="44">
        <v>5</v>
      </c>
      <c r="C578" s="45" t="s">
        <v>1568</v>
      </c>
      <c r="D578" s="44" t="s">
        <v>4156</v>
      </c>
      <c r="E578" s="44" t="str">
        <f>VLOOKUP(Tabelle7[[#This Row],[EnumName]],Enum[[IFC-Name]:[Präfix]],5,FALSE)&amp;Tabelle7[[#This Row],[EnuRohValue]]</f>
        <v>hvacET_SHELLANDCOIL</v>
      </c>
      <c r="F578" s="44">
        <f>COUNTIF(Tabelle7[EnuValue],Tabelle7[[#This Row],[EnuValue]])</f>
        <v>1</v>
      </c>
      <c r="G578" s="44" t="str">
        <f xml:space="preserve"> "  " &amp; Tabelle7[[#This Row],[EnuValue]] &amp; " = " &amp; Tabelle7[[#This Row],[Wert]]</f>
        <v xml:space="preserve">  hvacET_SHELLANDCOIL = 5</v>
      </c>
      <c r="H578" s="44" t="str">
        <f>"  If Wert = " &amp; Tabelle7[[#This Row],[EnuValue]] &amp; " then Res = ""." &amp; Tabelle7[[#This Row],[EnuRohValue]] &amp; "."""</f>
        <v xml:space="preserve">  If Wert = hvacET_SHELLANDCOIL then Res = ".SHELLANDCOIL."</v>
      </c>
      <c r="I578" s="44" t="str">
        <f>"  If wert = ""." &amp; Tabelle7[[#This Row],[EnuRohValue]] &amp; "."" Then Res = " &amp; Tabelle7[[#This Row],[EnuValue]]</f>
        <v xml:space="preserve">  If wert = ".SHELLANDCOIL." Then Res = hvacET_SHELLANDCOIL</v>
      </c>
    </row>
    <row r="579" spans="2:9" x14ac:dyDescent="0.25">
      <c r="B579" s="44">
        <v>6</v>
      </c>
      <c r="C579" s="45" t="s">
        <v>1568</v>
      </c>
      <c r="D579" s="44" t="s">
        <v>3682</v>
      </c>
      <c r="E579" s="44" t="str">
        <f>VLOOKUP(Tabelle7[[#This Row],[EnumName]],Enum[[IFC-Name]:[Präfix]],5,FALSE)&amp;Tabelle7[[#This Row],[EnuRohValue]]</f>
        <v>hvacET_USERDEFINED</v>
      </c>
      <c r="F579" s="44">
        <f>COUNTIF(Tabelle7[EnuValue],Tabelle7[[#This Row],[EnuValue]])</f>
        <v>1</v>
      </c>
      <c r="G579" s="44" t="str">
        <f xml:space="preserve"> "  " &amp; Tabelle7[[#This Row],[EnuValue]] &amp; " = " &amp; Tabelle7[[#This Row],[Wert]]</f>
        <v xml:space="preserve">  hvacET_USERDEFINED = 6</v>
      </c>
      <c r="H579" s="44" t="str">
        <f>"  If Wert = " &amp; Tabelle7[[#This Row],[EnuValue]] &amp; " then Res = ""." &amp; Tabelle7[[#This Row],[EnuRohValue]] &amp; "."""</f>
        <v xml:space="preserve">  If Wert = hvacET_USERDEFINED then Res = ".USERDEFINED."</v>
      </c>
      <c r="I579" s="44" t="str">
        <f>"  If wert = ""." &amp; Tabelle7[[#This Row],[EnuRohValue]] &amp; "."" Then Res = " &amp; Tabelle7[[#This Row],[EnuValue]]</f>
        <v xml:space="preserve">  If wert = ".USERDEFINED." Then Res = hvacET_USERDEFINED</v>
      </c>
    </row>
    <row r="580" spans="2:9" x14ac:dyDescent="0.25">
      <c r="B580" s="44">
        <v>7</v>
      </c>
      <c r="C580" s="45" t="s">
        <v>1568</v>
      </c>
      <c r="D580" s="44" t="s">
        <v>3683</v>
      </c>
      <c r="E580" s="44" t="str">
        <f>VLOOKUP(Tabelle7[[#This Row],[EnumName]],Enum[[IFC-Name]:[Präfix]],5,FALSE)&amp;Tabelle7[[#This Row],[EnuRohValue]]</f>
        <v>hvacET_NOTDEFINED</v>
      </c>
      <c r="F580" s="44">
        <f>COUNTIF(Tabelle7[EnuValue],Tabelle7[[#This Row],[EnuValue]])</f>
        <v>1</v>
      </c>
      <c r="G580" s="44" t="str">
        <f xml:space="preserve"> "  " &amp; Tabelle7[[#This Row],[EnuValue]] &amp; " = " &amp; Tabelle7[[#This Row],[Wert]]</f>
        <v xml:space="preserve">  hvacET_NOTDEFINED = 7</v>
      </c>
      <c r="H580" s="44" t="str">
        <f>"  If Wert = " &amp; Tabelle7[[#This Row],[EnuValue]] &amp; " then Res = ""." &amp; Tabelle7[[#This Row],[EnuRohValue]] &amp; "."""</f>
        <v xml:space="preserve">  If Wert = hvacET_NOTDEFINED then Res = ".NOTDEFINED."</v>
      </c>
      <c r="I580" s="44" t="str">
        <f>"  If wert = ""." &amp; Tabelle7[[#This Row],[EnuRohValue]] &amp; "."" Then Res = " &amp; Tabelle7[[#This Row],[EnuValue]]</f>
        <v xml:space="preserve">  If wert = ".NOTDEFINED." Then Res = hvacET_NOTDEFINED</v>
      </c>
    </row>
    <row r="581" spans="2:9" x14ac:dyDescent="0.25">
      <c r="B581" s="44">
        <v>1</v>
      </c>
      <c r="C581" s="45" t="s">
        <v>1569</v>
      </c>
      <c r="D581" s="44" t="s">
        <v>4157</v>
      </c>
      <c r="E581" s="44" t="str">
        <f>VLOOKUP(Tabelle7[[#This Row],[EnumName]],Enum[[IFC-Name]:[Präfix]],5,FALSE)&amp;Tabelle7[[#This Row],[EnuRohValue]]</f>
        <v>hvacFaT_CENTRIFUGALFORWARDCURVED</v>
      </c>
      <c r="F581" s="44">
        <f>COUNTIF(Tabelle7[EnuValue],Tabelle7[[#This Row],[EnuValue]])</f>
        <v>1</v>
      </c>
      <c r="G581" s="44" t="str">
        <f xml:space="preserve"> "  " &amp; Tabelle7[[#This Row],[EnuValue]] &amp; " = " &amp; Tabelle7[[#This Row],[Wert]]</f>
        <v xml:space="preserve">  hvacFaT_CENTRIFUGALFORWARDCURVED = 1</v>
      </c>
      <c r="H581" s="44" t="str">
        <f>"  If Wert = " &amp; Tabelle7[[#This Row],[EnuValue]] &amp; " then Res = ""." &amp; Tabelle7[[#This Row],[EnuRohValue]] &amp; "."""</f>
        <v xml:space="preserve">  If Wert = hvacFaT_CENTRIFUGALFORWARDCURVED then Res = ".CENTRIFUGALFORWARDCURVED."</v>
      </c>
      <c r="I581" s="44" t="str">
        <f>"  If wert = ""." &amp; Tabelle7[[#This Row],[EnuRohValue]] &amp; "."" Then Res = " &amp; Tabelle7[[#This Row],[EnuValue]]</f>
        <v xml:space="preserve">  If wert = ".CENTRIFUGALFORWARDCURVED." Then Res = hvacFaT_CENTRIFUGALFORWARDCURVED</v>
      </c>
    </row>
    <row r="582" spans="2:9" x14ac:dyDescent="0.25">
      <c r="B582" s="44">
        <v>2</v>
      </c>
      <c r="C582" s="45" t="s">
        <v>1569</v>
      </c>
      <c r="D582" s="44" t="s">
        <v>4158</v>
      </c>
      <c r="E582" s="44" t="str">
        <f>VLOOKUP(Tabelle7[[#This Row],[EnumName]],Enum[[IFC-Name]:[Präfix]],5,FALSE)&amp;Tabelle7[[#This Row],[EnuRohValue]]</f>
        <v>hvacFaT_CENTRIFUGALRADIAL</v>
      </c>
      <c r="F582" s="44">
        <f>COUNTIF(Tabelle7[EnuValue],Tabelle7[[#This Row],[EnuValue]])</f>
        <v>1</v>
      </c>
      <c r="G582" s="44" t="str">
        <f xml:space="preserve"> "  " &amp; Tabelle7[[#This Row],[EnuValue]] &amp; " = " &amp; Tabelle7[[#This Row],[Wert]]</f>
        <v xml:space="preserve">  hvacFaT_CENTRIFUGALRADIAL = 2</v>
      </c>
      <c r="H582" s="44" t="str">
        <f>"  If Wert = " &amp; Tabelle7[[#This Row],[EnuValue]] &amp; " then Res = ""." &amp; Tabelle7[[#This Row],[EnuRohValue]] &amp; "."""</f>
        <v xml:space="preserve">  If Wert = hvacFaT_CENTRIFUGALRADIAL then Res = ".CENTRIFUGALRADIAL."</v>
      </c>
      <c r="I582" s="44" t="str">
        <f>"  If wert = ""." &amp; Tabelle7[[#This Row],[EnuRohValue]] &amp; "."" Then Res = " &amp; Tabelle7[[#This Row],[EnuValue]]</f>
        <v xml:space="preserve">  If wert = ".CENTRIFUGALRADIAL." Then Res = hvacFaT_CENTRIFUGALRADIAL</v>
      </c>
    </row>
    <row r="583" spans="2:9" x14ac:dyDescent="0.25">
      <c r="B583" s="44">
        <v>3</v>
      </c>
      <c r="C583" s="45" t="s">
        <v>1569</v>
      </c>
      <c r="D583" s="44" t="s">
        <v>4159</v>
      </c>
      <c r="E583" s="44" t="str">
        <f>VLOOKUP(Tabelle7[[#This Row],[EnumName]],Enum[[IFC-Name]:[Präfix]],5,FALSE)&amp;Tabelle7[[#This Row],[EnuRohValue]]</f>
        <v>hvacFaT_CENTRIFUGALBACKWARDINCLINEDCURVED</v>
      </c>
      <c r="F583" s="44">
        <f>COUNTIF(Tabelle7[EnuValue],Tabelle7[[#This Row],[EnuValue]])</f>
        <v>1</v>
      </c>
      <c r="G583" s="44" t="str">
        <f xml:space="preserve"> "  " &amp; Tabelle7[[#This Row],[EnuValue]] &amp; " = " &amp; Tabelle7[[#This Row],[Wert]]</f>
        <v xml:space="preserve">  hvacFaT_CENTRIFUGALBACKWARDINCLINEDCURVED = 3</v>
      </c>
      <c r="H583" s="44" t="str">
        <f>"  If Wert = " &amp; Tabelle7[[#This Row],[EnuValue]] &amp; " then Res = ""." &amp; Tabelle7[[#This Row],[EnuRohValue]] &amp; "."""</f>
        <v xml:space="preserve">  If Wert = hvacFaT_CENTRIFUGALBACKWARDINCLINEDCURVED then Res = ".CENTRIFUGALBACKWARDINCLINEDCURVED."</v>
      </c>
      <c r="I583" s="44" t="str">
        <f>"  If wert = ""." &amp; Tabelle7[[#This Row],[EnuRohValue]] &amp; "."" Then Res = " &amp; Tabelle7[[#This Row],[EnuValue]]</f>
        <v xml:space="preserve">  If wert = ".CENTRIFUGALBACKWARDINCLINEDCURVED." Then Res = hvacFaT_CENTRIFUGALBACKWARDINCLINEDCURVED</v>
      </c>
    </row>
    <row r="584" spans="2:9" x14ac:dyDescent="0.25">
      <c r="B584" s="44">
        <v>4</v>
      </c>
      <c r="C584" s="45" t="s">
        <v>1569</v>
      </c>
      <c r="D584" s="44" t="s">
        <v>4160</v>
      </c>
      <c r="E584" s="44" t="str">
        <f>VLOOKUP(Tabelle7[[#This Row],[EnumName]],Enum[[IFC-Name]:[Präfix]],5,FALSE)&amp;Tabelle7[[#This Row],[EnuRohValue]]</f>
        <v>hvacFaT_CENTRIFUGALAIRFOIL</v>
      </c>
      <c r="F584" s="44">
        <f>COUNTIF(Tabelle7[EnuValue],Tabelle7[[#This Row],[EnuValue]])</f>
        <v>1</v>
      </c>
      <c r="G584" s="44" t="str">
        <f xml:space="preserve"> "  " &amp; Tabelle7[[#This Row],[EnuValue]] &amp; " = " &amp; Tabelle7[[#This Row],[Wert]]</f>
        <v xml:space="preserve">  hvacFaT_CENTRIFUGALAIRFOIL = 4</v>
      </c>
      <c r="H584" s="44" t="str">
        <f>"  If Wert = " &amp; Tabelle7[[#This Row],[EnuValue]] &amp; " then Res = ""." &amp; Tabelle7[[#This Row],[EnuRohValue]] &amp; "."""</f>
        <v xml:space="preserve">  If Wert = hvacFaT_CENTRIFUGALAIRFOIL then Res = ".CENTRIFUGALAIRFOIL."</v>
      </c>
      <c r="I584" s="44" t="str">
        <f>"  If wert = ""." &amp; Tabelle7[[#This Row],[EnuRohValue]] &amp; "."" Then Res = " &amp; Tabelle7[[#This Row],[EnuValue]]</f>
        <v xml:space="preserve">  If wert = ".CENTRIFUGALAIRFOIL." Then Res = hvacFaT_CENTRIFUGALAIRFOIL</v>
      </c>
    </row>
    <row r="585" spans="2:9" x14ac:dyDescent="0.25">
      <c r="B585" s="44">
        <v>5</v>
      </c>
      <c r="C585" s="45" t="s">
        <v>1569</v>
      </c>
      <c r="D585" s="44" t="s">
        <v>4161</v>
      </c>
      <c r="E585" s="44" t="str">
        <f>VLOOKUP(Tabelle7[[#This Row],[EnumName]],Enum[[IFC-Name]:[Präfix]],5,FALSE)&amp;Tabelle7[[#This Row],[EnuRohValue]]</f>
        <v>hvacFaT_TUBEAXIAL</v>
      </c>
      <c r="F585" s="44">
        <f>COUNTIF(Tabelle7[EnuValue],Tabelle7[[#This Row],[EnuValue]])</f>
        <v>1</v>
      </c>
      <c r="G585" s="44" t="str">
        <f xml:space="preserve"> "  " &amp; Tabelle7[[#This Row],[EnuValue]] &amp; " = " &amp; Tabelle7[[#This Row],[Wert]]</f>
        <v xml:space="preserve">  hvacFaT_TUBEAXIAL = 5</v>
      </c>
      <c r="H585" s="44" t="str">
        <f>"  If Wert = " &amp; Tabelle7[[#This Row],[EnuValue]] &amp; " then Res = ""." &amp; Tabelle7[[#This Row],[EnuRohValue]] &amp; "."""</f>
        <v xml:space="preserve">  If Wert = hvacFaT_TUBEAXIAL then Res = ".TUBEAXIAL."</v>
      </c>
      <c r="I585" s="44" t="str">
        <f>"  If wert = ""." &amp; Tabelle7[[#This Row],[EnuRohValue]] &amp; "."" Then Res = " &amp; Tabelle7[[#This Row],[EnuValue]]</f>
        <v xml:space="preserve">  If wert = ".TUBEAXIAL." Then Res = hvacFaT_TUBEAXIAL</v>
      </c>
    </row>
    <row r="586" spans="2:9" x14ac:dyDescent="0.25">
      <c r="B586" s="44">
        <v>6</v>
      </c>
      <c r="C586" s="45" t="s">
        <v>1569</v>
      </c>
      <c r="D586" s="44" t="s">
        <v>4162</v>
      </c>
      <c r="E586" s="44" t="str">
        <f>VLOOKUP(Tabelle7[[#This Row],[EnumName]],Enum[[IFC-Name]:[Präfix]],5,FALSE)&amp;Tabelle7[[#This Row],[EnuRohValue]]</f>
        <v>hvacFaT_VANEAXIAL</v>
      </c>
      <c r="F586" s="44">
        <f>COUNTIF(Tabelle7[EnuValue],Tabelle7[[#This Row],[EnuValue]])</f>
        <v>1</v>
      </c>
      <c r="G586" s="44" t="str">
        <f xml:space="preserve"> "  " &amp; Tabelle7[[#This Row],[EnuValue]] &amp; " = " &amp; Tabelle7[[#This Row],[Wert]]</f>
        <v xml:space="preserve">  hvacFaT_VANEAXIAL = 6</v>
      </c>
      <c r="H586" s="44" t="str">
        <f>"  If Wert = " &amp; Tabelle7[[#This Row],[EnuValue]] &amp; " then Res = ""." &amp; Tabelle7[[#This Row],[EnuRohValue]] &amp; "."""</f>
        <v xml:space="preserve">  If Wert = hvacFaT_VANEAXIAL then Res = ".VANEAXIAL."</v>
      </c>
      <c r="I586" s="44" t="str">
        <f>"  If wert = ""." &amp; Tabelle7[[#This Row],[EnuRohValue]] &amp; "."" Then Res = " &amp; Tabelle7[[#This Row],[EnuValue]]</f>
        <v xml:space="preserve">  If wert = ".VANEAXIAL." Then Res = hvacFaT_VANEAXIAL</v>
      </c>
    </row>
    <row r="587" spans="2:9" x14ac:dyDescent="0.25">
      <c r="B587" s="44">
        <v>7</v>
      </c>
      <c r="C587" s="45" t="s">
        <v>1569</v>
      </c>
      <c r="D587" s="44" t="s">
        <v>4163</v>
      </c>
      <c r="E587" s="44" t="str">
        <f>VLOOKUP(Tabelle7[[#This Row],[EnumName]],Enum[[IFC-Name]:[Präfix]],5,FALSE)&amp;Tabelle7[[#This Row],[EnuRohValue]]</f>
        <v>hvacFaT_PROPELLORAXIAL</v>
      </c>
      <c r="F587" s="44">
        <f>COUNTIF(Tabelle7[EnuValue],Tabelle7[[#This Row],[EnuValue]])</f>
        <v>1</v>
      </c>
      <c r="G587" s="44" t="str">
        <f xml:space="preserve"> "  " &amp; Tabelle7[[#This Row],[EnuValue]] &amp; " = " &amp; Tabelle7[[#This Row],[Wert]]</f>
        <v xml:space="preserve">  hvacFaT_PROPELLORAXIAL = 7</v>
      </c>
      <c r="H587" s="44" t="str">
        <f>"  If Wert = " &amp; Tabelle7[[#This Row],[EnuValue]] &amp; " then Res = ""." &amp; Tabelle7[[#This Row],[EnuRohValue]] &amp; "."""</f>
        <v xml:space="preserve">  If Wert = hvacFaT_PROPELLORAXIAL then Res = ".PROPELLORAXIAL."</v>
      </c>
      <c r="I587" s="44" t="str">
        <f>"  If wert = ""." &amp; Tabelle7[[#This Row],[EnuRohValue]] &amp; "."" Then Res = " &amp; Tabelle7[[#This Row],[EnuValue]]</f>
        <v xml:space="preserve">  If wert = ".PROPELLORAXIAL." Then Res = hvacFaT_PROPELLORAXIAL</v>
      </c>
    </row>
    <row r="588" spans="2:9" x14ac:dyDescent="0.25">
      <c r="B588" s="44">
        <v>8</v>
      </c>
      <c r="C588" s="45" t="s">
        <v>1569</v>
      </c>
      <c r="D588" s="44" t="s">
        <v>3682</v>
      </c>
      <c r="E588" s="44" t="str">
        <f>VLOOKUP(Tabelle7[[#This Row],[EnumName]],Enum[[IFC-Name]:[Präfix]],5,FALSE)&amp;Tabelle7[[#This Row],[EnuRohValue]]</f>
        <v>hvacFaT_USERDEFINED</v>
      </c>
      <c r="F588" s="44">
        <f>COUNTIF(Tabelle7[EnuValue],Tabelle7[[#This Row],[EnuValue]])</f>
        <v>1</v>
      </c>
      <c r="G588" s="44" t="str">
        <f xml:space="preserve"> "  " &amp; Tabelle7[[#This Row],[EnuValue]] &amp; " = " &amp; Tabelle7[[#This Row],[Wert]]</f>
        <v xml:space="preserve">  hvacFaT_USERDEFINED = 8</v>
      </c>
      <c r="H588" s="44" t="str">
        <f>"  If Wert = " &amp; Tabelle7[[#This Row],[EnuValue]] &amp; " then Res = ""." &amp; Tabelle7[[#This Row],[EnuRohValue]] &amp; "."""</f>
        <v xml:space="preserve">  If Wert = hvacFaT_USERDEFINED then Res = ".USERDEFINED."</v>
      </c>
      <c r="I588" s="44" t="str">
        <f>"  If wert = ""." &amp; Tabelle7[[#This Row],[EnuRohValue]] &amp; "."" Then Res = " &amp; Tabelle7[[#This Row],[EnuValue]]</f>
        <v xml:space="preserve">  If wert = ".USERDEFINED." Then Res = hvacFaT_USERDEFINED</v>
      </c>
    </row>
    <row r="589" spans="2:9" x14ac:dyDescent="0.25">
      <c r="B589" s="44">
        <v>9</v>
      </c>
      <c r="C589" s="45" t="s">
        <v>1569</v>
      </c>
      <c r="D589" s="44" t="s">
        <v>3683</v>
      </c>
      <c r="E589" s="44" t="str">
        <f>VLOOKUP(Tabelle7[[#This Row],[EnumName]],Enum[[IFC-Name]:[Präfix]],5,FALSE)&amp;Tabelle7[[#This Row],[EnuRohValue]]</f>
        <v>hvacFaT_NOTDEFINED</v>
      </c>
      <c r="F589" s="44">
        <f>COUNTIF(Tabelle7[EnuValue],Tabelle7[[#This Row],[EnuValue]])</f>
        <v>1</v>
      </c>
      <c r="G589" s="44" t="str">
        <f xml:space="preserve"> "  " &amp; Tabelle7[[#This Row],[EnuValue]] &amp; " = " &amp; Tabelle7[[#This Row],[Wert]]</f>
        <v xml:space="preserve">  hvacFaT_NOTDEFINED = 9</v>
      </c>
      <c r="H589" s="44" t="str">
        <f>"  If Wert = " &amp; Tabelle7[[#This Row],[EnuValue]] &amp; " then Res = ""." &amp; Tabelle7[[#This Row],[EnuRohValue]] &amp; "."""</f>
        <v xml:space="preserve">  If Wert = hvacFaT_NOTDEFINED then Res = ".NOTDEFINED."</v>
      </c>
      <c r="I589" s="44" t="str">
        <f>"  If wert = ""." &amp; Tabelle7[[#This Row],[EnuRohValue]] &amp; "."" Then Res = " &amp; Tabelle7[[#This Row],[EnuValue]]</f>
        <v xml:space="preserve">  If wert = ".NOTDEFINED." Then Res = hvacFaT_NOTDEFINED</v>
      </c>
    </row>
    <row r="590" spans="2:9" x14ac:dyDescent="0.25">
      <c r="B590" s="44">
        <v>1</v>
      </c>
      <c r="C590" s="45" t="s">
        <v>1570</v>
      </c>
      <c r="D590" s="44" t="s">
        <v>4164</v>
      </c>
      <c r="E590" s="44" t="str">
        <f>VLOOKUP(Tabelle7[[#This Row],[EnumName]],Enum[[IFC-Name]:[Präfix]],5,FALSE)&amp;Tabelle7[[#This Row],[EnuRohValue]]</f>
        <v>hvacFiT_AIRPARTICLEFILTER</v>
      </c>
      <c r="F590" s="44">
        <f>COUNTIF(Tabelle7[EnuValue],Tabelle7[[#This Row],[EnuValue]])</f>
        <v>1</v>
      </c>
      <c r="G590" s="44" t="str">
        <f xml:space="preserve"> "  " &amp; Tabelle7[[#This Row],[EnuValue]] &amp; " = " &amp; Tabelle7[[#This Row],[Wert]]</f>
        <v xml:space="preserve">  hvacFiT_AIRPARTICLEFILTER = 1</v>
      </c>
      <c r="H590" s="44" t="str">
        <f>"  If Wert = " &amp; Tabelle7[[#This Row],[EnuValue]] &amp; " then Res = ""." &amp; Tabelle7[[#This Row],[EnuRohValue]] &amp; "."""</f>
        <v xml:space="preserve">  If Wert = hvacFiT_AIRPARTICLEFILTER then Res = ".AIRPARTICLEFILTER."</v>
      </c>
      <c r="I590" s="44" t="str">
        <f>"  If wert = ""." &amp; Tabelle7[[#This Row],[EnuRohValue]] &amp; "."" Then Res = " &amp; Tabelle7[[#This Row],[EnuValue]]</f>
        <v xml:space="preserve">  If wert = ".AIRPARTICLEFILTER." Then Res = hvacFiT_AIRPARTICLEFILTER</v>
      </c>
    </row>
    <row r="591" spans="2:9" x14ac:dyDescent="0.25">
      <c r="B591" s="44">
        <v>2</v>
      </c>
      <c r="C591" s="45" t="s">
        <v>1570</v>
      </c>
      <c r="D591" s="44" t="s">
        <v>4165</v>
      </c>
      <c r="E591" s="44" t="str">
        <f>VLOOKUP(Tabelle7[[#This Row],[EnumName]],Enum[[IFC-Name]:[Präfix]],5,FALSE)&amp;Tabelle7[[#This Row],[EnuRohValue]]</f>
        <v>hvacFiT_ODORFILTER</v>
      </c>
      <c r="F591" s="44">
        <f>COUNTIF(Tabelle7[EnuValue],Tabelle7[[#This Row],[EnuValue]])</f>
        <v>1</v>
      </c>
      <c r="G591" s="44" t="str">
        <f xml:space="preserve"> "  " &amp; Tabelle7[[#This Row],[EnuValue]] &amp; " = " &amp; Tabelle7[[#This Row],[Wert]]</f>
        <v xml:space="preserve">  hvacFiT_ODORFILTER = 2</v>
      </c>
      <c r="H591" s="44" t="str">
        <f>"  If Wert = " &amp; Tabelle7[[#This Row],[EnuValue]] &amp; " then Res = ""." &amp; Tabelle7[[#This Row],[EnuRohValue]] &amp; "."""</f>
        <v xml:space="preserve">  If Wert = hvacFiT_ODORFILTER then Res = ".ODORFILTER."</v>
      </c>
      <c r="I591" s="44" t="str">
        <f>"  If wert = ""." &amp; Tabelle7[[#This Row],[EnuRohValue]] &amp; "."" Then Res = " &amp; Tabelle7[[#This Row],[EnuValue]]</f>
        <v xml:space="preserve">  If wert = ".ODORFILTER." Then Res = hvacFiT_ODORFILTER</v>
      </c>
    </row>
    <row r="592" spans="2:9" x14ac:dyDescent="0.25">
      <c r="B592" s="44">
        <v>3</v>
      </c>
      <c r="C592" s="45" t="s">
        <v>1570</v>
      </c>
      <c r="D592" s="44" t="s">
        <v>4166</v>
      </c>
      <c r="E592" s="44" t="str">
        <f>VLOOKUP(Tabelle7[[#This Row],[EnumName]],Enum[[IFC-Name]:[Präfix]],5,FALSE)&amp;Tabelle7[[#This Row],[EnuRohValue]]</f>
        <v>hvacFiT_OILFILTER</v>
      </c>
      <c r="F592" s="44">
        <f>COUNTIF(Tabelle7[EnuValue],Tabelle7[[#This Row],[EnuValue]])</f>
        <v>1</v>
      </c>
      <c r="G592" s="44" t="str">
        <f xml:space="preserve"> "  " &amp; Tabelle7[[#This Row],[EnuValue]] &amp; " = " &amp; Tabelle7[[#This Row],[Wert]]</f>
        <v xml:space="preserve">  hvacFiT_OILFILTER = 3</v>
      </c>
      <c r="H592" s="44" t="str">
        <f>"  If Wert = " &amp; Tabelle7[[#This Row],[EnuValue]] &amp; " then Res = ""." &amp; Tabelle7[[#This Row],[EnuRohValue]] &amp; "."""</f>
        <v xml:space="preserve">  If Wert = hvacFiT_OILFILTER then Res = ".OILFILTER."</v>
      </c>
      <c r="I592" s="44" t="str">
        <f>"  If wert = ""." &amp; Tabelle7[[#This Row],[EnuRohValue]] &amp; "."" Then Res = " &amp; Tabelle7[[#This Row],[EnuValue]]</f>
        <v xml:space="preserve">  If wert = ".OILFILTER." Then Res = hvacFiT_OILFILTER</v>
      </c>
    </row>
    <row r="593" spans="2:9" x14ac:dyDescent="0.25">
      <c r="B593" s="44">
        <v>4</v>
      </c>
      <c r="C593" s="45" t="s">
        <v>1570</v>
      </c>
      <c r="D593" s="44" t="s">
        <v>4167</v>
      </c>
      <c r="E593" s="44" t="str">
        <f>VLOOKUP(Tabelle7[[#This Row],[EnumName]],Enum[[IFC-Name]:[Präfix]],5,FALSE)&amp;Tabelle7[[#This Row],[EnuRohValue]]</f>
        <v>hvacFiT_STRAINER</v>
      </c>
      <c r="F593" s="44">
        <f>COUNTIF(Tabelle7[EnuValue],Tabelle7[[#This Row],[EnuValue]])</f>
        <v>1</v>
      </c>
      <c r="G593" s="44" t="str">
        <f xml:space="preserve"> "  " &amp; Tabelle7[[#This Row],[EnuValue]] &amp; " = " &amp; Tabelle7[[#This Row],[Wert]]</f>
        <v xml:space="preserve">  hvacFiT_STRAINER = 4</v>
      </c>
      <c r="H593" s="44" t="str">
        <f>"  If Wert = " &amp; Tabelle7[[#This Row],[EnuValue]] &amp; " then Res = ""." &amp; Tabelle7[[#This Row],[EnuRohValue]] &amp; "."""</f>
        <v xml:space="preserve">  If Wert = hvacFiT_STRAINER then Res = ".STRAINER."</v>
      </c>
      <c r="I593" s="44" t="str">
        <f>"  If wert = ""." &amp; Tabelle7[[#This Row],[EnuRohValue]] &amp; "."" Then Res = " &amp; Tabelle7[[#This Row],[EnuValue]]</f>
        <v xml:space="preserve">  If wert = ".STRAINER." Then Res = hvacFiT_STRAINER</v>
      </c>
    </row>
    <row r="594" spans="2:9" x14ac:dyDescent="0.25">
      <c r="B594" s="44">
        <v>5</v>
      </c>
      <c r="C594" s="45" t="s">
        <v>1570</v>
      </c>
      <c r="D594" s="44" t="s">
        <v>4168</v>
      </c>
      <c r="E594" s="44" t="str">
        <f>VLOOKUP(Tabelle7[[#This Row],[EnumName]],Enum[[IFC-Name]:[Präfix]],5,FALSE)&amp;Tabelle7[[#This Row],[EnuRohValue]]</f>
        <v>hvacFiT_WATERFILTER</v>
      </c>
      <c r="F594" s="44">
        <f>COUNTIF(Tabelle7[EnuValue],Tabelle7[[#This Row],[EnuValue]])</f>
        <v>1</v>
      </c>
      <c r="G594" s="44" t="str">
        <f xml:space="preserve"> "  " &amp; Tabelle7[[#This Row],[EnuValue]] &amp; " = " &amp; Tabelle7[[#This Row],[Wert]]</f>
        <v xml:space="preserve">  hvacFiT_WATERFILTER = 5</v>
      </c>
      <c r="H594" s="44" t="str">
        <f>"  If Wert = " &amp; Tabelle7[[#This Row],[EnuValue]] &amp; " then Res = ""." &amp; Tabelle7[[#This Row],[EnuRohValue]] &amp; "."""</f>
        <v xml:space="preserve">  If Wert = hvacFiT_WATERFILTER then Res = ".WATERFILTER."</v>
      </c>
      <c r="I594" s="44" t="str">
        <f>"  If wert = ""." &amp; Tabelle7[[#This Row],[EnuRohValue]] &amp; "."" Then Res = " &amp; Tabelle7[[#This Row],[EnuValue]]</f>
        <v xml:space="preserve">  If wert = ".WATERFILTER." Then Res = hvacFiT_WATERFILTER</v>
      </c>
    </row>
    <row r="595" spans="2:9" x14ac:dyDescent="0.25">
      <c r="B595" s="44">
        <v>6</v>
      </c>
      <c r="C595" s="45" t="s">
        <v>1570</v>
      </c>
      <c r="D595" s="44" t="s">
        <v>3682</v>
      </c>
      <c r="E595" s="44" t="str">
        <f>VLOOKUP(Tabelle7[[#This Row],[EnumName]],Enum[[IFC-Name]:[Präfix]],5,FALSE)&amp;Tabelle7[[#This Row],[EnuRohValue]]</f>
        <v>hvacFiT_USERDEFINED</v>
      </c>
      <c r="F595" s="44">
        <f>COUNTIF(Tabelle7[EnuValue],Tabelle7[[#This Row],[EnuValue]])</f>
        <v>1</v>
      </c>
      <c r="G595" s="44" t="str">
        <f xml:space="preserve"> "  " &amp; Tabelle7[[#This Row],[EnuValue]] &amp; " = " &amp; Tabelle7[[#This Row],[Wert]]</f>
        <v xml:space="preserve">  hvacFiT_USERDEFINED = 6</v>
      </c>
      <c r="H595" s="44" t="str">
        <f>"  If Wert = " &amp; Tabelle7[[#This Row],[EnuValue]] &amp; " then Res = ""." &amp; Tabelle7[[#This Row],[EnuRohValue]] &amp; "."""</f>
        <v xml:space="preserve">  If Wert = hvacFiT_USERDEFINED then Res = ".USERDEFINED."</v>
      </c>
      <c r="I595" s="44" t="str">
        <f>"  If wert = ""." &amp; Tabelle7[[#This Row],[EnuRohValue]] &amp; "."" Then Res = " &amp; Tabelle7[[#This Row],[EnuValue]]</f>
        <v xml:space="preserve">  If wert = ".USERDEFINED." Then Res = hvacFiT_USERDEFINED</v>
      </c>
    </row>
    <row r="596" spans="2:9" x14ac:dyDescent="0.25">
      <c r="B596" s="44">
        <v>7</v>
      </c>
      <c r="C596" s="45" t="s">
        <v>1570</v>
      </c>
      <c r="D596" s="44" t="s">
        <v>3683</v>
      </c>
      <c r="E596" s="44" t="str">
        <f>VLOOKUP(Tabelle7[[#This Row],[EnumName]],Enum[[IFC-Name]:[Präfix]],5,FALSE)&amp;Tabelle7[[#This Row],[EnuRohValue]]</f>
        <v>hvacFiT_NOTDEFINED</v>
      </c>
      <c r="F596" s="44">
        <f>COUNTIF(Tabelle7[EnuValue],Tabelle7[[#This Row],[EnuValue]])</f>
        <v>1</v>
      </c>
      <c r="G596" s="44" t="str">
        <f xml:space="preserve"> "  " &amp; Tabelle7[[#This Row],[EnuValue]] &amp; " = " &amp; Tabelle7[[#This Row],[Wert]]</f>
        <v xml:space="preserve">  hvacFiT_NOTDEFINED = 7</v>
      </c>
      <c r="H596" s="44" t="str">
        <f>"  If Wert = " &amp; Tabelle7[[#This Row],[EnuValue]] &amp; " then Res = ""." &amp; Tabelle7[[#This Row],[EnuRohValue]] &amp; "."""</f>
        <v xml:space="preserve">  If Wert = hvacFiT_NOTDEFINED then Res = ".NOTDEFINED."</v>
      </c>
      <c r="I596" s="44" t="str">
        <f>"  If wert = ""." &amp; Tabelle7[[#This Row],[EnuRohValue]] &amp; "."" Then Res = " &amp; Tabelle7[[#This Row],[EnuValue]]</f>
        <v xml:space="preserve">  If wert = ".NOTDEFINED." Then Res = hvacFiT_NOTDEFINED</v>
      </c>
    </row>
    <row r="597" spans="2:9" x14ac:dyDescent="0.25">
      <c r="B597" s="44">
        <v>1</v>
      </c>
      <c r="C597" s="45" t="s">
        <v>1571</v>
      </c>
      <c r="D597" s="44" t="s">
        <v>4169</v>
      </c>
      <c r="E597" s="44" t="str">
        <f>VLOOKUP(Tabelle7[[#This Row],[EnumName]],Enum[[IFC-Name]:[Präfix]],5,FALSE)&amp;Tabelle7[[#This Row],[EnuRohValue]]</f>
        <v>pfpFSTT_BREECHINGINLET</v>
      </c>
      <c r="F597" s="44">
        <f>COUNTIF(Tabelle7[EnuValue],Tabelle7[[#This Row],[EnuValue]])</f>
        <v>1</v>
      </c>
      <c r="G597" s="44" t="str">
        <f xml:space="preserve"> "  " &amp; Tabelle7[[#This Row],[EnuValue]] &amp; " = " &amp; Tabelle7[[#This Row],[Wert]]</f>
        <v xml:space="preserve">  pfpFSTT_BREECHINGINLET = 1</v>
      </c>
      <c r="H597" s="44" t="str">
        <f>"  If Wert = " &amp; Tabelle7[[#This Row],[EnuValue]] &amp; " then Res = ""." &amp; Tabelle7[[#This Row],[EnuRohValue]] &amp; "."""</f>
        <v xml:space="preserve">  If Wert = pfpFSTT_BREECHINGINLET then Res = ".BREECHINGINLET."</v>
      </c>
      <c r="I597" s="44" t="str">
        <f>"  If wert = ""." &amp; Tabelle7[[#This Row],[EnuRohValue]] &amp; "."" Then Res = " &amp; Tabelle7[[#This Row],[EnuValue]]</f>
        <v xml:space="preserve">  If wert = ".BREECHINGINLET." Then Res = pfpFSTT_BREECHINGINLET</v>
      </c>
    </row>
    <row r="598" spans="2:9" x14ac:dyDescent="0.25">
      <c r="B598" s="44">
        <v>2</v>
      </c>
      <c r="C598" s="45" t="s">
        <v>1571</v>
      </c>
      <c r="D598" s="44" t="s">
        <v>4170</v>
      </c>
      <c r="E598" s="44" t="str">
        <f>VLOOKUP(Tabelle7[[#This Row],[EnumName]],Enum[[IFC-Name]:[Präfix]],5,FALSE)&amp;Tabelle7[[#This Row],[EnuRohValue]]</f>
        <v>pfpFSTT_FIREHYDRANT</v>
      </c>
      <c r="F598" s="44">
        <f>COUNTIF(Tabelle7[EnuValue],Tabelle7[[#This Row],[EnuValue]])</f>
        <v>1</v>
      </c>
      <c r="G598" s="44" t="str">
        <f xml:space="preserve"> "  " &amp; Tabelle7[[#This Row],[EnuValue]] &amp; " = " &amp; Tabelle7[[#This Row],[Wert]]</f>
        <v xml:space="preserve">  pfpFSTT_FIREHYDRANT = 2</v>
      </c>
      <c r="H598" s="44" t="str">
        <f>"  If Wert = " &amp; Tabelle7[[#This Row],[EnuValue]] &amp; " then Res = ""." &amp; Tabelle7[[#This Row],[EnuRohValue]] &amp; "."""</f>
        <v xml:space="preserve">  If Wert = pfpFSTT_FIREHYDRANT then Res = ".FIREHYDRANT."</v>
      </c>
      <c r="I598" s="44" t="str">
        <f>"  If wert = ""." &amp; Tabelle7[[#This Row],[EnuRohValue]] &amp; "."" Then Res = " &amp; Tabelle7[[#This Row],[EnuValue]]</f>
        <v xml:space="preserve">  If wert = ".FIREHYDRANT." Then Res = pfpFSTT_FIREHYDRANT</v>
      </c>
    </row>
    <row r="599" spans="2:9" x14ac:dyDescent="0.25">
      <c r="B599" s="44">
        <v>3</v>
      </c>
      <c r="C599" s="45" t="s">
        <v>1571</v>
      </c>
      <c r="D599" s="44" t="s">
        <v>4171</v>
      </c>
      <c r="E599" s="44" t="str">
        <f>VLOOKUP(Tabelle7[[#This Row],[EnumName]],Enum[[IFC-Name]:[Präfix]],5,FALSE)&amp;Tabelle7[[#This Row],[EnuRohValue]]</f>
        <v>pfpFSTT_HOSEREEL</v>
      </c>
      <c r="F599" s="44">
        <f>COUNTIF(Tabelle7[EnuValue],Tabelle7[[#This Row],[EnuValue]])</f>
        <v>1</v>
      </c>
      <c r="G599" s="44" t="str">
        <f xml:space="preserve"> "  " &amp; Tabelle7[[#This Row],[EnuValue]] &amp; " = " &amp; Tabelle7[[#This Row],[Wert]]</f>
        <v xml:space="preserve">  pfpFSTT_HOSEREEL = 3</v>
      </c>
      <c r="H599" s="44" t="str">
        <f>"  If Wert = " &amp; Tabelle7[[#This Row],[EnuValue]] &amp; " then Res = ""." &amp; Tabelle7[[#This Row],[EnuRohValue]] &amp; "."""</f>
        <v xml:space="preserve">  If Wert = pfpFSTT_HOSEREEL then Res = ".HOSEREEL."</v>
      </c>
      <c r="I599" s="44" t="str">
        <f>"  If wert = ""." &amp; Tabelle7[[#This Row],[EnuRohValue]] &amp; "."" Then Res = " &amp; Tabelle7[[#This Row],[EnuValue]]</f>
        <v xml:space="preserve">  If wert = ".HOSEREEL." Then Res = pfpFSTT_HOSEREEL</v>
      </c>
    </row>
    <row r="600" spans="2:9" x14ac:dyDescent="0.25">
      <c r="B600" s="44">
        <v>4</v>
      </c>
      <c r="C600" s="45" t="s">
        <v>1571</v>
      </c>
      <c r="D600" s="44" t="s">
        <v>4172</v>
      </c>
      <c r="E600" s="44" t="str">
        <f>VLOOKUP(Tabelle7[[#This Row],[EnumName]],Enum[[IFC-Name]:[Präfix]],5,FALSE)&amp;Tabelle7[[#This Row],[EnuRohValue]]</f>
        <v>pfpFSTT_SPRINKLER</v>
      </c>
      <c r="F600" s="44">
        <f>COUNTIF(Tabelle7[EnuValue],Tabelle7[[#This Row],[EnuValue]])</f>
        <v>1</v>
      </c>
      <c r="G600" s="44" t="str">
        <f xml:space="preserve"> "  " &amp; Tabelle7[[#This Row],[EnuValue]] &amp; " = " &amp; Tabelle7[[#This Row],[Wert]]</f>
        <v xml:space="preserve">  pfpFSTT_SPRINKLER = 4</v>
      </c>
      <c r="H600" s="44" t="str">
        <f>"  If Wert = " &amp; Tabelle7[[#This Row],[EnuValue]] &amp; " then Res = ""." &amp; Tabelle7[[#This Row],[EnuRohValue]] &amp; "."""</f>
        <v xml:space="preserve">  If Wert = pfpFSTT_SPRINKLER then Res = ".SPRINKLER."</v>
      </c>
      <c r="I600" s="44" t="str">
        <f>"  If wert = ""." &amp; Tabelle7[[#This Row],[EnuRohValue]] &amp; "."" Then Res = " &amp; Tabelle7[[#This Row],[EnuValue]]</f>
        <v xml:space="preserve">  If wert = ".SPRINKLER." Then Res = pfpFSTT_SPRINKLER</v>
      </c>
    </row>
    <row r="601" spans="2:9" x14ac:dyDescent="0.25">
      <c r="B601" s="44">
        <v>5</v>
      </c>
      <c r="C601" s="45" t="s">
        <v>1571</v>
      </c>
      <c r="D601" s="44" t="s">
        <v>4173</v>
      </c>
      <c r="E601" s="44" t="str">
        <f>VLOOKUP(Tabelle7[[#This Row],[EnumName]],Enum[[IFC-Name]:[Präfix]],5,FALSE)&amp;Tabelle7[[#This Row],[EnuRohValue]]</f>
        <v>pfpFSTT_SPRINKLERDEFLECTOR</v>
      </c>
      <c r="F601" s="44">
        <f>COUNTIF(Tabelle7[EnuValue],Tabelle7[[#This Row],[EnuValue]])</f>
        <v>1</v>
      </c>
      <c r="G601" s="44" t="str">
        <f xml:space="preserve"> "  " &amp; Tabelle7[[#This Row],[EnuValue]] &amp; " = " &amp; Tabelle7[[#This Row],[Wert]]</f>
        <v xml:space="preserve">  pfpFSTT_SPRINKLERDEFLECTOR = 5</v>
      </c>
      <c r="H601" s="44" t="str">
        <f>"  If Wert = " &amp; Tabelle7[[#This Row],[EnuValue]] &amp; " then Res = ""." &amp; Tabelle7[[#This Row],[EnuRohValue]] &amp; "."""</f>
        <v xml:space="preserve">  If Wert = pfpFSTT_SPRINKLERDEFLECTOR then Res = ".SPRINKLERDEFLECTOR."</v>
      </c>
      <c r="I601" s="44" t="str">
        <f>"  If wert = ""." &amp; Tabelle7[[#This Row],[EnuRohValue]] &amp; "."" Then Res = " &amp; Tabelle7[[#This Row],[EnuValue]]</f>
        <v xml:space="preserve">  If wert = ".SPRINKLERDEFLECTOR." Then Res = pfpFSTT_SPRINKLERDEFLECTOR</v>
      </c>
    </row>
    <row r="602" spans="2:9" x14ac:dyDescent="0.25">
      <c r="B602" s="44">
        <v>6</v>
      </c>
      <c r="C602" s="45" t="s">
        <v>1571</v>
      </c>
      <c r="D602" s="44" t="s">
        <v>3682</v>
      </c>
      <c r="E602" s="44" t="str">
        <f>VLOOKUP(Tabelle7[[#This Row],[EnumName]],Enum[[IFC-Name]:[Präfix]],5,FALSE)&amp;Tabelle7[[#This Row],[EnuRohValue]]</f>
        <v>pfpFSTT_USERDEFINED</v>
      </c>
      <c r="F602" s="44">
        <f>COUNTIF(Tabelle7[EnuValue],Tabelle7[[#This Row],[EnuValue]])</f>
        <v>1</v>
      </c>
      <c r="G602" s="44" t="str">
        <f xml:space="preserve"> "  " &amp; Tabelle7[[#This Row],[EnuValue]] &amp; " = " &amp; Tabelle7[[#This Row],[Wert]]</f>
        <v xml:space="preserve">  pfpFSTT_USERDEFINED = 6</v>
      </c>
      <c r="H602" s="44" t="str">
        <f>"  If Wert = " &amp; Tabelle7[[#This Row],[EnuValue]] &amp; " then Res = ""." &amp; Tabelle7[[#This Row],[EnuRohValue]] &amp; "."""</f>
        <v xml:space="preserve">  If Wert = pfpFSTT_USERDEFINED then Res = ".USERDEFINED."</v>
      </c>
      <c r="I602" s="44" t="str">
        <f>"  If wert = ""." &amp; Tabelle7[[#This Row],[EnuRohValue]] &amp; "."" Then Res = " &amp; Tabelle7[[#This Row],[EnuValue]]</f>
        <v xml:space="preserve">  If wert = ".USERDEFINED." Then Res = pfpFSTT_USERDEFINED</v>
      </c>
    </row>
    <row r="603" spans="2:9" x14ac:dyDescent="0.25">
      <c r="B603" s="44">
        <v>7</v>
      </c>
      <c r="C603" s="45" t="s">
        <v>1571</v>
      </c>
      <c r="D603" s="44" t="s">
        <v>3683</v>
      </c>
      <c r="E603" s="44" t="str">
        <f>VLOOKUP(Tabelle7[[#This Row],[EnumName]],Enum[[IFC-Name]:[Präfix]],5,FALSE)&amp;Tabelle7[[#This Row],[EnuRohValue]]</f>
        <v>pfpFSTT_NOTDEFINED</v>
      </c>
      <c r="F603" s="44">
        <f>COUNTIF(Tabelle7[EnuValue],Tabelle7[[#This Row],[EnuValue]])</f>
        <v>1</v>
      </c>
      <c r="G603" s="44" t="str">
        <f xml:space="preserve"> "  " &amp; Tabelle7[[#This Row],[EnuValue]] &amp; " = " &amp; Tabelle7[[#This Row],[Wert]]</f>
        <v xml:space="preserve">  pfpFSTT_NOTDEFINED = 7</v>
      </c>
      <c r="H603" s="44" t="str">
        <f>"  If Wert = " &amp; Tabelle7[[#This Row],[EnuValue]] &amp; " then Res = ""." &amp; Tabelle7[[#This Row],[EnuRohValue]] &amp; "."""</f>
        <v xml:space="preserve">  If Wert = pfpFSTT_NOTDEFINED then Res = ".NOTDEFINED."</v>
      </c>
      <c r="I603" s="44" t="str">
        <f>"  If wert = ""." &amp; Tabelle7[[#This Row],[EnuRohValue]] &amp; "."" Then Res = " &amp; Tabelle7[[#This Row],[EnuValue]]</f>
        <v xml:space="preserve">  If wert = ".NOTDEFINED." Then Res = pfpFSTT_NOTDEFINED</v>
      </c>
    </row>
    <row r="604" spans="2:9" x14ac:dyDescent="0.25">
      <c r="B604" s="44">
        <v>1</v>
      </c>
      <c r="C604" s="45" t="s">
        <v>1572</v>
      </c>
      <c r="D604" s="44" t="s">
        <v>4174</v>
      </c>
      <c r="E604" s="44" t="str">
        <f>VLOOKUP(Tabelle7[[#This Row],[EnumName]],Enum[[IFC-Name]:[Präfix]],5,FALSE)&amp;Tabelle7[[#This Row],[EnuRohValue]]</f>
        <v>sbsFD_SOURCE</v>
      </c>
      <c r="F604" s="44">
        <f>COUNTIF(Tabelle7[EnuValue],Tabelle7[[#This Row],[EnuValue]])</f>
        <v>1</v>
      </c>
      <c r="G604" s="44" t="str">
        <f xml:space="preserve"> "  " &amp; Tabelle7[[#This Row],[EnuValue]] &amp; " = " &amp; Tabelle7[[#This Row],[Wert]]</f>
        <v xml:space="preserve">  sbsFD_SOURCE = 1</v>
      </c>
      <c r="H604" s="44" t="str">
        <f>"  If Wert = " &amp; Tabelle7[[#This Row],[EnuValue]] &amp; " then Res = ""." &amp; Tabelle7[[#This Row],[EnuRohValue]] &amp; "."""</f>
        <v xml:space="preserve">  If Wert = sbsFD_SOURCE then Res = ".SOURCE."</v>
      </c>
      <c r="I604" s="44" t="str">
        <f>"  If wert = ""." &amp; Tabelle7[[#This Row],[EnuRohValue]] &amp; "."" Then Res = " &amp; Tabelle7[[#This Row],[EnuValue]]</f>
        <v xml:space="preserve">  If wert = ".SOURCE." Then Res = sbsFD_SOURCE</v>
      </c>
    </row>
    <row r="605" spans="2:9" x14ac:dyDescent="0.25">
      <c r="B605" s="44">
        <v>2</v>
      </c>
      <c r="C605" s="45" t="s">
        <v>1572</v>
      </c>
      <c r="D605" s="44" t="s">
        <v>4175</v>
      </c>
      <c r="E605" s="44" t="str">
        <f>VLOOKUP(Tabelle7[[#This Row],[EnumName]],Enum[[IFC-Name]:[Präfix]],5,FALSE)&amp;Tabelle7[[#This Row],[EnuRohValue]]</f>
        <v>sbsFD_SINK</v>
      </c>
      <c r="F605" s="44">
        <f>COUNTIF(Tabelle7[EnuValue],Tabelle7[[#This Row],[EnuValue]])</f>
        <v>1</v>
      </c>
      <c r="G605" s="44" t="str">
        <f xml:space="preserve"> "  " &amp; Tabelle7[[#This Row],[EnuValue]] &amp; " = " &amp; Tabelle7[[#This Row],[Wert]]</f>
        <v xml:space="preserve">  sbsFD_SINK = 2</v>
      </c>
      <c r="H605" s="44" t="str">
        <f>"  If Wert = " &amp; Tabelle7[[#This Row],[EnuValue]] &amp; " then Res = ""." &amp; Tabelle7[[#This Row],[EnuRohValue]] &amp; "."""</f>
        <v xml:space="preserve">  If Wert = sbsFD_SINK then Res = ".SINK."</v>
      </c>
      <c r="I605" s="44" t="str">
        <f>"  If wert = ""." &amp; Tabelle7[[#This Row],[EnuRohValue]] &amp; "."" Then Res = " &amp; Tabelle7[[#This Row],[EnuValue]]</f>
        <v xml:space="preserve">  If wert = ".SINK." Then Res = sbsFD_SINK</v>
      </c>
    </row>
    <row r="606" spans="2:9" x14ac:dyDescent="0.25">
      <c r="B606" s="44">
        <v>3</v>
      </c>
      <c r="C606" s="45" t="s">
        <v>1572</v>
      </c>
      <c r="D606" s="44" t="s">
        <v>4176</v>
      </c>
      <c r="E606" s="44" t="str">
        <f>VLOOKUP(Tabelle7[[#This Row],[EnumName]],Enum[[IFC-Name]:[Präfix]],5,FALSE)&amp;Tabelle7[[#This Row],[EnuRohValue]]</f>
        <v>sbsFD_SOURCEANDSINK</v>
      </c>
      <c r="F606" s="44">
        <f>COUNTIF(Tabelle7[EnuValue],Tabelle7[[#This Row],[EnuValue]])</f>
        <v>1</v>
      </c>
      <c r="G606" s="44" t="str">
        <f xml:space="preserve"> "  " &amp; Tabelle7[[#This Row],[EnuValue]] &amp; " = " &amp; Tabelle7[[#This Row],[Wert]]</f>
        <v xml:space="preserve">  sbsFD_SOURCEANDSINK = 3</v>
      </c>
      <c r="H606" s="44" t="str">
        <f>"  If Wert = " &amp; Tabelle7[[#This Row],[EnuValue]] &amp; " then Res = ""." &amp; Tabelle7[[#This Row],[EnuRohValue]] &amp; "."""</f>
        <v xml:space="preserve">  If Wert = sbsFD_SOURCEANDSINK then Res = ".SOURCEANDSINK."</v>
      </c>
      <c r="I606" s="44" t="str">
        <f>"  If wert = ""." &amp; Tabelle7[[#This Row],[EnuRohValue]] &amp; "."" Then Res = " &amp; Tabelle7[[#This Row],[EnuValue]]</f>
        <v xml:space="preserve">  If wert = ".SOURCEANDSINK." Then Res = sbsFD_SOURCEANDSINK</v>
      </c>
    </row>
    <row r="607" spans="2:9" x14ac:dyDescent="0.25">
      <c r="B607" s="44">
        <v>4</v>
      </c>
      <c r="C607" s="45" t="s">
        <v>1572</v>
      </c>
      <c r="D607" s="44" t="s">
        <v>3683</v>
      </c>
      <c r="E607" s="44" t="str">
        <f>VLOOKUP(Tabelle7[[#This Row],[EnumName]],Enum[[IFC-Name]:[Präfix]],5,FALSE)&amp;Tabelle7[[#This Row],[EnuRohValue]]</f>
        <v>sbsFD_NOTDEFINED</v>
      </c>
      <c r="F607" s="44">
        <f>COUNTIF(Tabelle7[EnuValue],Tabelle7[[#This Row],[EnuValue]])</f>
        <v>1</v>
      </c>
      <c r="G607" s="44" t="str">
        <f xml:space="preserve"> "  " &amp; Tabelle7[[#This Row],[EnuValue]] &amp; " = " &amp; Tabelle7[[#This Row],[Wert]]</f>
        <v xml:space="preserve">  sbsFD_NOTDEFINED = 4</v>
      </c>
      <c r="H607" s="44" t="str">
        <f>"  If Wert = " &amp; Tabelle7[[#This Row],[EnuValue]] &amp; " then Res = ""." &amp; Tabelle7[[#This Row],[EnuRohValue]] &amp; "."""</f>
        <v xml:space="preserve">  If Wert = sbsFD_NOTDEFINED then Res = ".NOTDEFINED."</v>
      </c>
      <c r="I607" s="44" t="str">
        <f>"  If wert = ""." &amp; Tabelle7[[#This Row],[EnuRohValue]] &amp; "."" Then Res = " &amp; Tabelle7[[#This Row],[EnuValue]]</f>
        <v xml:space="preserve">  If wert = ".NOTDEFINED." Then Res = sbsFD_NOTDEFINED</v>
      </c>
    </row>
    <row r="608" spans="2:9" x14ac:dyDescent="0.25">
      <c r="B608" s="44">
        <v>1</v>
      </c>
      <c r="C608" s="45" t="s">
        <v>1573</v>
      </c>
      <c r="D608" s="44" t="s">
        <v>4177</v>
      </c>
      <c r="E608" s="44" t="str">
        <f>VLOOKUP(Tabelle7[[#This Row],[EnumName]],Enum[[IFC-Name]:[Präfix]],5,FALSE)&amp;Tabelle7[[#This Row],[EnuRohValue]]</f>
        <v>bldFIT_PRESSUREGAUGE</v>
      </c>
      <c r="F608" s="44">
        <f>COUNTIF(Tabelle7[EnuValue],Tabelle7[[#This Row],[EnuValue]])</f>
        <v>1</v>
      </c>
      <c r="G608" s="44" t="str">
        <f xml:space="preserve"> "  " &amp; Tabelle7[[#This Row],[EnuValue]] &amp; " = " &amp; Tabelle7[[#This Row],[Wert]]</f>
        <v xml:space="preserve">  bldFIT_PRESSUREGAUGE = 1</v>
      </c>
      <c r="H608" s="44" t="str">
        <f>"  If Wert = " &amp; Tabelle7[[#This Row],[EnuValue]] &amp; " then Res = ""." &amp; Tabelle7[[#This Row],[EnuRohValue]] &amp; "."""</f>
        <v xml:space="preserve">  If Wert = bldFIT_PRESSUREGAUGE then Res = ".PRESSUREGAUGE."</v>
      </c>
      <c r="I608" s="44" t="str">
        <f>"  If wert = ""." &amp; Tabelle7[[#This Row],[EnuRohValue]] &amp; "."" Then Res = " &amp; Tabelle7[[#This Row],[EnuValue]]</f>
        <v xml:space="preserve">  If wert = ".PRESSUREGAUGE." Then Res = bldFIT_PRESSUREGAUGE</v>
      </c>
    </row>
    <row r="609" spans="2:9" x14ac:dyDescent="0.25">
      <c r="B609" s="44">
        <v>2</v>
      </c>
      <c r="C609" s="45" t="s">
        <v>1573</v>
      </c>
      <c r="D609" s="44" t="s">
        <v>4178</v>
      </c>
      <c r="E609" s="44" t="str">
        <f>VLOOKUP(Tabelle7[[#This Row],[EnumName]],Enum[[IFC-Name]:[Präfix]],5,FALSE)&amp;Tabelle7[[#This Row],[EnuRohValue]]</f>
        <v>bldFIT_THERMOMETER</v>
      </c>
      <c r="F609" s="44">
        <f>COUNTIF(Tabelle7[EnuValue],Tabelle7[[#This Row],[EnuValue]])</f>
        <v>1</v>
      </c>
      <c r="G609" s="44" t="str">
        <f xml:space="preserve"> "  " &amp; Tabelle7[[#This Row],[EnuValue]] &amp; " = " &amp; Tabelle7[[#This Row],[Wert]]</f>
        <v xml:space="preserve">  bldFIT_THERMOMETER = 2</v>
      </c>
      <c r="H609" s="44" t="str">
        <f>"  If Wert = " &amp; Tabelle7[[#This Row],[EnuValue]] &amp; " then Res = ""." &amp; Tabelle7[[#This Row],[EnuRohValue]] &amp; "."""</f>
        <v xml:space="preserve">  If Wert = bldFIT_THERMOMETER then Res = ".THERMOMETER."</v>
      </c>
      <c r="I609" s="44" t="str">
        <f>"  If wert = ""." &amp; Tabelle7[[#This Row],[EnuRohValue]] &amp; "."" Then Res = " &amp; Tabelle7[[#This Row],[EnuValue]]</f>
        <v xml:space="preserve">  If wert = ".THERMOMETER." Then Res = bldFIT_THERMOMETER</v>
      </c>
    </row>
    <row r="610" spans="2:9" x14ac:dyDescent="0.25">
      <c r="B610" s="44">
        <v>3</v>
      </c>
      <c r="C610" s="45" t="s">
        <v>1573</v>
      </c>
      <c r="D610" s="44" t="s">
        <v>4179</v>
      </c>
      <c r="E610" s="44" t="str">
        <f>VLOOKUP(Tabelle7[[#This Row],[EnumName]],Enum[[IFC-Name]:[Präfix]],5,FALSE)&amp;Tabelle7[[#This Row],[EnuRohValue]]</f>
        <v>bldFIT_AMMETER</v>
      </c>
      <c r="F610" s="44">
        <f>COUNTIF(Tabelle7[EnuValue],Tabelle7[[#This Row],[EnuValue]])</f>
        <v>1</v>
      </c>
      <c r="G610" s="44" t="str">
        <f xml:space="preserve"> "  " &amp; Tabelle7[[#This Row],[EnuValue]] &amp; " = " &amp; Tabelle7[[#This Row],[Wert]]</f>
        <v xml:space="preserve">  bldFIT_AMMETER = 3</v>
      </c>
      <c r="H610" s="44" t="str">
        <f>"  If Wert = " &amp; Tabelle7[[#This Row],[EnuValue]] &amp; " then Res = ""." &amp; Tabelle7[[#This Row],[EnuRohValue]] &amp; "."""</f>
        <v xml:space="preserve">  If Wert = bldFIT_AMMETER then Res = ".AMMETER."</v>
      </c>
      <c r="I610" s="44" t="str">
        <f>"  If wert = ""." &amp; Tabelle7[[#This Row],[EnuRohValue]] &amp; "."" Then Res = " &amp; Tabelle7[[#This Row],[EnuValue]]</f>
        <v xml:space="preserve">  If wert = ".AMMETER." Then Res = bldFIT_AMMETER</v>
      </c>
    </row>
    <row r="611" spans="2:9" x14ac:dyDescent="0.25">
      <c r="B611" s="44">
        <v>4</v>
      </c>
      <c r="C611" s="45" t="s">
        <v>1573</v>
      </c>
      <c r="D611" s="44" t="s">
        <v>4180</v>
      </c>
      <c r="E611" s="44" t="str">
        <f>VLOOKUP(Tabelle7[[#This Row],[EnumName]],Enum[[IFC-Name]:[Präfix]],5,FALSE)&amp;Tabelle7[[#This Row],[EnuRohValue]]</f>
        <v>bldFIT_FREQUENCYMETER</v>
      </c>
      <c r="F611" s="44">
        <f>COUNTIF(Tabelle7[EnuValue],Tabelle7[[#This Row],[EnuValue]])</f>
        <v>1</v>
      </c>
      <c r="G611" s="44" t="str">
        <f xml:space="preserve"> "  " &amp; Tabelle7[[#This Row],[EnuValue]] &amp; " = " &amp; Tabelle7[[#This Row],[Wert]]</f>
        <v xml:space="preserve">  bldFIT_FREQUENCYMETER = 4</v>
      </c>
      <c r="H611" s="44" t="str">
        <f>"  If Wert = " &amp; Tabelle7[[#This Row],[EnuValue]] &amp; " then Res = ""." &amp; Tabelle7[[#This Row],[EnuRohValue]] &amp; "."""</f>
        <v xml:space="preserve">  If Wert = bldFIT_FREQUENCYMETER then Res = ".FREQUENCYMETER."</v>
      </c>
      <c r="I611" s="44" t="str">
        <f>"  If wert = ""." &amp; Tabelle7[[#This Row],[EnuRohValue]] &amp; "."" Then Res = " &amp; Tabelle7[[#This Row],[EnuValue]]</f>
        <v xml:space="preserve">  If wert = ".FREQUENCYMETER." Then Res = bldFIT_FREQUENCYMETER</v>
      </c>
    </row>
    <row r="612" spans="2:9" x14ac:dyDescent="0.25">
      <c r="B612" s="44">
        <v>5</v>
      </c>
      <c r="C612" s="45" t="s">
        <v>1573</v>
      </c>
      <c r="D612" s="44" t="s">
        <v>4181</v>
      </c>
      <c r="E612" s="44" t="str">
        <f>VLOOKUP(Tabelle7[[#This Row],[EnumName]],Enum[[IFC-Name]:[Präfix]],5,FALSE)&amp;Tabelle7[[#This Row],[EnuRohValue]]</f>
        <v>bldFIT_POWERFACTORMETER</v>
      </c>
      <c r="F612" s="44">
        <f>COUNTIF(Tabelle7[EnuValue],Tabelle7[[#This Row],[EnuValue]])</f>
        <v>1</v>
      </c>
      <c r="G612" s="44" t="str">
        <f xml:space="preserve"> "  " &amp; Tabelle7[[#This Row],[EnuValue]] &amp; " = " &amp; Tabelle7[[#This Row],[Wert]]</f>
        <v xml:space="preserve">  bldFIT_POWERFACTORMETER = 5</v>
      </c>
      <c r="H612" s="44" t="str">
        <f>"  If Wert = " &amp; Tabelle7[[#This Row],[EnuValue]] &amp; " then Res = ""." &amp; Tabelle7[[#This Row],[EnuRohValue]] &amp; "."""</f>
        <v xml:space="preserve">  If Wert = bldFIT_POWERFACTORMETER then Res = ".POWERFACTORMETER."</v>
      </c>
      <c r="I612" s="44" t="str">
        <f>"  If wert = ""." &amp; Tabelle7[[#This Row],[EnuRohValue]] &amp; "."" Then Res = " &amp; Tabelle7[[#This Row],[EnuValue]]</f>
        <v xml:space="preserve">  If wert = ".POWERFACTORMETER." Then Res = bldFIT_POWERFACTORMETER</v>
      </c>
    </row>
    <row r="613" spans="2:9" x14ac:dyDescent="0.25">
      <c r="B613" s="44">
        <v>6</v>
      </c>
      <c r="C613" s="45" t="s">
        <v>1573</v>
      </c>
      <c r="D613" s="44" t="s">
        <v>4182</v>
      </c>
      <c r="E613" s="44" t="str">
        <f>VLOOKUP(Tabelle7[[#This Row],[EnumName]],Enum[[IFC-Name]:[Präfix]],5,FALSE)&amp;Tabelle7[[#This Row],[EnuRohValue]]</f>
        <v>bldFIT_PHASEANGLEMETER</v>
      </c>
      <c r="F613" s="44">
        <f>COUNTIF(Tabelle7[EnuValue],Tabelle7[[#This Row],[EnuValue]])</f>
        <v>1</v>
      </c>
      <c r="G613" s="44" t="str">
        <f xml:space="preserve"> "  " &amp; Tabelle7[[#This Row],[EnuValue]] &amp; " = " &amp; Tabelle7[[#This Row],[Wert]]</f>
        <v xml:space="preserve">  bldFIT_PHASEANGLEMETER = 6</v>
      </c>
      <c r="H613" s="44" t="str">
        <f>"  If Wert = " &amp; Tabelle7[[#This Row],[EnuValue]] &amp; " then Res = ""." &amp; Tabelle7[[#This Row],[EnuRohValue]] &amp; "."""</f>
        <v xml:space="preserve">  If Wert = bldFIT_PHASEANGLEMETER then Res = ".PHASEANGLEMETER."</v>
      </c>
      <c r="I613" s="44" t="str">
        <f>"  If wert = ""." &amp; Tabelle7[[#This Row],[EnuRohValue]] &amp; "."" Then Res = " &amp; Tabelle7[[#This Row],[EnuValue]]</f>
        <v xml:space="preserve">  If wert = ".PHASEANGLEMETER." Then Res = bldFIT_PHASEANGLEMETER</v>
      </c>
    </row>
    <row r="614" spans="2:9" x14ac:dyDescent="0.25">
      <c r="B614" s="44">
        <v>7</v>
      </c>
      <c r="C614" s="45" t="s">
        <v>1573</v>
      </c>
      <c r="D614" s="44" t="s">
        <v>4183</v>
      </c>
      <c r="E614" s="44" t="str">
        <f>VLOOKUP(Tabelle7[[#This Row],[EnumName]],Enum[[IFC-Name]:[Präfix]],5,FALSE)&amp;Tabelle7[[#This Row],[EnuRohValue]]</f>
        <v>bldFIT_VOLTMETER_PEAK</v>
      </c>
      <c r="F614" s="44">
        <f>COUNTIF(Tabelle7[EnuValue],Tabelle7[[#This Row],[EnuValue]])</f>
        <v>1</v>
      </c>
      <c r="G614" s="44" t="str">
        <f xml:space="preserve"> "  " &amp; Tabelle7[[#This Row],[EnuValue]] &amp; " = " &amp; Tabelle7[[#This Row],[Wert]]</f>
        <v xml:space="preserve">  bldFIT_VOLTMETER_PEAK = 7</v>
      </c>
      <c r="H614" s="44" t="str">
        <f>"  If Wert = " &amp; Tabelle7[[#This Row],[EnuValue]] &amp; " then Res = ""." &amp; Tabelle7[[#This Row],[EnuRohValue]] &amp; "."""</f>
        <v xml:space="preserve">  If Wert = bldFIT_VOLTMETER_PEAK then Res = ".VOLTMETER_PEAK."</v>
      </c>
      <c r="I614" s="44" t="str">
        <f>"  If wert = ""." &amp; Tabelle7[[#This Row],[EnuRohValue]] &amp; "."" Then Res = " &amp; Tabelle7[[#This Row],[EnuValue]]</f>
        <v xml:space="preserve">  If wert = ".VOLTMETER_PEAK." Then Res = bldFIT_VOLTMETER_PEAK</v>
      </c>
    </row>
    <row r="615" spans="2:9" x14ac:dyDescent="0.25">
      <c r="B615" s="44">
        <v>8</v>
      </c>
      <c r="C615" s="45" t="s">
        <v>1573</v>
      </c>
      <c r="D615" s="44" t="s">
        <v>4184</v>
      </c>
      <c r="E615" s="44" t="str">
        <f>VLOOKUP(Tabelle7[[#This Row],[EnumName]],Enum[[IFC-Name]:[Präfix]],5,FALSE)&amp;Tabelle7[[#This Row],[EnuRohValue]]</f>
        <v>bldFIT_VOLTMETER_RMS</v>
      </c>
      <c r="F615" s="44">
        <f>COUNTIF(Tabelle7[EnuValue],Tabelle7[[#This Row],[EnuValue]])</f>
        <v>1</v>
      </c>
      <c r="G615" s="44" t="str">
        <f xml:space="preserve"> "  " &amp; Tabelle7[[#This Row],[EnuValue]] &amp; " = " &amp; Tabelle7[[#This Row],[Wert]]</f>
        <v xml:space="preserve">  bldFIT_VOLTMETER_RMS = 8</v>
      </c>
      <c r="H615" s="44" t="str">
        <f>"  If Wert = " &amp; Tabelle7[[#This Row],[EnuValue]] &amp; " then Res = ""." &amp; Tabelle7[[#This Row],[EnuRohValue]] &amp; "."""</f>
        <v xml:space="preserve">  If Wert = bldFIT_VOLTMETER_RMS then Res = ".VOLTMETER_RMS."</v>
      </c>
      <c r="I615" s="44" t="str">
        <f>"  If wert = ""." &amp; Tabelle7[[#This Row],[EnuRohValue]] &amp; "."" Then Res = " &amp; Tabelle7[[#This Row],[EnuValue]]</f>
        <v xml:space="preserve">  If wert = ".VOLTMETER_RMS." Then Res = bldFIT_VOLTMETER_RMS</v>
      </c>
    </row>
    <row r="616" spans="2:9" x14ac:dyDescent="0.25">
      <c r="B616" s="44">
        <v>9</v>
      </c>
      <c r="C616" s="45" t="s">
        <v>1573</v>
      </c>
      <c r="D616" s="44" t="s">
        <v>3682</v>
      </c>
      <c r="E616" s="44" t="str">
        <f>VLOOKUP(Tabelle7[[#This Row],[EnumName]],Enum[[IFC-Name]:[Präfix]],5,FALSE)&amp;Tabelle7[[#This Row],[EnuRohValue]]</f>
        <v>bldFIT_USERDEFINED</v>
      </c>
      <c r="F616" s="44">
        <f>COUNTIF(Tabelle7[EnuValue],Tabelle7[[#This Row],[EnuValue]])</f>
        <v>1</v>
      </c>
      <c r="G616" s="44" t="str">
        <f xml:space="preserve"> "  " &amp; Tabelle7[[#This Row],[EnuValue]] &amp; " = " &amp; Tabelle7[[#This Row],[Wert]]</f>
        <v xml:space="preserve">  bldFIT_USERDEFINED = 9</v>
      </c>
      <c r="H616" s="44" t="str">
        <f>"  If Wert = " &amp; Tabelle7[[#This Row],[EnuValue]] &amp; " then Res = ""." &amp; Tabelle7[[#This Row],[EnuRohValue]] &amp; "."""</f>
        <v xml:space="preserve">  If Wert = bldFIT_USERDEFINED then Res = ".USERDEFINED."</v>
      </c>
      <c r="I616" s="44" t="str">
        <f>"  If wert = ""." &amp; Tabelle7[[#This Row],[EnuRohValue]] &amp; "."" Then Res = " &amp; Tabelle7[[#This Row],[EnuValue]]</f>
        <v xml:space="preserve">  If wert = ".USERDEFINED." Then Res = bldFIT_USERDEFINED</v>
      </c>
    </row>
    <row r="617" spans="2:9" x14ac:dyDescent="0.25">
      <c r="B617" s="44">
        <v>10</v>
      </c>
      <c r="C617" s="45" t="s">
        <v>1573</v>
      </c>
      <c r="D617" s="44" t="s">
        <v>3683</v>
      </c>
      <c r="E617" s="44" t="str">
        <f>VLOOKUP(Tabelle7[[#This Row],[EnumName]],Enum[[IFC-Name]:[Präfix]],5,FALSE)&amp;Tabelle7[[#This Row],[EnuRohValue]]</f>
        <v>bldFIT_NOTDEFINED</v>
      </c>
      <c r="F617" s="44">
        <f>COUNTIF(Tabelle7[EnuValue],Tabelle7[[#This Row],[EnuValue]])</f>
        <v>1</v>
      </c>
      <c r="G617" s="44" t="str">
        <f xml:space="preserve"> "  " &amp; Tabelle7[[#This Row],[EnuValue]] &amp; " = " &amp; Tabelle7[[#This Row],[Wert]]</f>
        <v xml:space="preserve">  bldFIT_NOTDEFINED = 10</v>
      </c>
      <c r="H617" s="44" t="str">
        <f>"  If Wert = " &amp; Tabelle7[[#This Row],[EnuValue]] &amp; " then Res = ""." &amp; Tabelle7[[#This Row],[EnuRohValue]] &amp; "."""</f>
        <v xml:space="preserve">  If Wert = bldFIT_NOTDEFINED then Res = ".NOTDEFINED."</v>
      </c>
      <c r="I617" s="44" t="str">
        <f>"  If wert = ""." &amp; Tabelle7[[#This Row],[EnuRohValue]] &amp; "."" Then Res = " &amp; Tabelle7[[#This Row],[EnuValue]]</f>
        <v xml:space="preserve">  If wert = ".NOTDEFINED." Then Res = bldFIT_NOTDEFINED</v>
      </c>
    </row>
    <row r="618" spans="2:9" x14ac:dyDescent="0.25">
      <c r="B618" s="44">
        <v>1</v>
      </c>
      <c r="C618" s="45" t="s">
        <v>1574</v>
      </c>
      <c r="D618" s="44" t="s">
        <v>4185</v>
      </c>
      <c r="E618" s="44" t="str">
        <f>VLOOKUP(Tabelle7[[#This Row],[EnumName]],Enum[[IFC-Name]:[Präfix]],5,FALSE)&amp;Tabelle7[[#This Row],[EnuRohValue]]</f>
        <v>hvacFMT_ELECTRICMETER</v>
      </c>
      <c r="F618" s="44">
        <f>COUNTIF(Tabelle7[EnuValue],Tabelle7[[#This Row],[EnuValue]])</f>
        <v>1</v>
      </c>
      <c r="G618" s="44" t="str">
        <f xml:space="preserve"> "  " &amp; Tabelle7[[#This Row],[EnuValue]] &amp; " = " &amp; Tabelle7[[#This Row],[Wert]]</f>
        <v xml:space="preserve">  hvacFMT_ELECTRICMETER = 1</v>
      </c>
      <c r="H618" s="44" t="str">
        <f>"  If Wert = " &amp; Tabelle7[[#This Row],[EnuValue]] &amp; " then Res = ""." &amp; Tabelle7[[#This Row],[EnuRohValue]] &amp; "."""</f>
        <v xml:space="preserve">  If Wert = hvacFMT_ELECTRICMETER then Res = ".ELECTRICMETER."</v>
      </c>
      <c r="I618" s="44" t="str">
        <f>"  If wert = ""." &amp; Tabelle7[[#This Row],[EnuRohValue]] &amp; "."" Then Res = " &amp; Tabelle7[[#This Row],[EnuValue]]</f>
        <v xml:space="preserve">  If wert = ".ELECTRICMETER." Then Res = hvacFMT_ELECTRICMETER</v>
      </c>
    </row>
    <row r="619" spans="2:9" x14ac:dyDescent="0.25">
      <c r="B619" s="44">
        <v>2</v>
      </c>
      <c r="C619" s="45" t="s">
        <v>1574</v>
      </c>
      <c r="D619" s="44" t="s">
        <v>4186</v>
      </c>
      <c r="E619" s="44" t="str">
        <f>VLOOKUP(Tabelle7[[#This Row],[EnumName]],Enum[[IFC-Name]:[Präfix]],5,FALSE)&amp;Tabelle7[[#This Row],[EnuRohValue]]</f>
        <v>hvacFMT_ENERGYMETER</v>
      </c>
      <c r="F619" s="44">
        <f>COUNTIF(Tabelle7[EnuValue],Tabelle7[[#This Row],[EnuValue]])</f>
        <v>1</v>
      </c>
      <c r="G619" s="44" t="str">
        <f xml:space="preserve"> "  " &amp; Tabelle7[[#This Row],[EnuValue]] &amp; " = " &amp; Tabelle7[[#This Row],[Wert]]</f>
        <v xml:space="preserve">  hvacFMT_ENERGYMETER = 2</v>
      </c>
      <c r="H619" s="44" t="str">
        <f>"  If Wert = " &amp; Tabelle7[[#This Row],[EnuValue]] &amp; " then Res = ""." &amp; Tabelle7[[#This Row],[EnuRohValue]] &amp; "."""</f>
        <v xml:space="preserve">  If Wert = hvacFMT_ENERGYMETER then Res = ".ENERGYMETER."</v>
      </c>
      <c r="I619" s="44" t="str">
        <f>"  If wert = ""." &amp; Tabelle7[[#This Row],[EnuRohValue]] &amp; "."" Then Res = " &amp; Tabelle7[[#This Row],[EnuValue]]</f>
        <v xml:space="preserve">  If wert = ".ENERGYMETER." Then Res = hvacFMT_ENERGYMETER</v>
      </c>
    </row>
    <row r="620" spans="2:9" x14ac:dyDescent="0.25">
      <c r="B620" s="44">
        <v>3</v>
      </c>
      <c r="C620" s="45" t="s">
        <v>1574</v>
      </c>
      <c r="D620" s="44" t="s">
        <v>4187</v>
      </c>
      <c r="E620" s="44" t="str">
        <f>VLOOKUP(Tabelle7[[#This Row],[EnumName]],Enum[[IFC-Name]:[Präfix]],5,FALSE)&amp;Tabelle7[[#This Row],[EnuRohValue]]</f>
        <v>hvacFMT_FLOWMETER</v>
      </c>
      <c r="F620" s="44">
        <f>COUNTIF(Tabelle7[EnuValue],Tabelle7[[#This Row],[EnuValue]])</f>
        <v>1</v>
      </c>
      <c r="G620" s="44" t="str">
        <f xml:space="preserve"> "  " &amp; Tabelle7[[#This Row],[EnuValue]] &amp; " = " &amp; Tabelle7[[#This Row],[Wert]]</f>
        <v xml:space="preserve">  hvacFMT_FLOWMETER = 3</v>
      </c>
      <c r="H620" s="44" t="str">
        <f>"  If Wert = " &amp; Tabelle7[[#This Row],[EnuValue]] &amp; " then Res = ""." &amp; Tabelle7[[#This Row],[EnuRohValue]] &amp; "."""</f>
        <v xml:space="preserve">  If Wert = hvacFMT_FLOWMETER then Res = ".FLOWMETER."</v>
      </c>
      <c r="I620" s="44" t="str">
        <f>"  If wert = ""." &amp; Tabelle7[[#This Row],[EnuRohValue]] &amp; "."" Then Res = " &amp; Tabelle7[[#This Row],[EnuValue]]</f>
        <v xml:space="preserve">  If wert = ".FLOWMETER." Then Res = hvacFMT_FLOWMETER</v>
      </c>
    </row>
    <row r="621" spans="2:9" x14ac:dyDescent="0.25">
      <c r="B621" s="44">
        <v>4</v>
      </c>
      <c r="C621" s="45" t="s">
        <v>1574</v>
      </c>
      <c r="D621" s="44" t="s">
        <v>4188</v>
      </c>
      <c r="E621" s="44" t="str">
        <f>VLOOKUP(Tabelle7[[#This Row],[EnumName]],Enum[[IFC-Name]:[Präfix]],5,FALSE)&amp;Tabelle7[[#This Row],[EnuRohValue]]</f>
        <v>hvacFMT_GASMETER</v>
      </c>
      <c r="F621" s="44">
        <f>COUNTIF(Tabelle7[EnuValue],Tabelle7[[#This Row],[EnuValue]])</f>
        <v>1</v>
      </c>
      <c r="G621" s="44" t="str">
        <f xml:space="preserve"> "  " &amp; Tabelle7[[#This Row],[EnuValue]] &amp; " = " &amp; Tabelle7[[#This Row],[Wert]]</f>
        <v xml:space="preserve">  hvacFMT_GASMETER = 4</v>
      </c>
      <c r="H621" s="44" t="str">
        <f>"  If Wert = " &amp; Tabelle7[[#This Row],[EnuValue]] &amp; " then Res = ""." &amp; Tabelle7[[#This Row],[EnuRohValue]] &amp; "."""</f>
        <v xml:space="preserve">  If Wert = hvacFMT_GASMETER then Res = ".GASMETER."</v>
      </c>
      <c r="I621" s="44" t="str">
        <f>"  If wert = ""." &amp; Tabelle7[[#This Row],[EnuRohValue]] &amp; "."" Then Res = " &amp; Tabelle7[[#This Row],[EnuValue]]</f>
        <v xml:space="preserve">  If wert = ".GASMETER." Then Res = hvacFMT_GASMETER</v>
      </c>
    </row>
    <row r="622" spans="2:9" x14ac:dyDescent="0.25">
      <c r="B622" s="44">
        <v>5</v>
      </c>
      <c r="C622" s="45" t="s">
        <v>1574</v>
      </c>
      <c r="D622" s="44" t="s">
        <v>4189</v>
      </c>
      <c r="E622" s="44" t="str">
        <f>VLOOKUP(Tabelle7[[#This Row],[EnumName]],Enum[[IFC-Name]:[Präfix]],5,FALSE)&amp;Tabelle7[[#This Row],[EnuRohValue]]</f>
        <v>hvacFMT_OILMETER</v>
      </c>
      <c r="F622" s="44">
        <f>COUNTIF(Tabelle7[EnuValue],Tabelle7[[#This Row],[EnuValue]])</f>
        <v>1</v>
      </c>
      <c r="G622" s="44" t="str">
        <f xml:space="preserve"> "  " &amp; Tabelle7[[#This Row],[EnuValue]] &amp; " = " &amp; Tabelle7[[#This Row],[Wert]]</f>
        <v xml:space="preserve">  hvacFMT_OILMETER = 5</v>
      </c>
      <c r="H622" s="44" t="str">
        <f>"  If Wert = " &amp; Tabelle7[[#This Row],[EnuValue]] &amp; " then Res = ""." &amp; Tabelle7[[#This Row],[EnuRohValue]] &amp; "."""</f>
        <v xml:space="preserve">  If Wert = hvacFMT_OILMETER then Res = ".OILMETER."</v>
      </c>
      <c r="I622" s="44" t="str">
        <f>"  If wert = ""." &amp; Tabelle7[[#This Row],[EnuRohValue]] &amp; "."" Then Res = " &amp; Tabelle7[[#This Row],[EnuValue]]</f>
        <v xml:space="preserve">  If wert = ".OILMETER." Then Res = hvacFMT_OILMETER</v>
      </c>
    </row>
    <row r="623" spans="2:9" x14ac:dyDescent="0.25">
      <c r="B623" s="44">
        <v>6</v>
      </c>
      <c r="C623" s="45" t="s">
        <v>1574</v>
      </c>
      <c r="D623" s="44" t="s">
        <v>4190</v>
      </c>
      <c r="E623" s="44" t="str">
        <f>VLOOKUP(Tabelle7[[#This Row],[EnumName]],Enum[[IFC-Name]:[Präfix]],5,FALSE)&amp;Tabelle7[[#This Row],[EnuRohValue]]</f>
        <v>hvacFMT_WATERMETER</v>
      </c>
      <c r="F623" s="44">
        <f>COUNTIF(Tabelle7[EnuValue],Tabelle7[[#This Row],[EnuValue]])</f>
        <v>1</v>
      </c>
      <c r="G623" s="44" t="str">
        <f xml:space="preserve"> "  " &amp; Tabelle7[[#This Row],[EnuValue]] &amp; " = " &amp; Tabelle7[[#This Row],[Wert]]</f>
        <v xml:space="preserve">  hvacFMT_WATERMETER = 6</v>
      </c>
      <c r="H623" s="44" t="str">
        <f>"  If Wert = " &amp; Tabelle7[[#This Row],[EnuValue]] &amp; " then Res = ""." &amp; Tabelle7[[#This Row],[EnuRohValue]] &amp; "."""</f>
        <v xml:space="preserve">  If Wert = hvacFMT_WATERMETER then Res = ".WATERMETER."</v>
      </c>
      <c r="I623" s="44" t="str">
        <f>"  If wert = ""." &amp; Tabelle7[[#This Row],[EnuRohValue]] &amp; "."" Then Res = " &amp; Tabelle7[[#This Row],[EnuValue]]</f>
        <v xml:space="preserve">  If wert = ".WATERMETER." Then Res = hvacFMT_WATERMETER</v>
      </c>
    </row>
    <row r="624" spans="2:9" x14ac:dyDescent="0.25">
      <c r="B624" s="44">
        <v>7</v>
      </c>
      <c r="C624" s="45" t="s">
        <v>1574</v>
      </c>
      <c r="D624" s="44" t="s">
        <v>3682</v>
      </c>
      <c r="E624" s="44" t="str">
        <f>VLOOKUP(Tabelle7[[#This Row],[EnumName]],Enum[[IFC-Name]:[Präfix]],5,FALSE)&amp;Tabelle7[[#This Row],[EnuRohValue]]</f>
        <v>hvacFMT_USERDEFINED</v>
      </c>
      <c r="F624" s="44">
        <f>COUNTIF(Tabelle7[EnuValue],Tabelle7[[#This Row],[EnuValue]])</f>
        <v>1</v>
      </c>
      <c r="G624" s="44" t="str">
        <f xml:space="preserve"> "  " &amp; Tabelle7[[#This Row],[EnuValue]] &amp; " = " &amp; Tabelle7[[#This Row],[Wert]]</f>
        <v xml:space="preserve">  hvacFMT_USERDEFINED = 7</v>
      </c>
      <c r="H624" s="44" t="str">
        <f>"  If Wert = " &amp; Tabelle7[[#This Row],[EnuValue]] &amp; " then Res = ""." &amp; Tabelle7[[#This Row],[EnuRohValue]] &amp; "."""</f>
        <v xml:space="preserve">  If Wert = hvacFMT_USERDEFINED then Res = ".USERDEFINED."</v>
      </c>
      <c r="I624" s="44" t="str">
        <f>"  If wert = ""." &amp; Tabelle7[[#This Row],[EnuRohValue]] &amp; "."" Then Res = " &amp; Tabelle7[[#This Row],[EnuValue]]</f>
        <v xml:space="preserve">  If wert = ".USERDEFINED." Then Res = hvacFMT_USERDEFINED</v>
      </c>
    </row>
    <row r="625" spans="2:9" x14ac:dyDescent="0.25">
      <c r="B625" s="44">
        <v>8</v>
      </c>
      <c r="C625" s="45" t="s">
        <v>1574</v>
      </c>
      <c r="D625" s="44" t="s">
        <v>3683</v>
      </c>
      <c r="E625" s="44" t="str">
        <f>VLOOKUP(Tabelle7[[#This Row],[EnumName]],Enum[[IFC-Name]:[Präfix]],5,FALSE)&amp;Tabelle7[[#This Row],[EnuRohValue]]</f>
        <v>hvacFMT_NOTDEFINED</v>
      </c>
      <c r="F625" s="44">
        <f>COUNTIF(Tabelle7[EnuValue],Tabelle7[[#This Row],[EnuValue]])</f>
        <v>1</v>
      </c>
      <c r="G625" s="44" t="str">
        <f xml:space="preserve"> "  " &amp; Tabelle7[[#This Row],[EnuValue]] &amp; " = " &amp; Tabelle7[[#This Row],[Wert]]</f>
        <v xml:space="preserve">  hvacFMT_NOTDEFINED = 8</v>
      </c>
      <c r="H625" s="44" t="str">
        <f>"  If Wert = " &amp; Tabelle7[[#This Row],[EnuValue]] &amp; " then Res = ""." &amp; Tabelle7[[#This Row],[EnuRohValue]] &amp; "."""</f>
        <v xml:space="preserve">  If Wert = hvacFMT_NOTDEFINED then Res = ".NOTDEFINED."</v>
      </c>
      <c r="I625" s="44" t="str">
        <f>"  If wert = ""." &amp; Tabelle7[[#This Row],[EnuRohValue]] &amp; "."" Then Res = " &amp; Tabelle7[[#This Row],[EnuValue]]</f>
        <v xml:space="preserve">  If wert = ".NOTDEFINED." Then Res = hvacFMT_NOTDEFINED</v>
      </c>
    </row>
    <row r="626" spans="2:9" x14ac:dyDescent="0.25">
      <c r="B626" s="44">
        <v>1</v>
      </c>
      <c r="C626" s="45" t="s">
        <v>1575</v>
      </c>
      <c r="D626" s="44" t="s">
        <v>4191</v>
      </c>
      <c r="E626" s="44" t="str">
        <f>VLOOKUP(Tabelle7[[#This Row],[EnumName]],Enum[[IFC-Name]:[Präfix]],5,FALSE)&amp;Tabelle7[[#This Row],[EnuRohValue]]</f>
        <v>stcFT_FOOTING_BEAM</v>
      </c>
      <c r="F626" s="44">
        <f>COUNTIF(Tabelle7[EnuValue],Tabelle7[[#This Row],[EnuValue]])</f>
        <v>1</v>
      </c>
      <c r="G626" s="44" t="str">
        <f xml:space="preserve"> "  " &amp; Tabelle7[[#This Row],[EnuValue]] &amp; " = " &amp; Tabelle7[[#This Row],[Wert]]</f>
        <v xml:space="preserve">  stcFT_FOOTING_BEAM = 1</v>
      </c>
      <c r="H626" s="44" t="str">
        <f>"  If Wert = " &amp; Tabelle7[[#This Row],[EnuValue]] &amp; " then Res = ""." &amp; Tabelle7[[#This Row],[EnuRohValue]] &amp; "."""</f>
        <v xml:space="preserve">  If Wert = stcFT_FOOTING_BEAM then Res = ".FOOTING_BEAM."</v>
      </c>
      <c r="I626" s="44" t="str">
        <f>"  If wert = ""." &amp; Tabelle7[[#This Row],[EnuRohValue]] &amp; "."" Then Res = " &amp; Tabelle7[[#This Row],[EnuValue]]</f>
        <v xml:space="preserve">  If wert = ".FOOTING_BEAM." Then Res = stcFT_FOOTING_BEAM</v>
      </c>
    </row>
    <row r="627" spans="2:9" x14ac:dyDescent="0.25">
      <c r="B627" s="44">
        <v>2</v>
      </c>
      <c r="C627" s="45" t="s">
        <v>1575</v>
      </c>
      <c r="D627" s="44" t="s">
        <v>4192</v>
      </c>
      <c r="E627" s="44" t="str">
        <f>VLOOKUP(Tabelle7[[#This Row],[EnumName]],Enum[[IFC-Name]:[Präfix]],5,FALSE)&amp;Tabelle7[[#This Row],[EnuRohValue]]</f>
        <v>stcFT_PAD_FOOTING</v>
      </c>
      <c r="F627" s="44">
        <f>COUNTIF(Tabelle7[EnuValue],Tabelle7[[#This Row],[EnuValue]])</f>
        <v>1</v>
      </c>
      <c r="G627" s="44" t="str">
        <f xml:space="preserve"> "  " &amp; Tabelle7[[#This Row],[EnuValue]] &amp; " = " &amp; Tabelle7[[#This Row],[Wert]]</f>
        <v xml:space="preserve">  stcFT_PAD_FOOTING = 2</v>
      </c>
      <c r="H627" s="44" t="str">
        <f>"  If Wert = " &amp; Tabelle7[[#This Row],[EnuValue]] &amp; " then Res = ""." &amp; Tabelle7[[#This Row],[EnuRohValue]] &amp; "."""</f>
        <v xml:space="preserve">  If Wert = stcFT_PAD_FOOTING then Res = ".PAD_FOOTING."</v>
      </c>
      <c r="I627" s="44" t="str">
        <f>"  If wert = ""." &amp; Tabelle7[[#This Row],[EnuRohValue]] &amp; "."" Then Res = " &amp; Tabelle7[[#This Row],[EnuValue]]</f>
        <v xml:space="preserve">  If wert = ".PAD_FOOTING." Then Res = stcFT_PAD_FOOTING</v>
      </c>
    </row>
    <row r="628" spans="2:9" x14ac:dyDescent="0.25">
      <c r="B628" s="44">
        <v>3</v>
      </c>
      <c r="C628" s="45" t="s">
        <v>1575</v>
      </c>
      <c r="D628" s="44" t="s">
        <v>4193</v>
      </c>
      <c r="E628" s="44" t="str">
        <f>VLOOKUP(Tabelle7[[#This Row],[EnumName]],Enum[[IFC-Name]:[Präfix]],5,FALSE)&amp;Tabelle7[[#This Row],[EnuRohValue]]</f>
        <v>stcFT_PILE_CAP</v>
      </c>
      <c r="F628" s="44">
        <f>COUNTIF(Tabelle7[EnuValue],Tabelle7[[#This Row],[EnuValue]])</f>
        <v>1</v>
      </c>
      <c r="G628" s="44" t="str">
        <f xml:space="preserve"> "  " &amp; Tabelle7[[#This Row],[EnuValue]] &amp; " = " &amp; Tabelle7[[#This Row],[Wert]]</f>
        <v xml:space="preserve">  stcFT_PILE_CAP = 3</v>
      </c>
      <c r="H628" s="44" t="str">
        <f>"  If Wert = " &amp; Tabelle7[[#This Row],[EnuValue]] &amp; " then Res = ""." &amp; Tabelle7[[#This Row],[EnuRohValue]] &amp; "."""</f>
        <v xml:space="preserve">  If Wert = stcFT_PILE_CAP then Res = ".PILE_CAP."</v>
      </c>
      <c r="I628" s="44" t="str">
        <f>"  If wert = ""." &amp; Tabelle7[[#This Row],[EnuRohValue]] &amp; "."" Then Res = " &amp; Tabelle7[[#This Row],[EnuValue]]</f>
        <v xml:space="preserve">  If wert = ".PILE_CAP." Then Res = stcFT_PILE_CAP</v>
      </c>
    </row>
    <row r="629" spans="2:9" x14ac:dyDescent="0.25">
      <c r="B629" s="44">
        <v>4</v>
      </c>
      <c r="C629" s="45" t="s">
        <v>1575</v>
      </c>
      <c r="D629" s="44" t="s">
        <v>4194</v>
      </c>
      <c r="E629" s="44" t="str">
        <f>VLOOKUP(Tabelle7[[#This Row],[EnumName]],Enum[[IFC-Name]:[Präfix]],5,FALSE)&amp;Tabelle7[[#This Row],[EnuRohValue]]</f>
        <v>stcFT_STRIP_FOOTING</v>
      </c>
      <c r="F629" s="44">
        <f>COUNTIF(Tabelle7[EnuValue],Tabelle7[[#This Row],[EnuValue]])</f>
        <v>1</v>
      </c>
      <c r="G629" s="44" t="str">
        <f xml:space="preserve"> "  " &amp; Tabelle7[[#This Row],[EnuValue]] &amp; " = " &amp; Tabelle7[[#This Row],[Wert]]</f>
        <v xml:space="preserve">  stcFT_STRIP_FOOTING = 4</v>
      </c>
      <c r="H629" s="44" t="str">
        <f>"  If Wert = " &amp; Tabelle7[[#This Row],[EnuValue]] &amp; " then Res = ""." &amp; Tabelle7[[#This Row],[EnuRohValue]] &amp; "."""</f>
        <v xml:space="preserve">  If Wert = stcFT_STRIP_FOOTING then Res = ".STRIP_FOOTING."</v>
      </c>
      <c r="I629" s="44" t="str">
        <f>"  If wert = ""." &amp; Tabelle7[[#This Row],[EnuRohValue]] &amp; "."" Then Res = " &amp; Tabelle7[[#This Row],[EnuValue]]</f>
        <v xml:space="preserve">  If wert = ".STRIP_FOOTING." Then Res = stcFT_STRIP_FOOTING</v>
      </c>
    </row>
    <row r="630" spans="2:9" x14ac:dyDescent="0.25">
      <c r="B630" s="44">
        <v>5</v>
      </c>
      <c r="C630" s="45" t="s">
        <v>1575</v>
      </c>
      <c r="D630" s="44" t="s">
        <v>3682</v>
      </c>
      <c r="E630" s="44" t="str">
        <f>VLOOKUP(Tabelle7[[#This Row],[EnumName]],Enum[[IFC-Name]:[Präfix]],5,FALSE)&amp;Tabelle7[[#This Row],[EnuRohValue]]</f>
        <v>stcFT_USERDEFINED</v>
      </c>
      <c r="F630" s="44">
        <f>COUNTIF(Tabelle7[EnuValue],Tabelle7[[#This Row],[EnuValue]])</f>
        <v>1</v>
      </c>
      <c r="G630" s="44" t="str">
        <f xml:space="preserve"> "  " &amp; Tabelle7[[#This Row],[EnuValue]] &amp; " = " &amp; Tabelle7[[#This Row],[Wert]]</f>
        <v xml:space="preserve">  stcFT_USERDEFINED = 5</v>
      </c>
      <c r="H630" s="44" t="str">
        <f>"  If Wert = " &amp; Tabelle7[[#This Row],[EnuValue]] &amp; " then Res = ""." &amp; Tabelle7[[#This Row],[EnuRohValue]] &amp; "."""</f>
        <v xml:space="preserve">  If Wert = stcFT_USERDEFINED then Res = ".USERDEFINED."</v>
      </c>
      <c r="I630" s="44" t="str">
        <f>"  If wert = ""." &amp; Tabelle7[[#This Row],[EnuRohValue]] &amp; "."" Then Res = " &amp; Tabelle7[[#This Row],[EnuValue]]</f>
        <v xml:space="preserve">  If wert = ".USERDEFINED." Then Res = stcFT_USERDEFINED</v>
      </c>
    </row>
    <row r="631" spans="2:9" x14ac:dyDescent="0.25">
      <c r="B631" s="44">
        <v>6</v>
      </c>
      <c r="C631" s="45" t="s">
        <v>1575</v>
      </c>
      <c r="D631" s="44" t="s">
        <v>3683</v>
      </c>
      <c r="E631" s="44" t="str">
        <f>VLOOKUP(Tabelle7[[#This Row],[EnumName]],Enum[[IFC-Name]:[Präfix]],5,FALSE)&amp;Tabelle7[[#This Row],[EnuRohValue]]</f>
        <v>stcFT_NOTDEFINED</v>
      </c>
      <c r="F631" s="44">
        <f>COUNTIF(Tabelle7[EnuValue],Tabelle7[[#This Row],[EnuValue]])</f>
        <v>1</v>
      </c>
      <c r="G631" s="44" t="str">
        <f xml:space="preserve"> "  " &amp; Tabelle7[[#This Row],[EnuValue]] &amp; " = " &amp; Tabelle7[[#This Row],[Wert]]</f>
        <v xml:space="preserve">  stcFT_NOTDEFINED = 6</v>
      </c>
      <c r="H631" s="44" t="str">
        <f>"  If Wert = " &amp; Tabelle7[[#This Row],[EnuValue]] &amp; " then Res = ""." &amp; Tabelle7[[#This Row],[EnuRohValue]] &amp; "."""</f>
        <v xml:space="preserve">  If Wert = stcFT_NOTDEFINED then Res = ".NOTDEFINED."</v>
      </c>
      <c r="I631" s="44" t="str">
        <f>"  If wert = ""." &amp; Tabelle7[[#This Row],[EnuRohValue]] &amp; "."" Then Res = " &amp; Tabelle7[[#This Row],[EnuValue]]</f>
        <v xml:space="preserve">  If wert = ".NOTDEFINED." Then Res = stcFT_NOTDEFINED</v>
      </c>
    </row>
    <row r="632" spans="2:9" x14ac:dyDescent="0.25">
      <c r="B632" s="44">
        <v>1</v>
      </c>
      <c r="C632" s="45" t="s">
        <v>1576</v>
      </c>
      <c r="D632" s="44" t="s">
        <v>4195</v>
      </c>
      <c r="E632" s="44" t="str">
        <f>VLOOKUP(Tabelle7[[#This Row],[EnumName]],Enum[[IFC-Name]:[Präfix]],5,FALSE)&amp;Tabelle7[[#This Row],[EnuRohValue]]</f>
        <v>hvacGTT_GASAPPLIANCE</v>
      </c>
      <c r="F632" s="44">
        <f>COUNTIF(Tabelle7[EnuValue],Tabelle7[[#This Row],[EnuValue]])</f>
        <v>1</v>
      </c>
      <c r="G632" s="44" t="str">
        <f xml:space="preserve"> "  " &amp; Tabelle7[[#This Row],[EnuValue]] &amp; " = " &amp; Tabelle7[[#This Row],[Wert]]</f>
        <v xml:space="preserve">  hvacGTT_GASAPPLIANCE = 1</v>
      </c>
      <c r="H632" s="44" t="str">
        <f>"  If Wert = " &amp; Tabelle7[[#This Row],[EnuValue]] &amp; " then Res = ""." &amp; Tabelle7[[#This Row],[EnuRohValue]] &amp; "."""</f>
        <v xml:space="preserve">  If Wert = hvacGTT_GASAPPLIANCE then Res = ".GASAPPLIANCE."</v>
      </c>
      <c r="I632" s="44" t="str">
        <f>"  If wert = ""." &amp; Tabelle7[[#This Row],[EnuRohValue]] &amp; "."" Then Res = " &amp; Tabelle7[[#This Row],[EnuValue]]</f>
        <v xml:space="preserve">  If wert = ".GASAPPLIANCE." Then Res = hvacGTT_GASAPPLIANCE</v>
      </c>
    </row>
    <row r="633" spans="2:9" x14ac:dyDescent="0.25">
      <c r="B633" s="44">
        <v>2</v>
      </c>
      <c r="C633" s="45" t="s">
        <v>1576</v>
      </c>
      <c r="D633" s="44" t="s">
        <v>4196</v>
      </c>
      <c r="E633" s="44" t="str">
        <f>VLOOKUP(Tabelle7[[#This Row],[EnumName]],Enum[[IFC-Name]:[Präfix]],5,FALSE)&amp;Tabelle7[[#This Row],[EnuRohValue]]</f>
        <v>hvacGTT_GASBOOSTER</v>
      </c>
      <c r="F633" s="44">
        <f>COUNTIF(Tabelle7[EnuValue],Tabelle7[[#This Row],[EnuValue]])</f>
        <v>1</v>
      </c>
      <c r="G633" s="44" t="str">
        <f xml:space="preserve"> "  " &amp; Tabelle7[[#This Row],[EnuValue]] &amp; " = " &amp; Tabelle7[[#This Row],[Wert]]</f>
        <v xml:space="preserve">  hvacGTT_GASBOOSTER = 2</v>
      </c>
      <c r="H633" s="44" t="str">
        <f>"  If Wert = " &amp; Tabelle7[[#This Row],[EnuValue]] &amp; " then Res = ""." &amp; Tabelle7[[#This Row],[EnuRohValue]] &amp; "."""</f>
        <v xml:space="preserve">  If Wert = hvacGTT_GASBOOSTER then Res = ".GASBOOSTER."</v>
      </c>
      <c r="I633" s="44" t="str">
        <f>"  If wert = ""." &amp; Tabelle7[[#This Row],[EnuRohValue]] &amp; "."" Then Res = " &amp; Tabelle7[[#This Row],[EnuValue]]</f>
        <v xml:space="preserve">  If wert = ".GASBOOSTER." Then Res = hvacGTT_GASBOOSTER</v>
      </c>
    </row>
    <row r="634" spans="2:9" x14ac:dyDescent="0.25">
      <c r="B634" s="44">
        <v>3</v>
      </c>
      <c r="C634" s="45" t="s">
        <v>1576</v>
      </c>
      <c r="D634" s="44" t="s">
        <v>4197</v>
      </c>
      <c r="E634" s="44" t="str">
        <f>VLOOKUP(Tabelle7[[#This Row],[EnumName]],Enum[[IFC-Name]:[Präfix]],5,FALSE)&amp;Tabelle7[[#This Row],[EnuRohValue]]</f>
        <v>hvacGTT_GASBURNER</v>
      </c>
      <c r="F634" s="44">
        <f>COUNTIF(Tabelle7[EnuValue],Tabelle7[[#This Row],[EnuValue]])</f>
        <v>1</v>
      </c>
      <c r="G634" s="44" t="str">
        <f xml:space="preserve"> "  " &amp; Tabelle7[[#This Row],[EnuValue]] &amp; " = " &amp; Tabelle7[[#This Row],[Wert]]</f>
        <v xml:space="preserve">  hvacGTT_GASBURNER = 3</v>
      </c>
      <c r="H634" s="44" t="str">
        <f>"  If Wert = " &amp; Tabelle7[[#This Row],[EnuValue]] &amp; " then Res = ""." &amp; Tabelle7[[#This Row],[EnuRohValue]] &amp; "."""</f>
        <v xml:space="preserve">  If Wert = hvacGTT_GASBURNER then Res = ".GASBURNER."</v>
      </c>
      <c r="I634" s="44" t="str">
        <f>"  If wert = ""." &amp; Tabelle7[[#This Row],[EnuRohValue]] &amp; "."" Then Res = " &amp; Tabelle7[[#This Row],[EnuValue]]</f>
        <v xml:space="preserve">  If wert = ".GASBURNER." Then Res = hvacGTT_GASBURNER</v>
      </c>
    </row>
    <row r="635" spans="2:9" x14ac:dyDescent="0.25">
      <c r="B635" s="44">
        <v>4</v>
      </c>
      <c r="C635" s="45" t="s">
        <v>1576</v>
      </c>
      <c r="D635" s="44" t="s">
        <v>3682</v>
      </c>
      <c r="E635" s="44" t="str">
        <f>VLOOKUP(Tabelle7[[#This Row],[EnumName]],Enum[[IFC-Name]:[Präfix]],5,FALSE)&amp;Tabelle7[[#This Row],[EnuRohValue]]</f>
        <v>hvacGTT_USERDEFINED</v>
      </c>
      <c r="F635" s="44">
        <f>COUNTIF(Tabelle7[EnuValue],Tabelle7[[#This Row],[EnuValue]])</f>
        <v>1</v>
      </c>
      <c r="G635" s="44" t="str">
        <f xml:space="preserve"> "  " &amp; Tabelle7[[#This Row],[EnuValue]] &amp; " = " &amp; Tabelle7[[#This Row],[Wert]]</f>
        <v xml:space="preserve">  hvacGTT_USERDEFINED = 4</v>
      </c>
      <c r="H635" s="44" t="str">
        <f>"  If Wert = " &amp; Tabelle7[[#This Row],[EnuValue]] &amp; " then Res = ""." &amp; Tabelle7[[#This Row],[EnuRohValue]] &amp; "."""</f>
        <v xml:space="preserve">  If Wert = hvacGTT_USERDEFINED then Res = ".USERDEFINED."</v>
      </c>
      <c r="I635" s="44" t="str">
        <f>"  If wert = ""." &amp; Tabelle7[[#This Row],[EnuRohValue]] &amp; "."" Then Res = " &amp; Tabelle7[[#This Row],[EnuValue]]</f>
        <v xml:space="preserve">  If wert = ".USERDEFINED." Then Res = hvacGTT_USERDEFINED</v>
      </c>
    </row>
    <row r="636" spans="2:9" x14ac:dyDescent="0.25">
      <c r="B636" s="44">
        <v>5</v>
      </c>
      <c r="C636" s="45" t="s">
        <v>1576</v>
      </c>
      <c r="D636" s="44" t="s">
        <v>3683</v>
      </c>
      <c r="E636" s="44" t="str">
        <f>VLOOKUP(Tabelle7[[#This Row],[EnumName]],Enum[[IFC-Name]:[Präfix]],5,FALSE)&amp;Tabelle7[[#This Row],[EnuRohValue]]</f>
        <v>hvacGTT_NOTDEFINED</v>
      </c>
      <c r="F636" s="44">
        <f>COUNTIF(Tabelle7[EnuValue],Tabelle7[[#This Row],[EnuValue]])</f>
        <v>1</v>
      </c>
      <c r="G636" s="44" t="str">
        <f xml:space="preserve"> "  " &amp; Tabelle7[[#This Row],[EnuValue]] &amp; " = " &amp; Tabelle7[[#This Row],[Wert]]</f>
        <v xml:space="preserve">  hvacGTT_NOTDEFINED = 5</v>
      </c>
      <c r="H636" s="44" t="str">
        <f>"  If Wert = " &amp; Tabelle7[[#This Row],[EnuValue]] &amp; " then Res = ""." &amp; Tabelle7[[#This Row],[EnuRohValue]] &amp; "."""</f>
        <v xml:space="preserve">  If Wert = hvacGTT_NOTDEFINED then Res = ".NOTDEFINED."</v>
      </c>
      <c r="I636" s="44" t="str">
        <f>"  If wert = ""." &amp; Tabelle7[[#This Row],[EnuRohValue]] &amp; "."" Then Res = " &amp; Tabelle7[[#This Row],[EnuValue]]</f>
        <v xml:space="preserve">  If wert = ".NOTDEFINED." Then Res = hvacGTT_NOTDEFINED</v>
      </c>
    </row>
    <row r="637" spans="2:9" x14ac:dyDescent="0.25">
      <c r="B637" s="44">
        <v>1</v>
      </c>
      <c r="C637" s="45" t="s">
        <v>1577</v>
      </c>
      <c r="D637" s="44" t="s">
        <v>4198</v>
      </c>
      <c r="E637" s="44" t="str">
        <f>VLOOKUP(Tabelle7[[#This Row],[EnumName]],Enum[[IFC-Name]:[Präfix]],5,FALSE)&amp;Tabelle7[[#This Row],[EnuRohValue]]</f>
        <v>repGP_GRAPH_VIEW</v>
      </c>
      <c r="F637" s="44">
        <f>COUNTIF(Tabelle7[EnuValue],Tabelle7[[#This Row],[EnuValue]])</f>
        <v>1</v>
      </c>
      <c r="G637" s="44" t="str">
        <f xml:space="preserve"> "  " &amp; Tabelle7[[#This Row],[EnuValue]] &amp; " = " &amp; Tabelle7[[#This Row],[Wert]]</f>
        <v xml:space="preserve">  repGP_GRAPH_VIEW = 1</v>
      </c>
      <c r="H637" s="44" t="str">
        <f>"  If Wert = " &amp; Tabelle7[[#This Row],[EnuValue]] &amp; " then Res = ""." &amp; Tabelle7[[#This Row],[EnuRohValue]] &amp; "."""</f>
        <v xml:space="preserve">  If Wert = repGP_GRAPH_VIEW then Res = ".GRAPH_VIEW."</v>
      </c>
      <c r="I637" s="44" t="str">
        <f>"  If wert = ""." &amp; Tabelle7[[#This Row],[EnuRohValue]] &amp; "."" Then Res = " &amp; Tabelle7[[#This Row],[EnuValue]]</f>
        <v xml:space="preserve">  If wert = ".GRAPH_VIEW." Then Res = repGP_GRAPH_VIEW</v>
      </c>
    </row>
    <row r="638" spans="2:9" x14ac:dyDescent="0.25">
      <c r="B638" s="44">
        <v>2</v>
      </c>
      <c r="C638" s="45" t="s">
        <v>1577</v>
      </c>
      <c r="D638" s="44" t="s">
        <v>4199</v>
      </c>
      <c r="E638" s="44" t="str">
        <f>VLOOKUP(Tabelle7[[#This Row],[EnumName]],Enum[[IFC-Name]:[Präfix]],5,FALSE)&amp;Tabelle7[[#This Row],[EnuRohValue]]</f>
        <v>repGP_SKETCH_VIEW</v>
      </c>
      <c r="F638" s="44">
        <f>COUNTIF(Tabelle7[EnuValue],Tabelle7[[#This Row],[EnuValue]])</f>
        <v>1</v>
      </c>
      <c r="G638" s="44" t="str">
        <f xml:space="preserve"> "  " &amp; Tabelle7[[#This Row],[EnuValue]] &amp; " = " &amp; Tabelle7[[#This Row],[Wert]]</f>
        <v xml:space="preserve">  repGP_SKETCH_VIEW = 2</v>
      </c>
      <c r="H638" s="44" t="str">
        <f>"  If Wert = " &amp; Tabelle7[[#This Row],[EnuValue]] &amp; " then Res = ""." &amp; Tabelle7[[#This Row],[EnuRohValue]] &amp; "."""</f>
        <v xml:space="preserve">  If Wert = repGP_SKETCH_VIEW then Res = ".SKETCH_VIEW."</v>
      </c>
      <c r="I638" s="44" t="str">
        <f>"  If wert = ""." &amp; Tabelle7[[#This Row],[EnuRohValue]] &amp; "."" Then Res = " &amp; Tabelle7[[#This Row],[EnuValue]]</f>
        <v xml:space="preserve">  If wert = ".SKETCH_VIEW." Then Res = repGP_SKETCH_VIEW</v>
      </c>
    </row>
    <row r="639" spans="2:9" x14ac:dyDescent="0.25">
      <c r="B639" s="44">
        <v>3</v>
      </c>
      <c r="C639" s="45" t="s">
        <v>1577</v>
      </c>
      <c r="D639" s="44" t="s">
        <v>4200</v>
      </c>
      <c r="E639" s="44" t="str">
        <f>VLOOKUP(Tabelle7[[#This Row],[EnumName]],Enum[[IFC-Name]:[Präfix]],5,FALSE)&amp;Tabelle7[[#This Row],[EnuRohValue]]</f>
        <v>repGP_MODEL_VIEW</v>
      </c>
      <c r="F639" s="44">
        <f>COUNTIF(Tabelle7[EnuValue],Tabelle7[[#This Row],[EnuValue]])</f>
        <v>1</v>
      </c>
      <c r="G639" s="44" t="str">
        <f xml:space="preserve"> "  " &amp; Tabelle7[[#This Row],[EnuValue]] &amp; " = " &amp; Tabelle7[[#This Row],[Wert]]</f>
        <v xml:space="preserve">  repGP_MODEL_VIEW = 3</v>
      </c>
      <c r="H639" s="44" t="str">
        <f>"  If Wert = " &amp; Tabelle7[[#This Row],[EnuValue]] &amp; " then Res = ""." &amp; Tabelle7[[#This Row],[EnuRohValue]] &amp; "."""</f>
        <v xml:space="preserve">  If Wert = repGP_MODEL_VIEW then Res = ".MODEL_VIEW."</v>
      </c>
      <c r="I639" s="44" t="str">
        <f>"  If wert = ""." &amp; Tabelle7[[#This Row],[EnuRohValue]] &amp; "."" Then Res = " &amp; Tabelle7[[#This Row],[EnuValue]]</f>
        <v xml:space="preserve">  If wert = ".MODEL_VIEW." Then Res = repGP_MODEL_VIEW</v>
      </c>
    </row>
    <row r="640" spans="2:9" x14ac:dyDescent="0.25">
      <c r="B640" s="44">
        <v>4</v>
      </c>
      <c r="C640" s="45" t="s">
        <v>1577</v>
      </c>
      <c r="D640" s="44" t="s">
        <v>4201</v>
      </c>
      <c r="E640" s="44" t="str">
        <f>VLOOKUP(Tabelle7[[#This Row],[EnumName]],Enum[[IFC-Name]:[Präfix]],5,FALSE)&amp;Tabelle7[[#This Row],[EnuRohValue]]</f>
        <v>repGP_PLAN_VIEW</v>
      </c>
      <c r="F640" s="44">
        <f>COUNTIF(Tabelle7[EnuValue],Tabelle7[[#This Row],[EnuValue]])</f>
        <v>1</v>
      </c>
      <c r="G640" s="44" t="str">
        <f xml:space="preserve"> "  " &amp; Tabelle7[[#This Row],[EnuValue]] &amp; " = " &amp; Tabelle7[[#This Row],[Wert]]</f>
        <v xml:space="preserve">  repGP_PLAN_VIEW = 4</v>
      </c>
      <c r="H640" s="44" t="str">
        <f>"  If Wert = " &amp; Tabelle7[[#This Row],[EnuValue]] &amp; " then Res = ""." &amp; Tabelle7[[#This Row],[EnuRohValue]] &amp; "."""</f>
        <v xml:space="preserve">  If Wert = repGP_PLAN_VIEW then Res = ".PLAN_VIEW."</v>
      </c>
      <c r="I640" s="44" t="str">
        <f>"  If wert = ""." &amp; Tabelle7[[#This Row],[EnuRohValue]] &amp; "."" Then Res = " &amp; Tabelle7[[#This Row],[EnuValue]]</f>
        <v xml:space="preserve">  If wert = ".PLAN_VIEW." Then Res = repGP_PLAN_VIEW</v>
      </c>
    </row>
    <row r="641" spans="2:9" x14ac:dyDescent="0.25">
      <c r="B641" s="44">
        <v>5</v>
      </c>
      <c r="C641" s="45" t="s">
        <v>1577</v>
      </c>
      <c r="D641" s="44" t="s">
        <v>4202</v>
      </c>
      <c r="E641" s="44" t="str">
        <f>VLOOKUP(Tabelle7[[#This Row],[EnumName]],Enum[[IFC-Name]:[Präfix]],5,FALSE)&amp;Tabelle7[[#This Row],[EnuRohValue]]</f>
        <v>repGP_REFLECTED_PLAN_VIEW</v>
      </c>
      <c r="F641" s="44">
        <f>COUNTIF(Tabelle7[EnuValue],Tabelle7[[#This Row],[EnuValue]])</f>
        <v>1</v>
      </c>
      <c r="G641" s="44" t="str">
        <f xml:space="preserve"> "  " &amp; Tabelle7[[#This Row],[EnuValue]] &amp; " = " &amp; Tabelle7[[#This Row],[Wert]]</f>
        <v xml:space="preserve">  repGP_REFLECTED_PLAN_VIEW = 5</v>
      </c>
      <c r="H641" s="44" t="str">
        <f>"  If Wert = " &amp; Tabelle7[[#This Row],[EnuValue]] &amp; " then Res = ""." &amp; Tabelle7[[#This Row],[EnuRohValue]] &amp; "."""</f>
        <v xml:space="preserve">  If Wert = repGP_REFLECTED_PLAN_VIEW then Res = ".REFLECTED_PLAN_VIEW."</v>
      </c>
      <c r="I641" s="44" t="str">
        <f>"  If wert = ""." &amp; Tabelle7[[#This Row],[EnuRohValue]] &amp; "."" Then Res = " &amp; Tabelle7[[#This Row],[EnuValue]]</f>
        <v xml:space="preserve">  If wert = ".REFLECTED_PLAN_VIEW." Then Res = repGP_REFLECTED_PLAN_VIEW</v>
      </c>
    </row>
    <row r="642" spans="2:9" x14ac:dyDescent="0.25">
      <c r="B642" s="44">
        <v>6</v>
      </c>
      <c r="C642" s="45" t="s">
        <v>1577</v>
      </c>
      <c r="D642" s="44" t="s">
        <v>4203</v>
      </c>
      <c r="E642" s="44" t="str">
        <f>VLOOKUP(Tabelle7[[#This Row],[EnumName]],Enum[[IFC-Name]:[Präfix]],5,FALSE)&amp;Tabelle7[[#This Row],[EnuRohValue]]</f>
        <v>repGP_SECTION_VIEW</v>
      </c>
      <c r="F642" s="44">
        <f>COUNTIF(Tabelle7[EnuValue],Tabelle7[[#This Row],[EnuValue]])</f>
        <v>1</v>
      </c>
      <c r="G642" s="44" t="str">
        <f xml:space="preserve"> "  " &amp; Tabelle7[[#This Row],[EnuValue]] &amp; " = " &amp; Tabelle7[[#This Row],[Wert]]</f>
        <v xml:space="preserve">  repGP_SECTION_VIEW = 6</v>
      </c>
      <c r="H642" s="44" t="str">
        <f>"  If Wert = " &amp; Tabelle7[[#This Row],[EnuValue]] &amp; " then Res = ""." &amp; Tabelle7[[#This Row],[EnuRohValue]] &amp; "."""</f>
        <v xml:space="preserve">  If Wert = repGP_SECTION_VIEW then Res = ".SECTION_VIEW."</v>
      </c>
      <c r="I642" s="44" t="str">
        <f>"  If wert = ""." &amp; Tabelle7[[#This Row],[EnuRohValue]] &amp; "."" Then Res = " &amp; Tabelle7[[#This Row],[EnuValue]]</f>
        <v xml:space="preserve">  If wert = ".SECTION_VIEW." Then Res = repGP_SECTION_VIEW</v>
      </c>
    </row>
    <row r="643" spans="2:9" x14ac:dyDescent="0.25">
      <c r="B643" s="44">
        <v>7</v>
      </c>
      <c r="C643" s="45" t="s">
        <v>1577</v>
      </c>
      <c r="D643" s="44" t="s">
        <v>4204</v>
      </c>
      <c r="E643" s="44" t="str">
        <f>VLOOKUP(Tabelle7[[#This Row],[EnumName]],Enum[[IFC-Name]:[Präfix]],5,FALSE)&amp;Tabelle7[[#This Row],[EnuRohValue]]</f>
        <v>repGP_ELEVATION_VIEW</v>
      </c>
      <c r="F643" s="44">
        <f>COUNTIF(Tabelle7[EnuValue],Tabelle7[[#This Row],[EnuValue]])</f>
        <v>1</v>
      </c>
      <c r="G643" s="44" t="str">
        <f xml:space="preserve"> "  " &amp; Tabelle7[[#This Row],[EnuValue]] &amp; " = " &amp; Tabelle7[[#This Row],[Wert]]</f>
        <v xml:space="preserve">  repGP_ELEVATION_VIEW = 7</v>
      </c>
      <c r="H643" s="44" t="str">
        <f>"  If Wert = " &amp; Tabelle7[[#This Row],[EnuValue]] &amp; " then Res = ""." &amp; Tabelle7[[#This Row],[EnuRohValue]] &amp; "."""</f>
        <v xml:space="preserve">  If Wert = repGP_ELEVATION_VIEW then Res = ".ELEVATION_VIEW."</v>
      </c>
      <c r="I643" s="44" t="str">
        <f>"  If wert = ""." &amp; Tabelle7[[#This Row],[EnuRohValue]] &amp; "."" Then Res = " &amp; Tabelle7[[#This Row],[EnuValue]]</f>
        <v xml:space="preserve">  If wert = ".ELEVATION_VIEW." Then Res = repGP_ELEVATION_VIEW</v>
      </c>
    </row>
    <row r="644" spans="2:9" x14ac:dyDescent="0.25">
      <c r="B644" s="44">
        <v>8</v>
      </c>
      <c r="C644" s="45" t="s">
        <v>1577</v>
      </c>
      <c r="D644" s="44" t="s">
        <v>3682</v>
      </c>
      <c r="E644" s="44" t="str">
        <f>VLOOKUP(Tabelle7[[#This Row],[EnumName]],Enum[[IFC-Name]:[Präfix]],5,FALSE)&amp;Tabelle7[[#This Row],[EnuRohValue]]</f>
        <v>repGP_USERDEFINED</v>
      </c>
      <c r="F644" s="44">
        <f>COUNTIF(Tabelle7[EnuValue],Tabelle7[[#This Row],[EnuValue]])</f>
        <v>1</v>
      </c>
      <c r="G644" s="44" t="str">
        <f xml:space="preserve"> "  " &amp; Tabelle7[[#This Row],[EnuValue]] &amp; " = " &amp; Tabelle7[[#This Row],[Wert]]</f>
        <v xml:space="preserve">  repGP_USERDEFINED = 8</v>
      </c>
      <c r="H644" s="44" t="str">
        <f>"  If Wert = " &amp; Tabelle7[[#This Row],[EnuValue]] &amp; " then Res = ""." &amp; Tabelle7[[#This Row],[EnuRohValue]] &amp; "."""</f>
        <v xml:space="preserve">  If Wert = repGP_USERDEFINED then Res = ".USERDEFINED."</v>
      </c>
      <c r="I644" s="44" t="str">
        <f>"  If wert = ""." &amp; Tabelle7[[#This Row],[EnuRohValue]] &amp; "."" Then Res = " &amp; Tabelle7[[#This Row],[EnuValue]]</f>
        <v xml:space="preserve">  If wert = ".USERDEFINED." Then Res = repGP_USERDEFINED</v>
      </c>
    </row>
    <row r="645" spans="2:9" x14ac:dyDescent="0.25">
      <c r="B645" s="44">
        <v>9</v>
      </c>
      <c r="C645" s="45" t="s">
        <v>1577</v>
      </c>
      <c r="D645" s="44" t="s">
        <v>3683</v>
      </c>
      <c r="E645" s="44" t="str">
        <f>VLOOKUP(Tabelle7[[#This Row],[EnumName]],Enum[[IFC-Name]:[Präfix]],5,FALSE)&amp;Tabelle7[[#This Row],[EnuRohValue]]</f>
        <v>repGP_NOTDEFINED</v>
      </c>
      <c r="F645" s="44">
        <f>COUNTIF(Tabelle7[EnuValue],Tabelle7[[#This Row],[EnuValue]])</f>
        <v>1</v>
      </c>
      <c r="G645" s="44" t="str">
        <f xml:space="preserve"> "  " &amp; Tabelle7[[#This Row],[EnuValue]] &amp; " = " &amp; Tabelle7[[#This Row],[Wert]]</f>
        <v xml:space="preserve">  repGP_NOTDEFINED = 9</v>
      </c>
      <c r="H645" s="44" t="str">
        <f>"  If Wert = " &amp; Tabelle7[[#This Row],[EnuValue]] &amp; " then Res = ""." &amp; Tabelle7[[#This Row],[EnuRohValue]] &amp; "."""</f>
        <v xml:space="preserve">  If Wert = repGP_NOTDEFINED then Res = ".NOTDEFINED."</v>
      </c>
      <c r="I645" s="44" t="str">
        <f>"  If wert = ""." &amp; Tabelle7[[#This Row],[EnuRohValue]] &amp; "."" Then Res = " &amp; Tabelle7[[#This Row],[EnuValue]]</f>
        <v xml:space="preserve">  If wert = ".NOTDEFINED." Then Res = repGP_NOTDEFINED</v>
      </c>
    </row>
    <row r="646" spans="2:9" x14ac:dyDescent="0.25">
      <c r="B646" s="44">
        <v>1</v>
      </c>
      <c r="C646" s="45" t="s">
        <v>1578</v>
      </c>
      <c r="D646" s="44" t="s">
        <v>4205</v>
      </c>
      <c r="E646" s="44" t="str">
        <f>VLOOKUP(Tabelle7[[#This Row],[EnumName]],Enum[[IFC-Name]:[Präfix]],5,FALSE)&amp;Tabelle7[[#This Row],[EnuRohValue]]</f>
        <v>repGOL_GLOBAL_COORDS</v>
      </c>
      <c r="F646" s="44">
        <f>COUNTIF(Tabelle7[EnuValue],Tabelle7[[#This Row],[EnuValue]])</f>
        <v>1</v>
      </c>
      <c r="G646" s="44" t="str">
        <f xml:space="preserve"> "  " &amp; Tabelle7[[#This Row],[EnuValue]] &amp; " = " &amp; Tabelle7[[#This Row],[Wert]]</f>
        <v xml:space="preserve">  repGOL_GLOBAL_COORDS = 1</v>
      </c>
      <c r="H646" s="44" t="str">
        <f>"  If Wert = " &amp; Tabelle7[[#This Row],[EnuValue]] &amp; " then Res = ""." &amp; Tabelle7[[#This Row],[EnuRohValue]] &amp; "."""</f>
        <v xml:space="preserve">  If Wert = repGOL_GLOBAL_COORDS then Res = ".GLOBAL_COORDS."</v>
      </c>
      <c r="I646" s="44" t="str">
        <f>"  If wert = ""." &amp; Tabelle7[[#This Row],[EnuRohValue]] &amp; "."" Then Res = " &amp; Tabelle7[[#This Row],[EnuValue]]</f>
        <v xml:space="preserve">  If wert = ".GLOBAL_COORDS." Then Res = repGOL_GLOBAL_COORDS</v>
      </c>
    </row>
    <row r="647" spans="2:9" x14ac:dyDescent="0.25">
      <c r="B647" s="44">
        <v>2</v>
      </c>
      <c r="C647" s="45" t="s">
        <v>1578</v>
      </c>
      <c r="D647" s="44" t="s">
        <v>4206</v>
      </c>
      <c r="E647" s="44" t="str">
        <f>VLOOKUP(Tabelle7[[#This Row],[EnumName]],Enum[[IFC-Name]:[Präfix]],5,FALSE)&amp;Tabelle7[[#This Row],[EnuRohValue]]</f>
        <v>repGOL_LOCAL_COORDS</v>
      </c>
      <c r="F647" s="44">
        <f>COUNTIF(Tabelle7[EnuValue],Tabelle7[[#This Row],[EnuValue]])</f>
        <v>1</v>
      </c>
      <c r="G647" s="44" t="str">
        <f xml:space="preserve"> "  " &amp; Tabelle7[[#This Row],[EnuValue]] &amp; " = " &amp; Tabelle7[[#This Row],[Wert]]</f>
        <v xml:space="preserve">  repGOL_LOCAL_COORDS = 2</v>
      </c>
      <c r="H647" s="44" t="str">
        <f>"  If Wert = " &amp; Tabelle7[[#This Row],[EnuValue]] &amp; " then Res = ""." &amp; Tabelle7[[#This Row],[EnuRohValue]] &amp; "."""</f>
        <v xml:space="preserve">  If Wert = repGOL_LOCAL_COORDS then Res = ".LOCAL_COORDS."</v>
      </c>
      <c r="I647" s="44" t="str">
        <f>"  If wert = ""." &amp; Tabelle7[[#This Row],[EnuRohValue]] &amp; "."" Then Res = " &amp; Tabelle7[[#This Row],[EnuValue]]</f>
        <v xml:space="preserve">  If wert = ".LOCAL_COORDS." Then Res = repGOL_LOCAL_COORDS</v>
      </c>
    </row>
    <row r="648" spans="2:9" x14ac:dyDescent="0.25">
      <c r="B648" s="44">
        <v>1</v>
      </c>
      <c r="C648" s="45" t="s">
        <v>1579</v>
      </c>
      <c r="D648" s="44" t="s">
        <v>4207</v>
      </c>
      <c r="E648" s="44" t="str">
        <f>VLOOKUP(Tabelle7[[#This Row],[EnumName]],Enum[[IFC-Name]:[Präfix]],5,FALSE)&amp;Tabelle7[[#This Row],[EnuRohValue]]</f>
        <v>hvacHET_PLATE</v>
      </c>
      <c r="F648" s="44">
        <f>COUNTIF(Tabelle7[EnuValue],Tabelle7[[#This Row],[EnuValue]])</f>
        <v>1</v>
      </c>
      <c r="G648" s="44" t="str">
        <f xml:space="preserve"> "  " &amp; Tabelle7[[#This Row],[EnuValue]] &amp; " = " &amp; Tabelle7[[#This Row],[Wert]]</f>
        <v xml:space="preserve">  hvacHET_PLATE = 1</v>
      </c>
      <c r="H648" s="44" t="str">
        <f>"  If Wert = " &amp; Tabelle7[[#This Row],[EnuValue]] &amp; " then Res = ""." &amp; Tabelle7[[#This Row],[EnuRohValue]] &amp; "."""</f>
        <v xml:space="preserve">  If Wert = hvacHET_PLATE then Res = ".PLATE."</v>
      </c>
      <c r="I648" s="44" t="str">
        <f>"  If wert = ""." &amp; Tabelle7[[#This Row],[EnuRohValue]] &amp; "."" Then Res = " &amp; Tabelle7[[#This Row],[EnuValue]]</f>
        <v xml:space="preserve">  If wert = ".PLATE." Then Res = hvacHET_PLATE</v>
      </c>
    </row>
    <row r="649" spans="2:9" x14ac:dyDescent="0.25">
      <c r="B649" s="44">
        <v>2</v>
      </c>
      <c r="C649" s="45" t="s">
        <v>1579</v>
      </c>
      <c r="D649" s="44" t="s">
        <v>4208</v>
      </c>
      <c r="E649" s="44" t="str">
        <f>VLOOKUP(Tabelle7[[#This Row],[EnumName]],Enum[[IFC-Name]:[Präfix]],5,FALSE)&amp;Tabelle7[[#This Row],[EnuRohValue]]</f>
        <v>hvacHET_SHELLANDTUBE</v>
      </c>
      <c r="F649" s="44">
        <f>COUNTIF(Tabelle7[EnuValue],Tabelle7[[#This Row],[EnuValue]])</f>
        <v>1</v>
      </c>
      <c r="G649" s="44" t="str">
        <f xml:space="preserve"> "  " &amp; Tabelle7[[#This Row],[EnuValue]] &amp; " = " &amp; Tabelle7[[#This Row],[Wert]]</f>
        <v xml:space="preserve">  hvacHET_SHELLANDTUBE = 2</v>
      </c>
      <c r="H649" s="44" t="str">
        <f>"  If Wert = " &amp; Tabelle7[[#This Row],[EnuValue]] &amp; " then Res = ""." &amp; Tabelle7[[#This Row],[EnuRohValue]] &amp; "."""</f>
        <v xml:space="preserve">  If Wert = hvacHET_SHELLANDTUBE then Res = ".SHELLANDTUBE."</v>
      </c>
      <c r="I649" s="44" t="str">
        <f>"  If wert = ""." &amp; Tabelle7[[#This Row],[EnuRohValue]] &amp; "."" Then Res = " &amp; Tabelle7[[#This Row],[EnuValue]]</f>
        <v xml:space="preserve">  If wert = ".SHELLANDTUBE." Then Res = hvacHET_SHELLANDTUBE</v>
      </c>
    </row>
    <row r="650" spans="2:9" x14ac:dyDescent="0.25">
      <c r="B650" s="44">
        <v>3</v>
      </c>
      <c r="C650" s="45" t="s">
        <v>1579</v>
      </c>
      <c r="D650" s="44" t="s">
        <v>3682</v>
      </c>
      <c r="E650" s="44" t="str">
        <f>VLOOKUP(Tabelle7[[#This Row],[EnumName]],Enum[[IFC-Name]:[Präfix]],5,FALSE)&amp;Tabelle7[[#This Row],[EnuRohValue]]</f>
        <v>hvacHET_USERDEFINED</v>
      </c>
      <c r="F650" s="44">
        <f>COUNTIF(Tabelle7[EnuValue],Tabelle7[[#This Row],[EnuValue]])</f>
        <v>1</v>
      </c>
      <c r="G650" s="44" t="str">
        <f xml:space="preserve"> "  " &amp; Tabelle7[[#This Row],[EnuValue]] &amp; " = " &amp; Tabelle7[[#This Row],[Wert]]</f>
        <v xml:space="preserve">  hvacHET_USERDEFINED = 3</v>
      </c>
      <c r="H650" s="44" t="str">
        <f>"  If Wert = " &amp; Tabelle7[[#This Row],[EnuValue]] &amp; " then Res = ""." &amp; Tabelle7[[#This Row],[EnuRohValue]] &amp; "."""</f>
        <v xml:space="preserve">  If Wert = hvacHET_USERDEFINED then Res = ".USERDEFINED."</v>
      </c>
      <c r="I650" s="44" t="str">
        <f>"  If wert = ""." &amp; Tabelle7[[#This Row],[EnuRohValue]] &amp; "."" Then Res = " &amp; Tabelle7[[#This Row],[EnuValue]]</f>
        <v xml:space="preserve">  If wert = ".USERDEFINED." Then Res = hvacHET_USERDEFINED</v>
      </c>
    </row>
    <row r="651" spans="2:9" x14ac:dyDescent="0.25">
      <c r="B651" s="44">
        <v>4</v>
      </c>
      <c r="C651" s="45" t="s">
        <v>1579</v>
      </c>
      <c r="D651" s="44" t="s">
        <v>3683</v>
      </c>
      <c r="E651" s="44" t="str">
        <f>VLOOKUP(Tabelle7[[#This Row],[EnumName]],Enum[[IFC-Name]:[Präfix]],5,FALSE)&amp;Tabelle7[[#This Row],[EnuRohValue]]</f>
        <v>hvacHET_NOTDEFINED</v>
      </c>
      <c r="F651" s="44">
        <f>COUNTIF(Tabelle7[EnuValue],Tabelle7[[#This Row],[EnuValue]])</f>
        <v>1</v>
      </c>
      <c r="G651" s="44" t="str">
        <f xml:space="preserve"> "  " &amp; Tabelle7[[#This Row],[EnuValue]] &amp; " = " &amp; Tabelle7[[#This Row],[Wert]]</f>
        <v xml:space="preserve">  hvacHET_NOTDEFINED = 4</v>
      </c>
      <c r="H651" s="44" t="str">
        <f>"  If Wert = " &amp; Tabelle7[[#This Row],[EnuValue]] &amp; " then Res = ""." &amp; Tabelle7[[#This Row],[EnuRohValue]] &amp; "."""</f>
        <v xml:space="preserve">  If Wert = hvacHET_NOTDEFINED then Res = ".NOTDEFINED."</v>
      </c>
      <c r="I651" s="44" t="str">
        <f>"  If wert = ""." &amp; Tabelle7[[#This Row],[EnuRohValue]] &amp; "."" Then Res = " &amp; Tabelle7[[#This Row],[EnuValue]]</f>
        <v xml:space="preserve">  If wert = ".NOTDEFINED." Then Res = hvacHET_NOTDEFINED</v>
      </c>
    </row>
    <row r="652" spans="2:9" x14ac:dyDescent="0.25">
      <c r="B652" s="44">
        <v>1</v>
      </c>
      <c r="C652" s="45" t="s">
        <v>1580</v>
      </c>
      <c r="D652" s="44" t="s">
        <v>4209</v>
      </c>
      <c r="E652" s="44" t="str">
        <f>VLOOKUP(Tabelle7[[#This Row],[EnumName]],Enum[[IFC-Name]:[Präfix]],5,FALSE)&amp;Tabelle7[[#This Row],[EnuRohValue]]</f>
        <v>hvacHT_STEAMINJECTION</v>
      </c>
      <c r="F652" s="44">
        <f>COUNTIF(Tabelle7[EnuValue],Tabelle7[[#This Row],[EnuValue]])</f>
        <v>1</v>
      </c>
      <c r="G652" s="44" t="str">
        <f xml:space="preserve"> "  " &amp; Tabelle7[[#This Row],[EnuValue]] &amp; " = " &amp; Tabelle7[[#This Row],[Wert]]</f>
        <v xml:space="preserve">  hvacHT_STEAMINJECTION = 1</v>
      </c>
      <c r="H652" s="44" t="str">
        <f>"  If Wert = " &amp; Tabelle7[[#This Row],[EnuValue]] &amp; " then Res = ""." &amp; Tabelle7[[#This Row],[EnuRohValue]] &amp; "."""</f>
        <v xml:space="preserve">  If Wert = hvacHT_STEAMINJECTION then Res = ".STEAMINJECTION."</v>
      </c>
      <c r="I652" s="44" t="str">
        <f>"  If wert = ""." &amp; Tabelle7[[#This Row],[EnuRohValue]] &amp; "."" Then Res = " &amp; Tabelle7[[#This Row],[EnuValue]]</f>
        <v xml:space="preserve">  If wert = ".STEAMINJECTION." Then Res = hvacHT_STEAMINJECTION</v>
      </c>
    </row>
    <row r="653" spans="2:9" x14ac:dyDescent="0.25">
      <c r="B653" s="44">
        <v>2</v>
      </c>
      <c r="C653" s="45" t="s">
        <v>1580</v>
      </c>
      <c r="D653" s="44" t="s">
        <v>4210</v>
      </c>
      <c r="E653" s="44" t="str">
        <f>VLOOKUP(Tabelle7[[#This Row],[EnumName]],Enum[[IFC-Name]:[Präfix]],5,FALSE)&amp;Tabelle7[[#This Row],[EnuRohValue]]</f>
        <v>hvacHT_ADIABATICAIRWASHER</v>
      </c>
      <c r="F653" s="44">
        <f>COUNTIF(Tabelle7[EnuValue],Tabelle7[[#This Row],[EnuValue]])</f>
        <v>1</v>
      </c>
      <c r="G653" s="44" t="str">
        <f xml:space="preserve"> "  " &amp; Tabelle7[[#This Row],[EnuValue]] &amp; " = " &amp; Tabelle7[[#This Row],[Wert]]</f>
        <v xml:space="preserve">  hvacHT_ADIABATICAIRWASHER = 2</v>
      </c>
      <c r="H653" s="44" t="str">
        <f>"  If Wert = " &amp; Tabelle7[[#This Row],[EnuValue]] &amp; " then Res = ""." &amp; Tabelle7[[#This Row],[EnuRohValue]] &amp; "."""</f>
        <v xml:space="preserve">  If Wert = hvacHT_ADIABATICAIRWASHER then Res = ".ADIABATICAIRWASHER."</v>
      </c>
      <c r="I653" s="44" t="str">
        <f>"  If wert = ""." &amp; Tabelle7[[#This Row],[EnuRohValue]] &amp; "."" Then Res = " &amp; Tabelle7[[#This Row],[EnuValue]]</f>
        <v xml:space="preserve">  If wert = ".ADIABATICAIRWASHER." Then Res = hvacHT_ADIABATICAIRWASHER</v>
      </c>
    </row>
    <row r="654" spans="2:9" x14ac:dyDescent="0.25">
      <c r="B654" s="44">
        <v>3</v>
      </c>
      <c r="C654" s="45" t="s">
        <v>1580</v>
      </c>
      <c r="D654" s="44" t="s">
        <v>4211</v>
      </c>
      <c r="E654" s="44" t="str">
        <f>VLOOKUP(Tabelle7[[#This Row],[EnumName]],Enum[[IFC-Name]:[Präfix]],5,FALSE)&amp;Tabelle7[[#This Row],[EnuRohValue]]</f>
        <v>hvacHT_ADIABATICPAN</v>
      </c>
      <c r="F654" s="44">
        <f>COUNTIF(Tabelle7[EnuValue],Tabelle7[[#This Row],[EnuValue]])</f>
        <v>1</v>
      </c>
      <c r="G654" s="44" t="str">
        <f xml:space="preserve"> "  " &amp; Tabelle7[[#This Row],[EnuValue]] &amp; " = " &amp; Tabelle7[[#This Row],[Wert]]</f>
        <v xml:space="preserve">  hvacHT_ADIABATICPAN = 3</v>
      </c>
      <c r="H654" s="44" t="str">
        <f>"  If Wert = " &amp; Tabelle7[[#This Row],[EnuValue]] &amp; " then Res = ""." &amp; Tabelle7[[#This Row],[EnuRohValue]] &amp; "."""</f>
        <v xml:space="preserve">  If Wert = hvacHT_ADIABATICPAN then Res = ".ADIABATICPAN."</v>
      </c>
      <c r="I654" s="44" t="str">
        <f>"  If wert = ""." &amp; Tabelle7[[#This Row],[EnuRohValue]] &amp; "."" Then Res = " &amp; Tabelle7[[#This Row],[EnuValue]]</f>
        <v xml:space="preserve">  If wert = ".ADIABATICPAN." Then Res = hvacHT_ADIABATICPAN</v>
      </c>
    </row>
    <row r="655" spans="2:9" x14ac:dyDescent="0.25">
      <c r="B655" s="44">
        <v>4</v>
      </c>
      <c r="C655" s="45" t="s">
        <v>1580</v>
      </c>
      <c r="D655" s="44" t="s">
        <v>4212</v>
      </c>
      <c r="E655" s="44" t="str">
        <f>VLOOKUP(Tabelle7[[#This Row],[EnumName]],Enum[[IFC-Name]:[Präfix]],5,FALSE)&amp;Tabelle7[[#This Row],[EnuRohValue]]</f>
        <v>hvacHT_ADIABATICWETTEDELEMENT</v>
      </c>
      <c r="F655" s="44">
        <f>COUNTIF(Tabelle7[EnuValue],Tabelle7[[#This Row],[EnuValue]])</f>
        <v>1</v>
      </c>
      <c r="G655" s="44" t="str">
        <f xml:space="preserve"> "  " &amp; Tabelle7[[#This Row],[EnuValue]] &amp; " = " &amp; Tabelle7[[#This Row],[Wert]]</f>
        <v xml:space="preserve">  hvacHT_ADIABATICWETTEDELEMENT = 4</v>
      </c>
      <c r="H655" s="44" t="str">
        <f>"  If Wert = " &amp; Tabelle7[[#This Row],[EnuValue]] &amp; " then Res = ""." &amp; Tabelle7[[#This Row],[EnuRohValue]] &amp; "."""</f>
        <v xml:space="preserve">  If Wert = hvacHT_ADIABATICWETTEDELEMENT then Res = ".ADIABATICWETTEDELEMENT."</v>
      </c>
      <c r="I655" s="44" t="str">
        <f>"  If wert = ""." &amp; Tabelle7[[#This Row],[EnuRohValue]] &amp; "."" Then Res = " &amp; Tabelle7[[#This Row],[EnuValue]]</f>
        <v xml:space="preserve">  If wert = ".ADIABATICWETTEDELEMENT." Then Res = hvacHT_ADIABATICWETTEDELEMENT</v>
      </c>
    </row>
    <row r="656" spans="2:9" x14ac:dyDescent="0.25">
      <c r="B656" s="44">
        <v>5</v>
      </c>
      <c r="C656" s="45" t="s">
        <v>1580</v>
      </c>
      <c r="D656" s="44" t="s">
        <v>4213</v>
      </c>
      <c r="E656" s="44" t="str">
        <f>VLOOKUP(Tabelle7[[#This Row],[EnumName]],Enum[[IFC-Name]:[Präfix]],5,FALSE)&amp;Tabelle7[[#This Row],[EnuRohValue]]</f>
        <v>hvacHT_ADIABATICATOMIZING</v>
      </c>
      <c r="F656" s="44">
        <f>COUNTIF(Tabelle7[EnuValue],Tabelle7[[#This Row],[EnuValue]])</f>
        <v>1</v>
      </c>
      <c r="G656" s="44" t="str">
        <f xml:space="preserve"> "  " &amp; Tabelle7[[#This Row],[EnuValue]] &amp; " = " &amp; Tabelle7[[#This Row],[Wert]]</f>
        <v xml:space="preserve">  hvacHT_ADIABATICATOMIZING = 5</v>
      </c>
      <c r="H656" s="44" t="str">
        <f>"  If Wert = " &amp; Tabelle7[[#This Row],[EnuValue]] &amp; " then Res = ""." &amp; Tabelle7[[#This Row],[EnuRohValue]] &amp; "."""</f>
        <v xml:space="preserve">  If Wert = hvacHT_ADIABATICATOMIZING then Res = ".ADIABATICATOMIZING."</v>
      </c>
      <c r="I656" s="44" t="str">
        <f>"  If wert = ""." &amp; Tabelle7[[#This Row],[EnuRohValue]] &amp; "."" Then Res = " &amp; Tabelle7[[#This Row],[EnuValue]]</f>
        <v xml:space="preserve">  If wert = ".ADIABATICATOMIZING." Then Res = hvacHT_ADIABATICATOMIZING</v>
      </c>
    </row>
    <row r="657" spans="2:9" x14ac:dyDescent="0.25">
      <c r="B657" s="44">
        <v>6</v>
      </c>
      <c r="C657" s="45" t="s">
        <v>1580</v>
      </c>
      <c r="D657" s="44" t="s">
        <v>4214</v>
      </c>
      <c r="E657" s="44" t="str">
        <f>VLOOKUP(Tabelle7[[#This Row],[EnumName]],Enum[[IFC-Name]:[Präfix]],5,FALSE)&amp;Tabelle7[[#This Row],[EnuRohValue]]</f>
        <v>hvacHT_ADIABATICULTRASONIC</v>
      </c>
      <c r="F657" s="44">
        <f>COUNTIF(Tabelle7[EnuValue],Tabelle7[[#This Row],[EnuValue]])</f>
        <v>1</v>
      </c>
      <c r="G657" s="44" t="str">
        <f xml:space="preserve"> "  " &amp; Tabelle7[[#This Row],[EnuValue]] &amp; " = " &amp; Tabelle7[[#This Row],[Wert]]</f>
        <v xml:space="preserve">  hvacHT_ADIABATICULTRASONIC = 6</v>
      </c>
      <c r="H657" s="44" t="str">
        <f>"  If Wert = " &amp; Tabelle7[[#This Row],[EnuValue]] &amp; " then Res = ""." &amp; Tabelle7[[#This Row],[EnuRohValue]] &amp; "."""</f>
        <v xml:space="preserve">  If Wert = hvacHT_ADIABATICULTRASONIC then Res = ".ADIABATICULTRASONIC."</v>
      </c>
      <c r="I657" s="44" t="str">
        <f>"  If wert = ""." &amp; Tabelle7[[#This Row],[EnuRohValue]] &amp; "."" Then Res = " &amp; Tabelle7[[#This Row],[EnuValue]]</f>
        <v xml:space="preserve">  If wert = ".ADIABATICULTRASONIC." Then Res = hvacHT_ADIABATICULTRASONIC</v>
      </c>
    </row>
    <row r="658" spans="2:9" x14ac:dyDescent="0.25">
      <c r="B658" s="44">
        <v>7</v>
      </c>
      <c r="C658" s="45" t="s">
        <v>1580</v>
      </c>
      <c r="D658" s="44" t="s">
        <v>4215</v>
      </c>
      <c r="E658" s="44" t="str">
        <f>VLOOKUP(Tabelle7[[#This Row],[EnumName]],Enum[[IFC-Name]:[Präfix]],5,FALSE)&amp;Tabelle7[[#This Row],[EnuRohValue]]</f>
        <v>hvacHT_ADIABATICRIGIDMEDIA</v>
      </c>
      <c r="F658" s="44">
        <f>COUNTIF(Tabelle7[EnuValue],Tabelle7[[#This Row],[EnuValue]])</f>
        <v>1</v>
      </c>
      <c r="G658" s="44" t="str">
        <f xml:space="preserve"> "  " &amp; Tabelle7[[#This Row],[EnuValue]] &amp; " = " &amp; Tabelle7[[#This Row],[Wert]]</f>
        <v xml:space="preserve">  hvacHT_ADIABATICRIGIDMEDIA = 7</v>
      </c>
      <c r="H658" s="44" t="str">
        <f>"  If Wert = " &amp; Tabelle7[[#This Row],[EnuValue]] &amp; " then Res = ""." &amp; Tabelle7[[#This Row],[EnuRohValue]] &amp; "."""</f>
        <v xml:space="preserve">  If Wert = hvacHT_ADIABATICRIGIDMEDIA then Res = ".ADIABATICRIGIDMEDIA."</v>
      </c>
      <c r="I658" s="44" t="str">
        <f>"  If wert = ""." &amp; Tabelle7[[#This Row],[EnuRohValue]] &amp; "."" Then Res = " &amp; Tabelle7[[#This Row],[EnuValue]]</f>
        <v xml:space="preserve">  If wert = ".ADIABATICRIGIDMEDIA." Then Res = hvacHT_ADIABATICRIGIDMEDIA</v>
      </c>
    </row>
    <row r="659" spans="2:9" x14ac:dyDescent="0.25">
      <c r="B659" s="44">
        <v>8</v>
      </c>
      <c r="C659" s="45" t="s">
        <v>1580</v>
      </c>
      <c r="D659" s="44" t="s">
        <v>4216</v>
      </c>
      <c r="E659" s="44" t="str">
        <f>VLOOKUP(Tabelle7[[#This Row],[EnumName]],Enum[[IFC-Name]:[Präfix]],5,FALSE)&amp;Tabelle7[[#This Row],[EnuRohValue]]</f>
        <v>hvacHT_ADIABATICCOMPRESSEDAIRNOZZLE</v>
      </c>
      <c r="F659" s="44">
        <f>COUNTIF(Tabelle7[EnuValue],Tabelle7[[#This Row],[EnuValue]])</f>
        <v>1</v>
      </c>
      <c r="G659" s="44" t="str">
        <f xml:space="preserve"> "  " &amp; Tabelle7[[#This Row],[EnuValue]] &amp; " = " &amp; Tabelle7[[#This Row],[Wert]]</f>
        <v xml:space="preserve">  hvacHT_ADIABATICCOMPRESSEDAIRNOZZLE = 8</v>
      </c>
      <c r="H659" s="44" t="str">
        <f>"  If Wert = " &amp; Tabelle7[[#This Row],[EnuValue]] &amp; " then Res = ""." &amp; Tabelle7[[#This Row],[EnuRohValue]] &amp; "."""</f>
        <v xml:space="preserve">  If Wert = hvacHT_ADIABATICCOMPRESSEDAIRNOZZLE then Res = ".ADIABATICCOMPRESSEDAIRNOZZLE."</v>
      </c>
      <c r="I659" s="44" t="str">
        <f>"  If wert = ""." &amp; Tabelle7[[#This Row],[EnuRohValue]] &amp; "."" Then Res = " &amp; Tabelle7[[#This Row],[EnuValue]]</f>
        <v xml:space="preserve">  If wert = ".ADIABATICCOMPRESSEDAIRNOZZLE." Then Res = hvacHT_ADIABATICCOMPRESSEDAIRNOZZLE</v>
      </c>
    </row>
    <row r="660" spans="2:9" x14ac:dyDescent="0.25">
      <c r="B660" s="44">
        <v>9</v>
      </c>
      <c r="C660" s="45" t="s">
        <v>1580</v>
      </c>
      <c r="D660" s="44" t="s">
        <v>4217</v>
      </c>
      <c r="E660" s="44" t="str">
        <f>VLOOKUP(Tabelle7[[#This Row],[EnumName]],Enum[[IFC-Name]:[Präfix]],5,FALSE)&amp;Tabelle7[[#This Row],[EnuRohValue]]</f>
        <v>hvacHT_ASSISTEDELECTRIC</v>
      </c>
      <c r="F660" s="44">
        <f>COUNTIF(Tabelle7[EnuValue],Tabelle7[[#This Row],[EnuValue]])</f>
        <v>1</v>
      </c>
      <c r="G660" s="44" t="str">
        <f xml:space="preserve"> "  " &amp; Tabelle7[[#This Row],[EnuValue]] &amp; " = " &amp; Tabelle7[[#This Row],[Wert]]</f>
        <v xml:space="preserve">  hvacHT_ASSISTEDELECTRIC = 9</v>
      </c>
      <c r="H660" s="44" t="str">
        <f>"  If Wert = " &amp; Tabelle7[[#This Row],[EnuValue]] &amp; " then Res = ""." &amp; Tabelle7[[#This Row],[EnuRohValue]] &amp; "."""</f>
        <v xml:space="preserve">  If Wert = hvacHT_ASSISTEDELECTRIC then Res = ".ASSISTEDELECTRIC."</v>
      </c>
      <c r="I660" s="44" t="str">
        <f>"  If wert = ""." &amp; Tabelle7[[#This Row],[EnuRohValue]] &amp; "."" Then Res = " &amp; Tabelle7[[#This Row],[EnuValue]]</f>
        <v xml:space="preserve">  If wert = ".ASSISTEDELECTRIC." Then Res = hvacHT_ASSISTEDELECTRIC</v>
      </c>
    </row>
    <row r="661" spans="2:9" x14ac:dyDescent="0.25">
      <c r="B661" s="44">
        <v>10</v>
      </c>
      <c r="C661" s="45" t="s">
        <v>1580</v>
      </c>
      <c r="D661" s="44" t="s">
        <v>4218</v>
      </c>
      <c r="E661" s="44" t="str">
        <f>VLOOKUP(Tabelle7[[#This Row],[EnumName]],Enum[[IFC-Name]:[Präfix]],5,FALSE)&amp;Tabelle7[[#This Row],[EnuRohValue]]</f>
        <v>hvacHT_ASSISTEDNATURALGAS</v>
      </c>
      <c r="F661" s="44">
        <f>COUNTIF(Tabelle7[EnuValue],Tabelle7[[#This Row],[EnuValue]])</f>
        <v>1</v>
      </c>
      <c r="G661" s="44" t="str">
        <f xml:space="preserve"> "  " &amp; Tabelle7[[#This Row],[EnuValue]] &amp; " = " &amp; Tabelle7[[#This Row],[Wert]]</f>
        <v xml:space="preserve">  hvacHT_ASSISTEDNATURALGAS = 10</v>
      </c>
      <c r="H661" s="44" t="str">
        <f>"  If Wert = " &amp; Tabelle7[[#This Row],[EnuValue]] &amp; " then Res = ""." &amp; Tabelle7[[#This Row],[EnuRohValue]] &amp; "."""</f>
        <v xml:space="preserve">  If Wert = hvacHT_ASSISTEDNATURALGAS then Res = ".ASSISTEDNATURALGAS."</v>
      </c>
      <c r="I661" s="44" t="str">
        <f>"  If wert = ""." &amp; Tabelle7[[#This Row],[EnuRohValue]] &amp; "."" Then Res = " &amp; Tabelle7[[#This Row],[EnuValue]]</f>
        <v xml:space="preserve">  If wert = ".ASSISTEDNATURALGAS." Then Res = hvacHT_ASSISTEDNATURALGAS</v>
      </c>
    </row>
    <row r="662" spans="2:9" x14ac:dyDescent="0.25">
      <c r="B662" s="44">
        <v>11</v>
      </c>
      <c r="C662" s="45" t="s">
        <v>1580</v>
      </c>
      <c r="D662" s="44" t="s">
        <v>4219</v>
      </c>
      <c r="E662" s="44" t="str">
        <f>VLOOKUP(Tabelle7[[#This Row],[EnumName]],Enum[[IFC-Name]:[Präfix]],5,FALSE)&amp;Tabelle7[[#This Row],[EnuRohValue]]</f>
        <v>hvacHT_ASSISTEDPROPANE</v>
      </c>
      <c r="F662" s="44">
        <f>COUNTIF(Tabelle7[EnuValue],Tabelle7[[#This Row],[EnuValue]])</f>
        <v>1</v>
      </c>
      <c r="G662" s="44" t="str">
        <f xml:space="preserve"> "  " &amp; Tabelle7[[#This Row],[EnuValue]] &amp; " = " &amp; Tabelle7[[#This Row],[Wert]]</f>
        <v xml:space="preserve">  hvacHT_ASSISTEDPROPANE = 11</v>
      </c>
      <c r="H662" s="44" t="str">
        <f>"  If Wert = " &amp; Tabelle7[[#This Row],[EnuValue]] &amp; " then Res = ""." &amp; Tabelle7[[#This Row],[EnuRohValue]] &amp; "."""</f>
        <v xml:space="preserve">  If Wert = hvacHT_ASSISTEDPROPANE then Res = ".ASSISTEDPROPANE."</v>
      </c>
      <c r="I662" s="44" t="str">
        <f>"  If wert = ""." &amp; Tabelle7[[#This Row],[EnuRohValue]] &amp; "."" Then Res = " &amp; Tabelle7[[#This Row],[EnuValue]]</f>
        <v xml:space="preserve">  If wert = ".ASSISTEDPROPANE." Then Res = hvacHT_ASSISTEDPROPANE</v>
      </c>
    </row>
    <row r="663" spans="2:9" x14ac:dyDescent="0.25">
      <c r="B663" s="44">
        <v>12</v>
      </c>
      <c r="C663" s="45" t="s">
        <v>1580</v>
      </c>
      <c r="D663" s="44" t="s">
        <v>4220</v>
      </c>
      <c r="E663" s="44" t="str">
        <f>VLOOKUP(Tabelle7[[#This Row],[EnumName]],Enum[[IFC-Name]:[Präfix]],5,FALSE)&amp;Tabelle7[[#This Row],[EnuRohValue]]</f>
        <v>hvacHT_ASSISTEDBUTANE</v>
      </c>
      <c r="F663" s="44">
        <f>COUNTIF(Tabelle7[EnuValue],Tabelle7[[#This Row],[EnuValue]])</f>
        <v>1</v>
      </c>
      <c r="G663" s="44" t="str">
        <f xml:space="preserve"> "  " &amp; Tabelle7[[#This Row],[EnuValue]] &amp; " = " &amp; Tabelle7[[#This Row],[Wert]]</f>
        <v xml:space="preserve">  hvacHT_ASSISTEDBUTANE = 12</v>
      </c>
      <c r="H663" s="44" t="str">
        <f>"  If Wert = " &amp; Tabelle7[[#This Row],[EnuValue]] &amp; " then Res = ""." &amp; Tabelle7[[#This Row],[EnuRohValue]] &amp; "."""</f>
        <v xml:space="preserve">  If Wert = hvacHT_ASSISTEDBUTANE then Res = ".ASSISTEDBUTANE."</v>
      </c>
      <c r="I663" s="44" t="str">
        <f>"  If wert = ""." &amp; Tabelle7[[#This Row],[EnuRohValue]] &amp; "."" Then Res = " &amp; Tabelle7[[#This Row],[EnuValue]]</f>
        <v xml:space="preserve">  If wert = ".ASSISTEDBUTANE." Then Res = hvacHT_ASSISTEDBUTANE</v>
      </c>
    </row>
    <row r="664" spans="2:9" x14ac:dyDescent="0.25">
      <c r="B664" s="44">
        <v>13</v>
      </c>
      <c r="C664" s="45" t="s">
        <v>1580</v>
      </c>
      <c r="D664" s="44" t="s">
        <v>4221</v>
      </c>
      <c r="E664" s="44" t="str">
        <f>VLOOKUP(Tabelle7[[#This Row],[EnumName]],Enum[[IFC-Name]:[Präfix]],5,FALSE)&amp;Tabelle7[[#This Row],[EnuRohValue]]</f>
        <v>hvacHT_ASSISTEDSTEAM</v>
      </c>
      <c r="F664" s="44">
        <f>COUNTIF(Tabelle7[EnuValue],Tabelle7[[#This Row],[EnuValue]])</f>
        <v>1</v>
      </c>
      <c r="G664" s="44" t="str">
        <f xml:space="preserve"> "  " &amp; Tabelle7[[#This Row],[EnuValue]] &amp; " = " &amp; Tabelle7[[#This Row],[Wert]]</f>
        <v xml:space="preserve">  hvacHT_ASSISTEDSTEAM = 13</v>
      </c>
      <c r="H664" s="44" t="str">
        <f>"  If Wert = " &amp; Tabelle7[[#This Row],[EnuValue]] &amp; " then Res = ""." &amp; Tabelle7[[#This Row],[EnuRohValue]] &amp; "."""</f>
        <v xml:space="preserve">  If Wert = hvacHT_ASSISTEDSTEAM then Res = ".ASSISTEDSTEAM."</v>
      </c>
      <c r="I664" s="44" t="str">
        <f>"  If wert = ""." &amp; Tabelle7[[#This Row],[EnuRohValue]] &amp; "."" Then Res = " &amp; Tabelle7[[#This Row],[EnuValue]]</f>
        <v xml:space="preserve">  If wert = ".ASSISTEDSTEAM." Then Res = hvacHT_ASSISTEDSTEAM</v>
      </c>
    </row>
    <row r="665" spans="2:9" x14ac:dyDescent="0.25">
      <c r="B665" s="44">
        <v>14</v>
      </c>
      <c r="C665" s="45" t="s">
        <v>1580</v>
      </c>
      <c r="D665" s="44" t="s">
        <v>3682</v>
      </c>
      <c r="E665" s="44" t="str">
        <f>VLOOKUP(Tabelle7[[#This Row],[EnumName]],Enum[[IFC-Name]:[Präfix]],5,FALSE)&amp;Tabelle7[[#This Row],[EnuRohValue]]</f>
        <v>hvacHT_USERDEFINED</v>
      </c>
      <c r="F665" s="44">
        <f>COUNTIF(Tabelle7[EnuValue],Tabelle7[[#This Row],[EnuValue]])</f>
        <v>1</v>
      </c>
      <c r="G665" s="44" t="str">
        <f xml:space="preserve"> "  " &amp; Tabelle7[[#This Row],[EnuValue]] &amp; " = " &amp; Tabelle7[[#This Row],[Wert]]</f>
        <v xml:space="preserve">  hvacHT_USERDEFINED = 14</v>
      </c>
      <c r="H665" s="44" t="str">
        <f>"  If Wert = " &amp; Tabelle7[[#This Row],[EnuValue]] &amp; " then Res = ""." &amp; Tabelle7[[#This Row],[EnuRohValue]] &amp; "."""</f>
        <v xml:space="preserve">  If Wert = hvacHT_USERDEFINED then Res = ".USERDEFINED."</v>
      </c>
      <c r="I665" s="44" t="str">
        <f>"  If wert = ""." &amp; Tabelle7[[#This Row],[EnuRohValue]] &amp; "."" Then Res = " &amp; Tabelle7[[#This Row],[EnuValue]]</f>
        <v xml:space="preserve">  If wert = ".USERDEFINED." Then Res = hvacHT_USERDEFINED</v>
      </c>
    </row>
    <row r="666" spans="2:9" x14ac:dyDescent="0.25">
      <c r="B666" s="44">
        <v>15</v>
      </c>
      <c r="C666" s="45" t="s">
        <v>1580</v>
      </c>
      <c r="D666" s="44" t="s">
        <v>3683</v>
      </c>
      <c r="E666" s="44" t="str">
        <f>VLOOKUP(Tabelle7[[#This Row],[EnumName]],Enum[[IFC-Name]:[Präfix]],5,FALSE)&amp;Tabelle7[[#This Row],[EnuRohValue]]</f>
        <v>hvacHT_NOTDEFINED</v>
      </c>
      <c r="F666" s="44">
        <f>COUNTIF(Tabelle7[EnuValue],Tabelle7[[#This Row],[EnuValue]])</f>
        <v>1</v>
      </c>
      <c r="G666" s="44" t="str">
        <f xml:space="preserve"> "  " &amp; Tabelle7[[#This Row],[EnuValue]] &amp; " = " &amp; Tabelle7[[#This Row],[Wert]]</f>
        <v xml:space="preserve">  hvacHT_NOTDEFINED = 15</v>
      </c>
      <c r="H666" s="44" t="str">
        <f>"  If Wert = " &amp; Tabelle7[[#This Row],[EnuValue]] &amp; " then Res = ""." &amp; Tabelle7[[#This Row],[EnuRohValue]] &amp; "."""</f>
        <v xml:space="preserve">  If Wert = hvacHT_NOTDEFINED then Res = ".NOTDEFINED."</v>
      </c>
      <c r="I666" s="44" t="str">
        <f>"  If wert = ""." &amp; Tabelle7[[#This Row],[EnuRohValue]] &amp; "."" Then Res = " &amp; Tabelle7[[#This Row],[EnuValue]]</f>
        <v xml:space="preserve">  If wert = ".NOTDEFINED." Then Res = hvacHT_NOTDEFINED</v>
      </c>
    </row>
    <row r="667" spans="2:9" x14ac:dyDescent="0.25">
      <c r="B667" s="44">
        <v>1</v>
      </c>
      <c r="C667" s="45" t="s">
        <v>1581</v>
      </c>
      <c r="D667" s="44" t="s">
        <v>4222</v>
      </c>
      <c r="E667" s="44" t="str">
        <f>VLOOKUP(Tabelle7[[#This Row],[EnumName]],Enum[[IFC-Name]:[Präfix]],5,FALSE)&amp;Tabelle7[[#This Row],[EnuRohValue]]</f>
        <v>pocIOE_INTERNAL</v>
      </c>
      <c r="F667" s="44">
        <f>COUNTIF(Tabelle7[EnuValue],Tabelle7[[#This Row],[EnuValue]])</f>
        <v>1</v>
      </c>
      <c r="G667" s="44" t="str">
        <f xml:space="preserve"> "  " &amp; Tabelle7[[#This Row],[EnuValue]] &amp; " = " &amp; Tabelle7[[#This Row],[Wert]]</f>
        <v xml:space="preserve">  pocIOE_INTERNAL = 1</v>
      </c>
      <c r="H667" s="44" t="str">
        <f>"  If Wert = " &amp; Tabelle7[[#This Row],[EnuValue]] &amp; " then Res = ""." &amp; Tabelle7[[#This Row],[EnuRohValue]] &amp; "."""</f>
        <v xml:space="preserve">  If Wert = pocIOE_INTERNAL then Res = ".INTERNAL."</v>
      </c>
      <c r="I667" s="44" t="str">
        <f>"  If wert = ""." &amp; Tabelle7[[#This Row],[EnuRohValue]] &amp; "."" Then Res = " &amp; Tabelle7[[#This Row],[EnuValue]]</f>
        <v xml:space="preserve">  If wert = ".INTERNAL." Then Res = pocIOE_INTERNAL</v>
      </c>
    </row>
    <row r="668" spans="2:9" x14ac:dyDescent="0.25">
      <c r="B668" s="44">
        <v>2</v>
      </c>
      <c r="C668" s="45" t="s">
        <v>1581</v>
      </c>
      <c r="D668" s="44" t="s">
        <v>4223</v>
      </c>
      <c r="E668" s="44" t="str">
        <f>VLOOKUP(Tabelle7[[#This Row],[EnumName]],Enum[[IFC-Name]:[Präfix]],5,FALSE)&amp;Tabelle7[[#This Row],[EnuRohValue]]</f>
        <v>pocIOE_EXTERNAL</v>
      </c>
      <c r="F668" s="44">
        <f>COUNTIF(Tabelle7[EnuValue],Tabelle7[[#This Row],[EnuValue]])</f>
        <v>1</v>
      </c>
      <c r="G668" s="44" t="str">
        <f xml:space="preserve"> "  " &amp; Tabelle7[[#This Row],[EnuValue]] &amp; " = " &amp; Tabelle7[[#This Row],[Wert]]</f>
        <v xml:space="preserve">  pocIOE_EXTERNAL = 2</v>
      </c>
      <c r="H668" s="44" t="str">
        <f>"  If Wert = " &amp; Tabelle7[[#This Row],[EnuValue]] &amp; " then Res = ""." &amp; Tabelle7[[#This Row],[EnuRohValue]] &amp; "."""</f>
        <v xml:space="preserve">  If Wert = pocIOE_EXTERNAL then Res = ".EXTERNAL."</v>
      </c>
      <c r="I668" s="44" t="str">
        <f>"  If wert = ""." &amp; Tabelle7[[#This Row],[EnuRohValue]] &amp; "."" Then Res = " &amp; Tabelle7[[#This Row],[EnuValue]]</f>
        <v xml:space="preserve">  If wert = ".EXTERNAL." Then Res = pocIOE_EXTERNAL</v>
      </c>
    </row>
    <row r="669" spans="2:9" x14ac:dyDescent="0.25">
      <c r="B669" s="44">
        <v>3</v>
      </c>
      <c r="C669" s="45" t="s">
        <v>1581</v>
      </c>
      <c r="D669" s="44" t="s">
        <v>3683</v>
      </c>
      <c r="E669" s="44" t="str">
        <f>VLOOKUP(Tabelle7[[#This Row],[EnumName]],Enum[[IFC-Name]:[Präfix]],5,FALSE)&amp;Tabelle7[[#This Row],[EnuRohValue]]</f>
        <v>pocIOE_NOTDEFINED</v>
      </c>
      <c r="F669" s="44">
        <f>COUNTIF(Tabelle7[EnuValue],Tabelle7[[#This Row],[EnuValue]])</f>
        <v>1</v>
      </c>
      <c r="G669" s="44" t="str">
        <f xml:space="preserve"> "  " &amp; Tabelle7[[#This Row],[EnuValue]] &amp; " = " &amp; Tabelle7[[#This Row],[Wert]]</f>
        <v xml:space="preserve">  pocIOE_NOTDEFINED = 3</v>
      </c>
      <c r="H669" s="44" t="str">
        <f>"  If Wert = " &amp; Tabelle7[[#This Row],[EnuValue]] &amp; " then Res = ""." &amp; Tabelle7[[#This Row],[EnuRohValue]] &amp; "."""</f>
        <v xml:space="preserve">  If Wert = pocIOE_NOTDEFINED then Res = ".NOTDEFINED."</v>
      </c>
      <c r="I669" s="44" t="str">
        <f>"  If wert = ""." &amp; Tabelle7[[#This Row],[EnuRohValue]] &amp; "."" Then Res = " &amp; Tabelle7[[#This Row],[EnuValue]]</f>
        <v xml:space="preserve">  If wert = ".NOTDEFINED." Then Res = pocIOE_NOTDEFINED</v>
      </c>
    </row>
    <row r="670" spans="2:9" x14ac:dyDescent="0.25">
      <c r="B670" s="44">
        <v>1</v>
      </c>
      <c r="C670" s="45" t="s">
        <v>1582</v>
      </c>
      <c r="D670" s="44" t="s">
        <v>4224</v>
      </c>
      <c r="E670" s="44" t="str">
        <f>VLOOKUP(Tabelle7[[#This Row],[EnumName]],Enum[[IFC-Name]:[Präfix]],5,FALSE)&amp;Tabelle7[[#This Row],[EnuRohValue]]</f>
        <v>sfmIT_ASSETINVENTORY</v>
      </c>
      <c r="F670" s="44">
        <f>COUNTIF(Tabelle7[EnuValue],Tabelle7[[#This Row],[EnuValue]])</f>
        <v>1</v>
      </c>
      <c r="G670" s="44" t="str">
        <f xml:space="preserve"> "  " &amp; Tabelle7[[#This Row],[EnuValue]] &amp; " = " &amp; Tabelle7[[#This Row],[Wert]]</f>
        <v xml:space="preserve">  sfmIT_ASSETINVENTORY = 1</v>
      </c>
      <c r="H670" s="44" t="str">
        <f>"  If Wert = " &amp; Tabelle7[[#This Row],[EnuValue]] &amp; " then Res = ""." &amp; Tabelle7[[#This Row],[EnuRohValue]] &amp; "."""</f>
        <v xml:space="preserve">  If Wert = sfmIT_ASSETINVENTORY then Res = ".ASSETINVENTORY."</v>
      </c>
      <c r="I670" s="44" t="str">
        <f>"  If wert = ""." &amp; Tabelle7[[#This Row],[EnuRohValue]] &amp; "."" Then Res = " &amp; Tabelle7[[#This Row],[EnuValue]]</f>
        <v xml:space="preserve">  If wert = ".ASSETINVENTORY." Then Res = sfmIT_ASSETINVENTORY</v>
      </c>
    </row>
    <row r="671" spans="2:9" x14ac:dyDescent="0.25">
      <c r="B671" s="44">
        <v>2</v>
      </c>
      <c r="C671" s="45" t="s">
        <v>1582</v>
      </c>
      <c r="D671" s="44" t="s">
        <v>4225</v>
      </c>
      <c r="E671" s="44" t="str">
        <f>VLOOKUP(Tabelle7[[#This Row],[EnumName]],Enum[[IFC-Name]:[Präfix]],5,FALSE)&amp;Tabelle7[[#This Row],[EnuRohValue]]</f>
        <v>sfmIT_SPACEINVENTORY</v>
      </c>
      <c r="F671" s="44">
        <f>COUNTIF(Tabelle7[EnuValue],Tabelle7[[#This Row],[EnuValue]])</f>
        <v>1</v>
      </c>
      <c r="G671" s="44" t="str">
        <f xml:space="preserve"> "  " &amp; Tabelle7[[#This Row],[EnuValue]] &amp; " = " &amp; Tabelle7[[#This Row],[Wert]]</f>
        <v xml:space="preserve">  sfmIT_SPACEINVENTORY = 2</v>
      </c>
      <c r="H671" s="44" t="str">
        <f>"  If Wert = " &amp; Tabelle7[[#This Row],[EnuValue]] &amp; " then Res = ""." &amp; Tabelle7[[#This Row],[EnuRohValue]] &amp; "."""</f>
        <v xml:space="preserve">  If Wert = sfmIT_SPACEINVENTORY then Res = ".SPACEINVENTORY."</v>
      </c>
      <c r="I671" s="44" t="str">
        <f>"  If wert = ""." &amp; Tabelle7[[#This Row],[EnuRohValue]] &amp; "."" Then Res = " &amp; Tabelle7[[#This Row],[EnuValue]]</f>
        <v xml:space="preserve">  If wert = ".SPACEINVENTORY." Then Res = sfmIT_SPACEINVENTORY</v>
      </c>
    </row>
    <row r="672" spans="2:9" x14ac:dyDescent="0.25">
      <c r="B672" s="44">
        <v>3</v>
      </c>
      <c r="C672" s="45" t="s">
        <v>1582</v>
      </c>
      <c r="D672" s="44" t="s">
        <v>4226</v>
      </c>
      <c r="E672" s="44" t="str">
        <f>VLOOKUP(Tabelle7[[#This Row],[EnumName]],Enum[[IFC-Name]:[Präfix]],5,FALSE)&amp;Tabelle7[[#This Row],[EnuRohValue]]</f>
        <v>sfmIT_FURNITUREINVENTORY</v>
      </c>
      <c r="F672" s="44">
        <f>COUNTIF(Tabelle7[EnuValue],Tabelle7[[#This Row],[EnuValue]])</f>
        <v>1</v>
      </c>
      <c r="G672" s="44" t="str">
        <f xml:space="preserve"> "  " &amp; Tabelle7[[#This Row],[EnuValue]] &amp; " = " &amp; Tabelle7[[#This Row],[Wert]]</f>
        <v xml:space="preserve">  sfmIT_FURNITUREINVENTORY = 3</v>
      </c>
      <c r="H672" s="44" t="str">
        <f>"  If Wert = " &amp; Tabelle7[[#This Row],[EnuValue]] &amp; " then Res = ""." &amp; Tabelle7[[#This Row],[EnuRohValue]] &amp; "."""</f>
        <v xml:space="preserve">  If Wert = sfmIT_FURNITUREINVENTORY then Res = ".FURNITUREINVENTORY."</v>
      </c>
      <c r="I672" s="44" t="str">
        <f>"  If wert = ""." &amp; Tabelle7[[#This Row],[EnuRohValue]] &amp; "."" Then Res = " &amp; Tabelle7[[#This Row],[EnuValue]]</f>
        <v xml:space="preserve">  If wert = ".FURNITUREINVENTORY." Then Res = sfmIT_FURNITUREINVENTORY</v>
      </c>
    </row>
    <row r="673" spans="2:9" x14ac:dyDescent="0.25">
      <c r="B673" s="44">
        <v>4</v>
      </c>
      <c r="C673" s="45" t="s">
        <v>1582</v>
      </c>
      <c r="D673" s="44" t="s">
        <v>3682</v>
      </c>
      <c r="E673" s="44" t="str">
        <f>VLOOKUP(Tabelle7[[#This Row],[EnumName]],Enum[[IFC-Name]:[Präfix]],5,FALSE)&amp;Tabelle7[[#This Row],[EnuRohValue]]</f>
        <v>sfmIT_USERDEFINED</v>
      </c>
      <c r="F673" s="44">
        <f>COUNTIF(Tabelle7[EnuValue],Tabelle7[[#This Row],[EnuValue]])</f>
        <v>1</v>
      </c>
      <c r="G673" s="44" t="str">
        <f xml:space="preserve"> "  " &amp; Tabelle7[[#This Row],[EnuValue]] &amp; " = " &amp; Tabelle7[[#This Row],[Wert]]</f>
        <v xml:space="preserve">  sfmIT_USERDEFINED = 4</v>
      </c>
      <c r="H673" s="44" t="str">
        <f>"  If Wert = " &amp; Tabelle7[[#This Row],[EnuValue]] &amp; " then Res = ""." &amp; Tabelle7[[#This Row],[EnuRohValue]] &amp; "."""</f>
        <v xml:space="preserve">  If Wert = sfmIT_USERDEFINED then Res = ".USERDEFINED."</v>
      </c>
      <c r="I673" s="44" t="str">
        <f>"  If wert = ""." &amp; Tabelle7[[#This Row],[EnuRohValue]] &amp; "."" Then Res = " &amp; Tabelle7[[#This Row],[EnuValue]]</f>
        <v xml:space="preserve">  If wert = ".USERDEFINED." Then Res = sfmIT_USERDEFINED</v>
      </c>
    </row>
    <row r="674" spans="2:9" x14ac:dyDescent="0.25">
      <c r="B674" s="44">
        <v>5</v>
      </c>
      <c r="C674" s="45" t="s">
        <v>1582</v>
      </c>
      <c r="D674" s="44" t="s">
        <v>3683</v>
      </c>
      <c r="E674" s="44" t="str">
        <f>VLOOKUP(Tabelle7[[#This Row],[EnumName]],Enum[[IFC-Name]:[Präfix]],5,FALSE)&amp;Tabelle7[[#This Row],[EnuRohValue]]</f>
        <v>sfmIT_NOTDEFINED</v>
      </c>
      <c r="F674" s="44">
        <f>COUNTIF(Tabelle7[EnuValue],Tabelle7[[#This Row],[EnuValue]])</f>
        <v>1</v>
      </c>
      <c r="G674" s="44" t="str">
        <f xml:space="preserve"> "  " &amp; Tabelle7[[#This Row],[EnuValue]] &amp; " = " &amp; Tabelle7[[#This Row],[Wert]]</f>
        <v xml:space="preserve">  sfmIT_NOTDEFINED = 5</v>
      </c>
      <c r="H674" s="44" t="str">
        <f>"  If Wert = " &amp; Tabelle7[[#This Row],[EnuValue]] &amp; " then Res = ""." &amp; Tabelle7[[#This Row],[EnuRohValue]] &amp; "."""</f>
        <v xml:space="preserve">  If Wert = sfmIT_NOTDEFINED then Res = ".NOTDEFINED."</v>
      </c>
      <c r="I674" s="44" t="str">
        <f>"  If wert = ""." &amp; Tabelle7[[#This Row],[EnuRohValue]] &amp; "."" Then Res = " &amp; Tabelle7[[#This Row],[EnuValue]]</f>
        <v xml:space="preserve">  If wert = ".NOTDEFINED." Then Res = sfmIT_NOTDEFINED</v>
      </c>
    </row>
    <row r="675" spans="2:9" x14ac:dyDescent="0.25">
      <c r="B675" s="44">
        <v>1</v>
      </c>
      <c r="C675" s="45" t="s">
        <v>1583</v>
      </c>
      <c r="D675" s="44" t="s">
        <v>3682</v>
      </c>
      <c r="E675" s="44" t="str">
        <f>VLOOKUP(Tabelle7[[#This Row],[EnumName]],Enum[[IFC-Name]:[Präfix]],5,FALSE)&amp;Tabelle7[[#This Row],[EnuRohValue]]</f>
        <v>eleJBT_USERDEFINED</v>
      </c>
      <c r="F675" s="44">
        <f>COUNTIF(Tabelle7[EnuValue],Tabelle7[[#This Row],[EnuValue]])</f>
        <v>1</v>
      </c>
      <c r="G675" s="44" t="str">
        <f xml:space="preserve"> "  " &amp; Tabelle7[[#This Row],[EnuValue]] &amp; " = " &amp; Tabelle7[[#This Row],[Wert]]</f>
        <v xml:space="preserve">  eleJBT_USERDEFINED = 1</v>
      </c>
      <c r="H675" s="44" t="str">
        <f>"  If Wert = " &amp; Tabelle7[[#This Row],[EnuValue]] &amp; " then Res = ""." &amp; Tabelle7[[#This Row],[EnuRohValue]] &amp; "."""</f>
        <v xml:space="preserve">  If Wert = eleJBT_USERDEFINED then Res = ".USERDEFINED."</v>
      </c>
      <c r="I675" s="44" t="str">
        <f>"  If wert = ""." &amp; Tabelle7[[#This Row],[EnuRohValue]] &amp; "."" Then Res = " &amp; Tabelle7[[#This Row],[EnuValue]]</f>
        <v xml:space="preserve">  If wert = ".USERDEFINED." Then Res = eleJBT_USERDEFINED</v>
      </c>
    </row>
    <row r="676" spans="2:9" x14ac:dyDescent="0.25">
      <c r="B676" s="44">
        <v>2</v>
      </c>
      <c r="C676" s="45" t="s">
        <v>1583</v>
      </c>
      <c r="D676" s="44" t="s">
        <v>3683</v>
      </c>
      <c r="E676" s="44" t="str">
        <f>VLOOKUP(Tabelle7[[#This Row],[EnumName]],Enum[[IFC-Name]:[Präfix]],5,FALSE)&amp;Tabelle7[[#This Row],[EnuRohValue]]</f>
        <v>eleJBT_NOTDEFINED</v>
      </c>
      <c r="F676" s="44">
        <f>COUNTIF(Tabelle7[EnuValue],Tabelle7[[#This Row],[EnuValue]])</f>
        <v>1</v>
      </c>
      <c r="G676" s="44" t="str">
        <f xml:space="preserve"> "  " &amp; Tabelle7[[#This Row],[EnuValue]] &amp; " = " &amp; Tabelle7[[#This Row],[Wert]]</f>
        <v xml:space="preserve">  eleJBT_NOTDEFINED = 2</v>
      </c>
      <c r="H676" s="44" t="str">
        <f>"  If Wert = " &amp; Tabelle7[[#This Row],[EnuValue]] &amp; " then Res = ""." &amp; Tabelle7[[#This Row],[EnuRohValue]] &amp; "."""</f>
        <v xml:space="preserve">  If Wert = eleJBT_NOTDEFINED then Res = ".NOTDEFINED."</v>
      </c>
      <c r="I676" s="44" t="str">
        <f>"  If wert = ""." &amp; Tabelle7[[#This Row],[EnuRohValue]] &amp; "."" Then Res = " &amp; Tabelle7[[#This Row],[EnuValue]]</f>
        <v xml:space="preserve">  If wert = ".NOTDEFINED." Then Res = eleJBT_NOTDEFINED</v>
      </c>
    </row>
    <row r="677" spans="2:9" x14ac:dyDescent="0.25">
      <c r="B677" s="44">
        <v>1</v>
      </c>
      <c r="C677" s="45" t="s">
        <v>1584</v>
      </c>
      <c r="D677" s="44" t="s">
        <v>4227</v>
      </c>
      <c r="E677" s="44" t="str">
        <f>VLOOKUP(Tabelle7[[#This Row],[EnumName]],Enum[[IFC-Name]:[Präfix]],5,FALSE)&amp;Tabelle7[[#This Row],[EnuRohValue]]</f>
        <v>eleLT_COMPACTFLUORESCENT</v>
      </c>
      <c r="F677" s="44">
        <f>COUNTIF(Tabelle7[EnuValue],Tabelle7[[#This Row],[EnuValue]])</f>
        <v>1</v>
      </c>
      <c r="G677" s="44" t="str">
        <f xml:space="preserve"> "  " &amp; Tabelle7[[#This Row],[EnuValue]] &amp; " = " &amp; Tabelle7[[#This Row],[Wert]]</f>
        <v xml:space="preserve">  eleLT_COMPACTFLUORESCENT = 1</v>
      </c>
      <c r="H677" s="44" t="str">
        <f>"  If Wert = " &amp; Tabelle7[[#This Row],[EnuValue]] &amp; " then Res = ""." &amp; Tabelle7[[#This Row],[EnuRohValue]] &amp; "."""</f>
        <v xml:space="preserve">  If Wert = eleLT_COMPACTFLUORESCENT then Res = ".COMPACTFLUORESCENT."</v>
      </c>
      <c r="I677" s="44" t="str">
        <f>"  If wert = ""." &amp; Tabelle7[[#This Row],[EnuRohValue]] &amp; "."" Then Res = " &amp; Tabelle7[[#This Row],[EnuValue]]</f>
        <v xml:space="preserve">  If wert = ".COMPACTFLUORESCENT." Then Res = eleLT_COMPACTFLUORESCENT</v>
      </c>
    </row>
    <row r="678" spans="2:9" x14ac:dyDescent="0.25">
      <c r="B678" s="44">
        <v>2</v>
      </c>
      <c r="C678" s="45" t="s">
        <v>1584</v>
      </c>
      <c r="D678" s="44" t="s">
        <v>4228</v>
      </c>
      <c r="E678" s="44" t="str">
        <f>VLOOKUP(Tabelle7[[#This Row],[EnumName]],Enum[[IFC-Name]:[Präfix]],5,FALSE)&amp;Tabelle7[[#This Row],[EnuRohValue]]</f>
        <v>eleLT_FLUORESCENT</v>
      </c>
      <c r="F678" s="44">
        <f>COUNTIF(Tabelle7[EnuValue],Tabelle7[[#This Row],[EnuValue]])</f>
        <v>1</v>
      </c>
      <c r="G678" s="44" t="str">
        <f xml:space="preserve"> "  " &amp; Tabelle7[[#This Row],[EnuValue]] &amp; " = " &amp; Tabelle7[[#This Row],[Wert]]</f>
        <v xml:space="preserve">  eleLT_FLUORESCENT = 2</v>
      </c>
      <c r="H678" s="44" t="str">
        <f>"  If Wert = " &amp; Tabelle7[[#This Row],[EnuValue]] &amp; " then Res = ""." &amp; Tabelle7[[#This Row],[EnuRohValue]] &amp; "."""</f>
        <v xml:space="preserve">  If Wert = eleLT_FLUORESCENT then Res = ".FLUORESCENT."</v>
      </c>
      <c r="I678" s="44" t="str">
        <f>"  If wert = ""." &amp; Tabelle7[[#This Row],[EnuRohValue]] &amp; "."" Then Res = " &amp; Tabelle7[[#This Row],[EnuValue]]</f>
        <v xml:space="preserve">  If wert = ".FLUORESCENT." Then Res = eleLT_FLUORESCENT</v>
      </c>
    </row>
    <row r="679" spans="2:9" x14ac:dyDescent="0.25">
      <c r="B679" s="44">
        <v>3</v>
      </c>
      <c r="C679" s="45" t="s">
        <v>1584</v>
      </c>
      <c r="D679" s="44" t="s">
        <v>4229</v>
      </c>
      <c r="E679" s="44" t="str">
        <f>VLOOKUP(Tabelle7[[#This Row],[EnumName]],Enum[[IFC-Name]:[Präfix]],5,FALSE)&amp;Tabelle7[[#This Row],[EnuRohValue]]</f>
        <v>eleLT_HIGHPRESSUREMERCURY</v>
      </c>
      <c r="F679" s="44">
        <f>COUNTIF(Tabelle7[EnuValue],Tabelle7[[#This Row],[EnuValue]])</f>
        <v>1</v>
      </c>
      <c r="G679" s="44" t="str">
        <f xml:space="preserve"> "  " &amp; Tabelle7[[#This Row],[EnuValue]] &amp; " = " &amp; Tabelle7[[#This Row],[Wert]]</f>
        <v xml:space="preserve">  eleLT_HIGHPRESSUREMERCURY = 3</v>
      </c>
      <c r="H679" s="44" t="str">
        <f>"  If Wert = " &amp; Tabelle7[[#This Row],[EnuValue]] &amp; " then Res = ""." &amp; Tabelle7[[#This Row],[EnuRohValue]] &amp; "."""</f>
        <v xml:space="preserve">  If Wert = eleLT_HIGHPRESSUREMERCURY then Res = ".HIGHPRESSUREMERCURY."</v>
      </c>
      <c r="I679" s="44" t="str">
        <f>"  If wert = ""." &amp; Tabelle7[[#This Row],[EnuRohValue]] &amp; "."" Then Res = " &amp; Tabelle7[[#This Row],[EnuValue]]</f>
        <v xml:space="preserve">  If wert = ".HIGHPRESSUREMERCURY." Then Res = eleLT_HIGHPRESSUREMERCURY</v>
      </c>
    </row>
    <row r="680" spans="2:9" x14ac:dyDescent="0.25">
      <c r="B680" s="44">
        <v>4</v>
      </c>
      <c r="C680" s="45" t="s">
        <v>1584</v>
      </c>
      <c r="D680" s="44" t="s">
        <v>4230</v>
      </c>
      <c r="E680" s="44" t="str">
        <f>VLOOKUP(Tabelle7[[#This Row],[EnumName]],Enum[[IFC-Name]:[Präfix]],5,FALSE)&amp;Tabelle7[[#This Row],[EnuRohValue]]</f>
        <v>eleLT_HIGHPRESSURESODIUM</v>
      </c>
      <c r="F680" s="44">
        <f>COUNTIF(Tabelle7[EnuValue],Tabelle7[[#This Row],[EnuValue]])</f>
        <v>1</v>
      </c>
      <c r="G680" s="44" t="str">
        <f xml:space="preserve"> "  " &amp; Tabelle7[[#This Row],[EnuValue]] &amp; " = " &amp; Tabelle7[[#This Row],[Wert]]</f>
        <v xml:space="preserve">  eleLT_HIGHPRESSURESODIUM = 4</v>
      </c>
      <c r="H680" s="44" t="str">
        <f>"  If Wert = " &amp; Tabelle7[[#This Row],[EnuValue]] &amp; " then Res = ""." &amp; Tabelle7[[#This Row],[EnuRohValue]] &amp; "."""</f>
        <v xml:space="preserve">  If Wert = eleLT_HIGHPRESSURESODIUM then Res = ".HIGHPRESSURESODIUM."</v>
      </c>
      <c r="I680" s="44" t="str">
        <f>"  If wert = ""." &amp; Tabelle7[[#This Row],[EnuRohValue]] &amp; "."" Then Res = " &amp; Tabelle7[[#This Row],[EnuValue]]</f>
        <v xml:space="preserve">  If wert = ".HIGHPRESSURESODIUM." Then Res = eleLT_HIGHPRESSURESODIUM</v>
      </c>
    </row>
    <row r="681" spans="2:9" x14ac:dyDescent="0.25">
      <c r="B681" s="44">
        <v>5</v>
      </c>
      <c r="C681" s="45" t="s">
        <v>1584</v>
      </c>
      <c r="D681" s="44" t="s">
        <v>4231</v>
      </c>
      <c r="E681" s="44" t="str">
        <f>VLOOKUP(Tabelle7[[#This Row],[EnumName]],Enum[[IFC-Name]:[Präfix]],5,FALSE)&amp;Tabelle7[[#This Row],[EnuRohValue]]</f>
        <v>eleLT_METALHALIDE</v>
      </c>
      <c r="F681" s="44">
        <f>COUNTIF(Tabelle7[EnuValue],Tabelle7[[#This Row],[EnuValue]])</f>
        <v>1</v>
      </c>
      <c r="G681" s="44" t="str">
        <f xml:space="preserve"> "  " &amp; Tabelle7[[#This Row],[EnuValue]] &amp; " = " &amp; Tabelle7[[#This Row],[Wert]]</f>
        <v xml:space="preserve">  eleLT_METALHALIDE = 5</v>
      </c>
      <c r="H681" s="44" t="str">
        <f>"  If Wert = " &amp; Tabelle7[[#This Row],[EnuValue]] &amp; " then Res = ""." &amp; Tabelle7[[#This Row],[EnuRohValue]] &amp; "."""</f>
        <v xml:space="preserve">  If Wert = eleLT_METALHALIDE then Res = ".METALHALIDE."</v>
      </c>
      <c r="I681" s="44" t="str">
        <f>"  If wert = ""." &amp; Tabelle7[[#This Row],[EnuRohValue]] &amp; "."" Then Res = " &amp; Tabelle7[[#This Row],[EnuValue]]</f>
        <v xml:space="preserve">  If wert = ".METALHALIDE." Then Res = eleLT_METALHALIDE</v>
      </c>
    </row>
    <row r="682" spans="2:9" x14ac:dyDescent="0.25">
      <c r="B682" s="44">
        <v>6</v>
      </c>
      <c r="C682" s="45" t="s">
        <v>1584</v>
      </c>
      <c r="D682" s="44" t="s">
        <v>4232</v>
      </c>
      <c r="E682" s="44" t="str">
        <f>VLOOKUP(Tabelle7[[#This Row],[EnumName]],Enum[[IFC-Name]:[Präfix]],5,FALSE)&amp;Tabelle7[[#This Row],[EnuRohValue]]</f>
        <v>eleLT_TUNGSTENFILAMENT</v>
      </c>
      <c r="F682" s="44">
        <f>COUNTIF(Tabelle7[EnuValue],Tabelle7[[#This Row],[EnuValue]])</f>
        <v>1</v>
      </c>
      <c r="G682" s="44" t="str">
        <f xml:space="preserve"> "  " &amp; Tabelle7[[#This Row],[EnuValue]] &amp; " = " &amp; Tabelle7[[#This Row],[Wert]]</f>
        <v xml:space="preserve">  eleLT_TUNGSTENFILAMENT = 6</v>
      </c>
      <c r="H682" s="44" t="str">
        <f>"  If Wert = " &amp; Tabelle7[[#This Row],[EnuValue]] &amp; " then Res = ""." &amp; Tabelle7[[#This Row],[EnuRohValue]] &amp; "."""</f>
        <v xml:space="preserve">  If Wert = eleLT_TUNGSTENFILAMENT then Res = ".TUNGSTENFILAMENT."</v>
      </c>
      <c r="I682" s="44" t="str">
        <f>"  If wert = ""." &amp; Tabelle7[[#This Row],[EnuRohValue]] &amp; "."" Then Res = " &amp; Tabelle7[[#This Row],[EnuValue]]</f>
        <v xml:space="preserve">  If wert = ".TUNGSTENFILAMENT." Then Res = eleLT_TUNGSTENFILAMENT</v>
      </c>
    </row>
    <row r="683" spans="2:9" x14ac:dyDescent="0.25">
      <c r="B683" s="44">
        <v>7</v>
      </c>
      <c r="C683" s="45" t="s">
        <v>1584</v>
      </c>
      <c r="D683" s="44" t="s">
        <v>3682</v>
      </c>
      <c r="E683" s="44" t="str">
        <f>VLOOKUP(Tabelle7[[#This Row],[EnumName]],Enum[[IFC-Name]:[Präfix]],5,FALSE)&amp;Tabelle7[[#This Row],[EnuRohValue]]</f>
        <v>eleLT_USERDEFINED</v>
      </c>
      <c r="F683" s="44">
        <f>COUNTIF(Tabelle7[EnuValue],Tabelle7[[#This Row],[EnuValue]])</f>
        <v>1</v>
      </c>
      <c r="G683" s="44" t="str">
        <f xml:space="preserve"> "  " &amp; Tabelle7[[#This Row],[EnuValue]] &amp; " = " &amp; Tabelle7[[#This Row],[Wert]]</f>
        <v xml:space="preserve">  eleLT_USERDEFINED = 7</v>
      </c>
      <c r="H683" s="44" t="str">
        <f>"  If Wert = " &amp; Tabelle7[[#This Row],[EnuValue]] &amp; " then Res = ""." &amp; Tabelle7[[#This Row],[EnuRohValue]] &amp; "."""</f>
        <v xml:space="preserve">  If Wert = eleLT_USERDEFINED then Res = ".USERDEFINED."</v>
      </c>
      <c r="I683" s="44" t="str">
        <f>"  If wert = ""." &amp; Tabelle7[[#This Row],[EnuRohValue]] &amp; "."" Then Res = " &amp; Tabelle7[[#This Row],[EnuValue]]</f>
        <v xml:space="preserve">  If wert = ".USERDEFINED." Then Res = eleLT_USERDEFINED</v>
      </c>
    </row>
    <row r="684" spans="2:9" x14ac:dyDescent="0.25">
      <c r="B684" s="44">
        <v>8</v>
      </c>
      <c r="C684" s="45" t="s">
        <v>1584</v>
      </c>
      <c r="D684" s="44" t="s">
        <v>3683</v>
      </c>
      <c r="E684" s="44" t="str">
        <f>VLOOKUP(Tabelle7[[#This Row],[EnumName]],Enum[[IFC-Name]:[Präfix]],5,FALSE)&amp;Tabelle7[[#This Row],[EnuRohValue]]</f>
        <v>eleLT_NOTDEFINED</v>
      </c>
      <c r="F684" s="44">
        <f>COUNTIF(Tabelle7[EnuValue],Tabelle7[[#This Row],[EnuValue]])</f>
        <v>1</v>
      </c>
      <c r="G684" s="44" t="str">
        <f xml:space="preserve"> "  " &amp; Tabelle7[[#This Row],[EnuValue]] &amp; " = " &amp; Tabelle7[[#This Row],[Wert]]</f>
        <v xml:space="preserve">  eleLT_NOTDEFINED = 8</v>
      </c>
      <c r="H684" s="44" t="str">
        <f>"  If Wert = " &amp; Tabelle7[[#This Row],[EnuValue]] &amp; " then Res = ""." &amp; Tabelle7[[#This Row],[EnuRohValue]] &amp; "."""</f>
        <v xml:space="preserve">  If Wert = eleLT_NOTDEFINED then Res = ".NOTDEFINED."</v>
      </c>
      <c r="I684" s="44" t="str">
        <f>"  If wert = ""." &amp; Tabelle7[[#This Row],[EnuRohValue]] &amp; "."" Then Res = " &amp; Tabelle7[[#This Row],[EnuValue]]</f>
        <v xml:space="preserve">  If wert = ".NOTDEFINED." Then Res = eleLT_NOTDEFINED</v>
      </c>
    </row>
    <row r="685" spans="2:9" x14ac:dyDescent="0.25">
      <c r="B685" s="44">
        <v>1</v>
      </c>
      <c r="C685" s="45" t="s">
        <v>1585</v>
      </c>
      <c r="D685" s="44" t="s">
        <v>4233</v>
      </c>
      <c r="E685" s="44" t="str">
        <f>VLOOKUP(Tabelle7[[#This Row],[EnumName]],Enum[[IFC-Name]:[Präfix]],5,FALSE)&amp;Tabelle7[[#This Row],[EnuRohValue]]</f>
        <v>matLSD_AXIS1</v>
      </c>
      <c r="F685" s="44">
        <f>COUNTIF(Tabelle7[EnuValue],Tabelle7[[#This Row],[EnuValue]])</f>
        <v>1</v>
      </c>
      <c r="G685" s="44" t="str">
        <f xml:space="preserve"> "  " &amp; Tabelle7[[#This Row],[EnuValue]] &amp; " = " &amp; Tabelle7[[#This Row],[Wert]]</f>
        <v xml:space="preserve">  matLSD_AXIS1 = 1</v>
      </c>
      <c r="H685" s="44" t="str">
        <f>"  If Wert = " &amp; Tabelle7[[#This Row],[EnuValue]] &amp; " then Res = ""." &amp; Tabelle7[[#This Row],[EnuRohValue]] &amp; "."""</f>
        <v xml:space="preserve">  If Wert = matLSD_AXIS1 then Res = ".AXIS1."</v>
      </c>
      <c r="I685" s="44" t="str">
        <f>"  If wert = ""." &amp; Tabelle7[[#This Row],[EnuRohValue]] &amp; "."" Then Res = " &amp; Tabelle7[[#This Row],[EnuValue]]</f>
        <v xml:space="preserve">  If wert = ".AXIS1." Then Res = matLSD_AXIS1</v>
      </c>
    </row>
    <row r="686" spans="2:9" x14ac:dyDescent="0.25">
      <c r="B686" s="44">
        <v>2</v>
      </c>
      <c r="C686" s="45" t="s">
        <v>1585</v>
      </c>
      <c r="D686" s="44" t="s">
        <v>4234</v>
      </c>
      <c r="E686" s="44" t="str">
        <f>VLOOKUP(Tabelle7[[#This Row],[EnumName]],Enum[[IFC-Name]:[Präfix]],5,FALSE)&amp;Tabelle7[[#This Row],[EnuRohValue]]</f>
        <v>matLSD_AXIS2</v>
      </c>
      <c r="F686" s="44">
        <f>COUNTIF(Tabelle7[EnuValue],Tabelle7[[#This Row],[EnuValue]])</f>
        <v>1</v>
      </c>
      <c r="G686" s="44" t="str">
        <f xml:space="preserve"> "  " &amp; Tabelle7[[#This Row],[EnuValue]] &amp; " = " &amp; Tabelle7[[#This Row],[Wert]]</f>
        <v xml:space="preserve">  matLSD_AXIS2 = 2</v>
      </c>
      <c r="H686" s="44" t="str">
        <f>"  If Wert = " &amp; Tabelle7[[#This Row],[EnuValue]] &amp; " then Res = ""." &amp; Tabelle7[[#This Row],[EnuRohValue]] &amp; "."""</f>
        <v xml:space="preserve">  If Wert = matLSD_AXIS2 then Res = ".AXIS2."</v>
      </c>
      <c r="I686" s="44" t="str">
        <f>"  If wert = ""." &amp; Tabelle7[[#This Row],[EnuRohValue]] &amp; "."" Then Res = " &amp; Tabelle7[[#This Row],[EnuValue]]</f>
        <v xml:space="preserve">  If wert = ".AXIS2." Then Res = matLSD_AXIS2</v>
      </c>
    </row>
    <row r="687" spans="2:9" x14ac:dyDescent="0.25">
      <c r="B687" s="44">
        <v>3</v>
      </c>
      <c r="C687" s="45" t="s">
        <v>1585</v>
      </c>
      <c r="D687" s="44" t="s">
        <v>4235</v>
      </c>
      <c r="E687" s="44" t="str">
        <f>VLOOKUP(Tabelle7[[#This Row],[EnumName]],Enum[[IFC-Name]:[Präfix]],5,FALSE)&amp;Tabelle7[[#This Row],[EnuRohValue]]</f>
        <v>matLSD_AXIS3</v>
      </c>
      <c r="F687" s="44">
        <f>COUNTIF(Tabelle7[EnuValue],Tabelle7[[#This Row],[EnuValue]])</f>
        <v>1</v>
      </c>
      <c r="G687" s="44" t="str">
        <f xml:space="preserve"> "  " &amp; Tabelle7[[#This Row],[EnuValue]] &amp; " = " &amp; Tabelle7[[#This Row],[Wert]]</f>
        <v xml:space="preserve">  matLSD_AXIS3 = 3</v>
      </c>
      <c r="H687" s="44" t="str">
        <f>"  If Wert = " &amp; Tabelle7[[#This Row],[EnuValue]] &amp; " then Res = ""." &amp; Tabelle7[[#This Row],[EnuRohValue]] &amp; "."""</f>
        <v xml:space="preserve">  If Wert = matLSD_AXIS3 then Res = ".AXIS3."</v>
      </c>
      <c r="I687" s="44" t="str">
        <f>"  If wert = ""." &amp; Tabelle7[[#This Row],[EnuRohValue]] &amp; "."" Then Res = " &amp; Tabelle7[[#This Row],[EnuValue]]</f>
        <v xml:space="preserve">  If wert = ".AXIS3." Then Res = matLSD_AXIS3</v>
      </c>
    </row>
    <row r="688" spans="2:9" x14ac:dyDescent="0.25">
      <c r="B688" s="44">
        <v>1</v>
      </c>
      <c r="C688" s="45" t="s">
        <v>1586</v>
      </c>
      <c r="D688" s="44" t="s">
        <v>4236</v>
      </c>
      <c r="E688" s="44" t="str">
        <f>VLOOKUP(Tabelle7[[#This Row],[EnumName]],Enum[[IFC-Name]:[Präfix]],5,FALSE)&amp;Tabelle7[[#This Row],[EnuRohValue]]</f>
        <v>repLDC_TYPE_A</v>
      </c>
      <c r="F688" s="44">
        <f>COUNTIF(Tabelle7[EnuValue],Tabelle7[[#This Row],[EnuValue]])</f>
        <v>1</v>
      </c>
      <c r="G688" s="44" t="str">
        <f xml:space="preserve"> "  " &amp; Tabelle7[[#This Row],[EnuValue]] &amp; " = " &amp; Tabelle7[[#This Row],[Wert]]</f>
        <v xml:space="preserve">  repLDC_TYPE_A = 1</v>
      </c>
      <c r="H688" s="44" t="str">
        <f>"  If Wert = " &amp; Tabelle7[[#This Row],[EnuValue]] &amp; " then Res = ""." &amp; Tabelle7[[#This Row],[EnuRohValue]] &amp; "."""</f>
        <v xml:space="preserve">  If Wert = repLDC_TYPE_A then Res = ".TYPE_A."</v>
      </c>
      <c r="I688" s="44" t="str">
        <f>"  If wert = ""." &amp; Tabelle7[[#This Row],[EnuRohValue]] &amp; "."" Then Res = " &amp; Tabelle7[[#This Row],[EnuValue]]</f>
        <v xml:space="preserve">  If wert = ".TYPE_A." Then Res = repLDC_TYPE_A</v>
      </c>
    </row>
    <row r="689" spans="2:9" x14ac:dyDescent="0.25">
      <c r="B689" s="44">
        <v>2</v>
      </c>
      <c r="C689" s="45" t="s">
        <v>1586</v>
      </c>
      <c r="D689" s="44" t="s">
        <v>4237</v>
      </c>
      <c r="E689" s="44" t="str">
        <f>VLOOKUP(Tabelle7[[#This Row],[EnumName]],Enum[[IFC-Name]:[Präfix]],5,FALSE)&amp;Tabelle7[[#This Row],[EnuRohValue]]</f>
        <v>repLDC_TYPE_B</v>
      </c>
      <c r="F689" s="44">
        <f>COUNTIF(Tabelle7[EnuValue],Tabelle7[[#This Row],[EnuValue]])</f>
        <v>1</v>
      </c>
      <c r="G689" s="44" t="str">
        <f xml:space="preserve"> "  " &amp; Tabelle7[[#This Row],[EnuValue]] &amp; " = " &amp; Tabelle7[[#This Row],[Wert]]</f>
        <v xml:space="preserve">  repLDC_TYPE_B = 2</v>
      </c>
      <c r="H689" s="44" t="str">
        <f>"  If Wert = " &amp; Tabelle7[[#This Row],[EnuValue]] &amp; " then Res = ""." &amp; Tabelle7[[#This Row],[EnuRohValue]] &amp; "."""</f>
        <v xml:space="preserve">  If Wert = repLDC_TYPE_B then Res = ".TYPE_B."</v>
      </c>
      <c r="I689" s="44" t="str">
        <f>"  If wert = ""." &amp; Tabelle7[[#This Row],[EnuRohValue]] &amp; "."" Then Res = " &amp; Tabelle7[[#This Row],[EnuValue]]</f>
        <v xml:space="preserve">  If wert = ".TYPE_B." Then Res = repLDC_TYPE_B</v>
      </c>
    </row>
    <row r="690" spans="2:9" x14ac:dyDescent="0.25">
      <c r="B690" s="44">
        <v>3</v>
      </c>
      <c r="C690" s="45" t="s">
        <v>1586</v>
      </c>
      <c r="D690" s="44" t="s">
        <v>4238</v>
      </c>
      <c r="E690" s="44" t="str">
        <f>VLOOKUP(Tabelle7[[#This Row],[EnumName]],Enum[[IFC-Name]:[Präfix]],5,FALSE)&amp;Tabelle7[[#This Row],[EnuRohValue]]</f>
        <v>repLDC_TYPE_C</v>
      </c>
      <c r="F690" s="44">
        <f>COUNTIF(Tabelle7[EnuValue],Tabelle7[[#This Row],[EnuValue]])</f>
        <v>1</v>
      </c>
      <c r="G690" s="44" t="str">
        <f xml:space="preserve"> "  " &amp; Tabelle7[[#This Row],[EnuValue]] &amp; " = " &amp; Tabelle7[[#This Row],[Wert]]</f>
        <v xml:space="preserve">  repLDC_TYPE_C = 3</v>
      </c>
      <c r="H690" s="44" t="str">
        <f>"  If Wert = " &amp; Tabelle7[[#This Row],[EnuValue]] &amp; " then Res = ""." &amp; Tabelle7[[#This Row],[EnuRohValue]] &amp; "."""</f>
        <v xml:space="preserve">  If Wert = repLDC_TYPE_C then Res = ".TYPE_C."</v>
      </c>
      <c r="I690" s="44" t="str">
        <f>"  If wert = ""." &amp; Tabelle7[[#This Row],[EnuRohValue]] &amp; "."" Then Res = " &amp; Tabelle7[[#This Row],[EnuValue]]</f>
        <v xml:space="preserve">  If wert = ".TYPE_C." Then Res = repLDC_TYPE_C</v>
      </c>
    </row>
    <row r="691" spans="2:9" x14ac:dyDescent="0.25">
      <c r="B691" s="44">
        <v>4</v>
      </c>
      <c r="C691" s="45" t="s">
        <v>1586</v>
      </c>
      <c r="D691" s="44" t="s">
        <v>3683</v>
      </c>
      <c r="E691" s="44" t="str">
        <f>VLOOKUP(Tabelle7[[#This Row],[EnumName]],Enum[[IFC-Name]:[Präfix]],5,FALSE)&amp;Tabelle7[[#This Row],[EnuRohValue]]</f>
        <v>repLDC_NOTDEFINED</v>
      </c>
      <c r="F691" s="44">
        <f>COUNTIF(Tabelle7[EnuValue],Tabelle7[[#This Row],[EnuValue]])</f>
        <v>1</v>
      </c>
      <c r="G691" s="44" t="str">
        <f xml:space="preserve"> "  " &amp; Tabelle7[[#This Row],[EnuValue]] &amp; " = " &amp; Tabelle7[[#This Row],[Wert]]</f>
        <v xml:space="preserve">  repLDC_NOTDEFINED = 4</v>
      </c>
      <c r="H691" s="44" t="str">
        <f>"  If Wert = " &amp; Tabelle7[[#This Row],[EnuValue]] &amp; " then Res = ""." &amp; Tabelle7[[#This Row],[EnuRohValue]] &amp; "."""</f>
        <v xml:space="preserve">  If Wert = repLDC_NOTDEFINED then Res = ".NOTDEFINED."</v>
      </c>
      <c r="I691" s="44" t="str">
        <f>"  If wert = ""." &amp; Tabelle7[[#This Row],[EnuRohValue]] &amp; "."" Then Res = " &amp; Tabelle7[[#This Row],[EnuValue]]</f>
        <v xml:space="preserve">  If wert = ".NOTDEFINED." Then Res = repLDC_NOTDEFINED</v>
      </c>
    </row>
    <row r="692" spans="2:9" x14ac:dyDescent="0.25">
      <c r="B692" s="44">
        <v>1</v>
      </c>
      <c r="C692" s="45" t="s">
        <v>1587</v>
      </c>
      <c r="D692" s="44" t="s">
        <v>4227</v>
      </c>
      <c r="E692" s="44" t="str">
        <f>VLOOKUP(Tabelle7[[#This Row],[EnumName]],Enum[[IFC-Name]:[Präfix]],5,FALSE)&amp;Tabelle7[[#This Row],[EnuRohValue]]</f>
        <v>repLES_COMPACTFLUORESCENT</v>
      </c>
      <c r="F692" s="44">
        <f>COUNTIF(Tabelle7[EnuValue],Tabelle7[[#This Row],[EnuValue]])</f>
        <v>1</v>
      </c>
      <c r="G692" s="44" t="str">
        <f xml:space="preserve"> "  " &amp; Tabelle7[[#This Row],[EnuValue]] &amp; " = " &amp; Tabelle7[[#This Row],[Wert]]</f>
        <v xml:space="preserve">  repLES_COMPACTFLUORESCENT = 1</v>
      </c>
      <c r="H692" s="44" t="str">
        <f>"  If Wert = " &amp; Tabelle7[[#This Row],[EnuValue]] &amp; " then Res = ""." &amp; Tabelle7[[#This Row],[EnuRohValue]] &amp; "."""</f>
        <v xml:space="preserve">  If Wert = repLES_COMPACTFLUORESCENT then Res = ".COMPACTFLUORESCENT."</v>
      </c>
      <c r="I692" s="44" t="str">
        <f>"  If wert = ""." &amp; Tabelle7[[#This Row],[EnuRohValue]] &amp; "."" Then Res = " &amp; Tabelle7[[#This Row],[EnuValue]]</f>
        <v xml:space="preserve">  If wert = ".COMPACTFLUORESCENT." Then Res = repLES_COMPACTFLUORESCENT</v>
      </c>
    </row>
    <row r="693" spans="2:9" x14ac:dyDescent="0.25">
      <c r="B693" s="44">
        <v>2</v>
      </c>
      <c r="C693" s="45" t="s">
        <v>1587</v>
      </c>
      <c r="D693" s="44" t="s">
        <v>4228</v>
      </c>
      <c r="E693" s="44" t="str">
        <f>VLOOKUP(Tabelle7[[#This Row],[EnumName]],Enum[[IFC-Name]:[Präfix]],5,FALSE)&amp;Tabelle7[[#This Row],[EnuRohValue]]</f>
        <v>repLES_FLUORESCENT</v>
      </c>
      <c r="F693" s="44">
        <f>COUNTIF(Tabelle7[EnuValue],Tabelle7[[#This Row],[EnuValue]])</f>
        <v>1</v>
      </c>
      <c r="G693" s="44" t="str">
        <f xml:space="preserve"> "  " &amp; Tabelle7[[#This Row],[EnuValue]] &amp; " = " &amp; Tabelle7[[#This Row],[Wert]]</f>
        <v xml:space="preserve">  repLES_FLUORESCENT = 2</v>
      </c>
      <c r="H693" s="44" t="str">
        <f>"  If Wert = " &amp; Tabelle7[[#This Row],[EnuValue]] &amp; " then Res = ""." &amp; Tabelle7[[#This Row],[EnuRohValue]] &amp; "."""</f>
        <v xml:space="preserve">  If Wert = repLES_FLUORESCENT then Res = ".FLUORESCENT."</v>
      </c>
      <c r="I693" s="44" t="str">
        <f>"  If wert = ""." &amp; Tabelle7[[#This Row],[EnuRohValue]] &amp; "."" Then Res = " &amp; Tabelle7[[#This Row],[EnuValue]]</f>
        <v xml:space="preserve">  If wert = ".FLUORESCENT." Then Res = repLES_FLUORESCENT</v>
      </c>
    </row>
    <row r="694" spans="2:9" x14ac:dyDescent="0.25">
      <c r="B694" s="44">
        <v>3</v>
      </c>
      <c r="C694" s="45" t="s">
        <v>1587</v>
      </c>
      <c r="D694" s="44" t="s">
        <v>4229</v>
      </c>
      <c r="E694" s="44" t="str">
        <f>VLOOKUP(Tabelle7[[#This Row],[EnumName]],Enum[[IFC-Name]:[Präfix]],5,FALSE)&amp;Tabelle7[[#This Row],[EnuRohValue]]</f>
        <v>repLES_HIGHPRESSUREMERCURY</v>
      </c>
      <c r="F694" s="44">
        <f>COUNTIF(Tabelle7[EnuValue],Tabelle7[[#This Row],[EnuValue]])</f>
        <v>1</v>
      </c>
      <c r="G694" s="44" t="str">
        <f xml:space="preserve"> "  " &amp; Tabelle7[[#This Row],[EnuValue]] &amp; " = " &amp; Tabelle7[[#This Row],[Wert]]</f>
        <v xml:space="preserve">  repLES_HIGHPRESSUREMERCURY = 3</v>
      </c>
      <c r="H694" s="44" t="str">
        <f>"  If Wert = " &amp; Tabelle7[[#This Row],[EnuValue]] &amp; " then Res = ""." &amp; Tabelle7[[#This Row],[EnuRohValue]] &amp; "."""</f>
        <v xml:space="preserve">  If Wert = repLES_HIGHPRESSUREMERCURY then Res = ".HIGHPRESSUREMERCURY."</v>
      </c>
      <c r="I694" s="44" t="str">
        <f>"  If wert = ""." &amp; Tabelle7[[#This Row],[EnuRohValue]] &amp; "."" Then Res = " &amp; Tabelle7[[#This Row],[EnuValue]]</f>
        <v xml:space="preserve">  If wert = ".HIGHPRESSUREMERCURY." Then Res = repLES_HIGHPRESSUREMERCURY</v>
      </c>
    </row>
    <row r="695" spans="2:9" x14ac:dyDescent="0.25">
      <c r="B695" s="44">
        <v>4</v>
      </c>
      <c r="C695" s="45" t="s">
        <v>1587</v>
      </c>
      <c r="D695" s="44" t="s">
        <v>4230</v>
      </c>
      <c r="E695" s="44" t="str">
        <f>VLOOKUP(Tabelle7[[#This Row],[EnumName]],Enum[[IFC-Name]:[Präfix]],5,FALSE)&amp;Tabelle7[[#This Row],[EnuRohValue]]</f>
        <v>repLES_HIGHPRESSURESODIUM</v>
      </c>
      <c r="F695" s="44">
        <f>COUNTIF(Tabelle7[EnuValue],Tabelle7[[#This Row],[EnuValue]])</f>
        <v>1</v>
      </c>
      <c r="G695" s="44" t="str">
        <f xml:space="preserve"> "  " &amp; Tabelle7[[#This Row],[EnuValue]] &amp; " = " &amp; Tabelle7[[#This Row],[Wert]]</f>
        <v xml:space="preserve">  repLES_HIGHPRESSURESODIUM = 4</v>
      </c>
      <c r="H695" s="44" t="str">
        <f>"  If Wert = " &amp; Tabelle7[[#This Row],[EnuValue]] &amp; " then Res = ""." &amp; Tabelle7[[#This Row],[EnuRohValue]] &amp; "."""</f>
        <v xml:space="preserve">  If Wert = repLES_HIGHPRESSURESODIUM then Res = ".HIGHPRESSURESODIUM."</v>
      </c>
      <c r="I695" s="44" t="str">
        <f>"  If wert = ""." &amp; Tabelle7[[#This Row],[EnuRohValue]] &amp; "."" Then Res = " &amp; Tabelle7[[#This Row],[EnuValue]]</f>
        <v xml:space="preserve">  If wert = ".HIGHPRESSURESODIUM." Then Res = repLES_HIGHPRESSURESODIUM</v>
      </c>
    </row>
    <row r="696" spans="2:9" x14ac:dyDescent="0.25">
      <c r="B696" s="44">
        <v>5</v>
      </c>
      <c r="C696" s="45" t="s">
        <v>1587</v>
      </c>
      <c r="D696" s="44" t="s">
        <v>4239</v>
      </c>
      <c r="E696" s="44" t="str">
        <f>VLOOKUP(Tabelle7[[#This Row],[EnumName]],Enum[[IFC-Name]:[Präfix]],5,FALSE)&amp;Tabelle7[[#This Row],[EnuRohValue]]</f>
        <v>repLES_LIGHTEMITTINGDIODE</v>
      </c>
      <c r="F696" s="44">
        <f>COUNTIF(Tabelle7[EnuValue],Tabelle7[[#This Row],[EnuValue]])</f>
        <v>1</v>
      </c>
      <c r="G696" s="44" t="str">
        <f xml:space="preserve"> "  " &amp; Tabelle7[[#This Row],[EnuValue]] &amp; " = " &amp; Tabelle7[[#This Row],[Wert]]</f>
        <v xml:space="preserve">  repLES_LIGHTEMITTINGDIODE = 5</v>
      </c>
      <c r="H696" s="44" t="str">
        <f>"  If Wert = " &amp; Tabelle7[[#This Row],[EnuValue]] &amp; " then Res = ""." &amp; Tabelle7[[#This Row],[EnuRohValue]] &amp; "."""</f>
        <v xml:space="preserve">  If Wert = repLES_LIGHTEMITTINGDIODE then Res = ".LIGHTEMITTINGDIODE."</v>
      </c>
      <c r="I696" s="44" t="str">
        <f>"  If wert = ""." &amp; Tabelle7[[#This Row],[EnuRohValue]] &amp; "."" Then Res = " &amp; Tabelle7[[#This Row],[EnuValue]]</f>
        <v xml:space="preserve">  If wert = ".LIGHTEMITTINGDIODE." Then Res = repLES_LIGHTEMITTINGDIODE</v>
      </c>
    </row>
    <row r="697" spans="2:9" x14ac:dyDescent="0.25">
      <c r="B697" s="44">
        <v>6</v>
      </c>
      <c r="C697" s="45" t="s">
        <v>1587</v>
      </c>
      <c r="D697" s="44" t="s">
        <v>4240</v>
      </c>
      <c r="E697" s="44" t="str">
        <f>VLOOKUP(Tabelle7[[#This Row],[EnumName]],Enum[[IFC-Name]:[Präfix]],5,FALSE)&amp;Tabelle7[[#This Row],[EnuRohValue]]</f>
        <v>repLES_LOWPRESSURESODIUM</v>
      </c>
      <c r="F697" s="44">
        <f>COUNTIF(Tabelle7[EnuValue],Tabelle7[[#This Row],[EnuValue]])</f>
        <v>1</v>
      </c>
      <c r="G697" s="44" t="str">
        <f xml:space="preserve"> "  " &amp; Tabelle7[[#This Row],[EnuValue]] &amp; " = " &amp; Tabelle7[[#This Row],[Wert]]</f>
        <v xml:space="preserve">  repLES_LOWPRESSURESODIUM = 6</v>
      </c>
      <c r="H697" s="44" t="str">
        <f>"  If Wert = " &amp; Tabelle7[[#This Row],[EnuValue]] &amp; " then Res = ""." &amp; Tabelle7[[#This Row],[EnuRohValue]] &amp; "."""</f>
        <v xml:space="preserve">  If Wert = repLES_LOWPRESSURESODIUM then Res = ".LOWPRESSURESODIUM."</v>
      </c>
      <c r="I697" s="44" t="str">
        <f>"  If wert = ""." &amp; Tabelle7[[#This Row],[EnuRohValue]] &amp; "."" Then Res = " &amp; Tabelle7[[#This Row],[EnuValue]]</f>
        <v xml:space="preserve">  If wert = ".LOWPRESSURESODIUM." Then Res = repLES_LOWPRESSURESODIUM</v>
      </c>
    </row>
    <row r="698" spans="2:9" x14ac:dyDescent="0.25">
      <c r="B698" s="44">
        <v>7</v>
      </c>
      <c r="C698" s="45" t="s">
        <v>1587</v>
      </c>
      <c r="D698" s="44" t="s">
        <v>4241</v>
      </c>
      <c r="E698" s="44" t="str">
        <f>VLOOKUP(Tabelle7[[#This Row],[EnumName]],Enum[[IFC-Name]:[Präfix]],5,FALSE)&amp;Tabelle7[[#This Row],[EnuRohValue]]</f>
        <v>repLES_LOWVOLTAGEHALOGEN</v>
      </c>
      <c r="F698" s="44">
        <f>COUNTIF(Tabelle7[EnuValue],Tabelle7[[#This Row],[EnuValue]])</f>
        <v>1</v>
      </c>
      <c r="G698" s="44" t="str">
        <f xml:space="preserve"> "  " &amp; Tabelle7[[#This Row],[EnuValue]] &amp; " = " &amp; Tabelle7[[#This Row],[Wert]]</f>
        <v xml:space="preserve">  repLES_LOWVOLTAGEHALOGEN = 7</v>
      </c>
      <c r="H698" s="44" t="str">
        <f>"  If Wert = " &amp; Tabelle7[[#This Row],[EnuValue]] &amp; " then Res = ""." &amp; Tabelle7[[#This Row],[EnuRohValue]] &amp; "."""</f>
        <v xml:space="preserve">  If Wert = repLES_LOWVOLTAGEHALOGEN then Res = ".LOWVOLTAGEHALOGEN."</v>
      </c>
      <c r="I698" s="44" t="str">
        <f>"  If wert = ""." &amp; Tabelle7[[#This Row],[EnuRohValue]] &amp; "."" Then Res = " &amp; Tabelle7[[#This Row],[EnuValue]]</f>
        <v xml:space="preserve">  If wert = ".LOWVOLTAGEHALOGEN." Then Res = repLES_LOWVOLTAGEHALOGEN</v>
      </c>
    </row>
    <row r="699" spans="2:9" x14ac:dyDescent="0.25">
      <c r="B699" s="44">
        <v>8</v>
      </c>
      <c r="C699" s="45" t="s">
        <v>1587</v>
      </c>
      <c r="D699" s="44" t="s">
        <v>4242</v>
      </c>
      <c r="E699" s="44" t="str">
        <f>VLOOKUP(Tabelle7[[#This Row],[EnumName]],Enum[[IFC-Name]:[Präfix]],5,FALSE)&amp;Tabelle7[[#This Row],[EnuRohValue]]</f>
        <v>repLES_MAINVOLTAGEHALOGEN</v>
      </c>
      <c r="F699" s="44">
        <f>COUNTIF(Tabelle7[EnuValue],Tabelle7[[#This Row],[EnuValue]])</f>
        <v>1</v>
      </c>
      <c r="G699" s="44" t="str">
        <f xml:space="preserve"> "  " &amp; Tabelle7[[#This Row],[EnuValue]] &amp; " = " &amp; Tabelle7[[#This Row],[Wert]]</f>
        <v xml:space="preserve">  repLES_MAINVOLTAGEHALOGEN = 8</v>
      </c>
      <c r="H699" s="44" t="str">
        <f>"  If Wert = " &amp; Tabelle7[[#This Row],[EnuValue]] &amp; " then Res = ""." &amp; Tabelle7[[#This Row],[EnuRohValue]] &amp; "."""</f>
        <v xml:space="preserve">  If Wert = repLES_MAINVOLTAGEHALOGEN then Res = ".MAINVOLTAGEHALOGEN."</v>
      </c>
      <c r="I699" s="44" t="str">
        <f>"  If wert = ""." &amp; Tabelle7[[#This Row],[EnuRohValue]] &amp; "."" Then Res = " &amp; Tabelle7[[#This Row],[EnuValue]]</f>
        <v xml:space="preserve">  If wert = ".MAINVOLTAGEHALOGEN." Then Res = repLES_MAINVOLTAGEHALOGEN</v>
      </c>
    </row>
    <row r="700" spans="2:9" x14ac:dyDescent="0.25">
      <c r="B700" s="44">
        <v>9</v>
      </c>
      <c r="C700" s="45" t="s">
        <v>1587</v>
      </c>
      <c r="D700" s="44" t="s">
        <v>4231</v>
      </c>
      <c r="E700" s="44" t="str">
        <f>VLOOKUP(Tabelle7[[#This Row],[EnumName]],Enum[[IFC-Name]:[Präfix]],5,FALSE)&amp;Tabelle7[[#This Row],[EnuRohValue]]</f>
        <v>repLES_METALHALIDE</v>
      </c>
      <c r="F700" s="44">
        <f>COUNTIF(Tabelle7[EnuValue],Tabelle7[[#This Row],[EnuValue]])</f>
        <v>1</v>
      </c>
      <c r="G700" s="44" t="str">
        <f xml:space="preserve"> "  " &amp; Tabelle7[[#This Row],[EnuValue]] &amp; " = " &amp; Tabelle7[[#This Row],[Wert]]</f>
        <v xml:space="preserve">  repLES_METALHALIDE = 9</v>
      </c>
      <c r="H700" s="44" t="str">
        <f>"  If Wert = " &amp; Tabelle7[[#This Row],[EnuValue]] &amp; " then Res = ""." &amp; Tabelle7[[#This Row],[EnuRohValue]] &amp; "."""</f>
        <v xml:space="preserve">  If Wert = repLES_METALHALIDE then Res = ".METALHALIDE."</v>
      </c>
      <c r="I700" s="44" t="str">
        <f>"  If wert = ""." &amp; Tabelle7[[#This Row],[EnuRohValue]] &amp; "."" Then Res = " &amp; Tabelle7[[#This Row],[EnuValue]]</f>
        <v xml:space="preserve">  If wert = ".METALHALIDE." Then Res = repLES_METALHALIDE</v>
      </c>
    </row>
    <row r="701" spans="2:9" x14ac:dyDescent="0.25">
      <c r="B701" s="44">
        <v>10</v>
      </c>
      <c r="C701" s="45" t="s">
        <v>1587</v>
      </c>
      <c r="D701" s="44" t="s">
        <v>4232</v>
      </c>
      <c r="E701" s="44" t="str">
        <f>VLOOKUP(Tabelle7[[#This Row],[EnumName]],Enum[[IFC-Name]:[Präfix]],5,FALSE)&amp;Tabelle7[[#This Row],[EnuRohValue]]</f>
        <v>repLES_TUNGSTENFILAMENT</v>
      </c>
      <c r="F701" s="44">
        <f>COUNTIF(Tabelle7[EnuValue],Tabelle7[[#This Row],[EnuValue]])</f>
        <v>1</v>
      </c>
      <c r="G701" s="44" t="str">
        <f xml:space="preserve"> "  " &amp; Tabelle7[[#This Row],[EnuValue]] &amp; " = " &amp; Tabelle7[[#This Row],[Wert]]</f>
        <v xml:space="preserve">  repLES_TUNGSTENFILAMENT = 10</v>
      </c>
      <c r="H701" s="44" t="str">
        <f>"  If Wert = " &amp; Tabelle7[[#This Row],[EnuValue]] &amp; " then Res = ""." &amp; Tabelle7[[#This Row],[EnuRohValue]] &amp; "."""</f>
        <v xml:space="preserve">  If Wert = repLES_TUNGSTENFILAMENT then Res = ".TUNGSTENFILAMENT."</v>
      </c>
      <c r="I701" s="44" t="str">
        <f>"  If wert = ""." &amp; Tabelle7[[#This Row],[EnuRohValue]] &amp; "."" Then Res = " &amp; Tabelle7[[#This Row],[EnuValue]]</f>
        <v xml:space="preserve">  If wert = ".TUNGSTENFILAMENT." Then Res = repLES_TUNGSTENFILAMENT</v>
      </c>
    </row>
    <row r="702" spans="2:9" x14ac:dyDescent="0.25">
      <c r="B702" s="44">
        <v>11</v>
      </c>
      <c r="C702" s="45" t="s">
        <v>1587</v>
      </c>
      <c r="D702" s="44" t="s">
        <v>3683</v>
      </c>
      <c r="E702" s="44" t="str">
        <f>VLOOKUP(Tabelle7[[#This Row],[EnumName]],Enum[[IFC-Name]:[Präfix]],5,FALSE)&amp;Tabelle7[[#This Row],[EnuRohValue]]</f>
        <v>repLES_NOTDEFINED</v>
      </c>
      <c r="F702" s="44">
        <f>COUNTIF(Tabelle7[EnuValue],Tabelle7[[#This Row],[EnuValue]])</f>
        <v>1</v>
      </c>
      <c r="G702" s="44" t="str">
        <f xml:space="preserve"> "  " &amp; Tabelle7[[#This Row],[EnuValue]] &amp; " = " &amp; Tabelle7[[#This Row],[Wert]]</f>
        <v xml:space="preserve">  repLES_NOTDEFINED = 11</v>
      </c>
      <c r="H702" s="44" t="str">
        <f>"  If Wert = " &amp; Tabelle7[[#This Row],[EnuValue]] &amp; " then Res = ""." &amp; Tabelle7[[#This Row],[EnuRohValue]] &amp; "."""</f>
        <v xml:space="preserve">  If Wert = repLES_NOTDEFINED then Res = ".NOTDEFINED."</v>
      </c>
      <c r="I702" s="44" t="str">
        <f>"  If wert = ""." &amp; Tabelle7[[#This Row],[EnuRohValue]] &amp; "."" Then Res = " &amp; Tabelle7[[#This Row],[EnuValue]]</f>
        <v xml:space="preserve">  If wert = ".NOTDEFINED." Then Res = repLES_NOTDEFINED</v>
      </c>
    </row>
    <row r="703" spans="2:9" x14ac:dyDescent="0.25">
      <c r="B703" s="44">
        <v>1</v>
      </c>
      <c r="C703" s="45" t="s">
        <v>1588</v>
      </c>
      <c r="D703" s="44" t="s">
        <v>4243</v>
      </c>
      <c r="E703" s="44" t="str">
        <f>VLOOKUP(Tabelle7[[#This Row],[EnumName]],Enum[[IFC-Name]:[Präfix]],5,FALSE)&amp;Tabelle7[[#This Row],[EnuRohValue]]</f>
        <v>eleLFT_POINTSOURCE</v>
      </c>
      <c r="F703" s="44">
        <f>COUNTIF(Tabelle7[EnuValue],Tabelle7[[#This Row],[EnuValue]])</f>
        <v>1</v>
      </c>
      <c r="G703" s="44" t="str">
        <f xml:space="preserve"> "  " &amp; Tabelle7[[#This Row],[EnuValue]] &amp; " = " &amp; Tabelle7[[#This Row],[Wert]]</f>
        <v xml:space="preserve">  eleLFT_POINTSOURCE = 1</v>
      </c>
      <c r="H703" s="44" t="str">
        <f>"  If Wert = " &amp; Tabelle7[[#This Row],[EnuValue]] &amp; " then Res = ""." &amp; Tabelle7[[#This Row],[EnuRohValue]] &amp; "."""</f>
        <v xml:space="preserve">  If Wert = eleLFT_POINTSOURCE then Res = ".POINTSOURCE."</v>
      </c>
      <c r="I703" s="44" t="str">
        <f>"  If wert = ""." &amp; Tabelle7[[#This Row],[EnuRohValue]] &amp; "."" Then Res = " &amp; Tabelle7[[#This Row],[EnuValue]]</f>
        <v xml:space="preserve">  If wert = ".POINTSOURCE." Then Res = eleLFT_POINTSOURCE</v>
      </c>
    </row>
    <row r="704" spans="2:9" x14ac:dyDescent="0.25">
      <c r="B704" s="44">
        <v>2</v>
      </c>
      <c r="C704" s="45" t="s">
        <v>1588</v>
      </c>
      <c r="D704" s="44" t="s">
        <v>4244</v>
      </c>
      <c r="E704" s="44" t="str">
        <f>VLOOKUP(Tabelle7[[#This Row],[EnumName]],Enum[[IFC-Name]:[Präfix]],5,FALSE)&amp;Tabelle7[[#This Row],[EnuRohValue]]</f>
        <v>eleLFT_DIRECTIONSOURCE</v>
      </c>
      <c r="F704" s="44">
        <f>COUNTIF(Tabelle7[EnuValue],Tabelle7[[#This Row],[EnuValue]])</f>
        <v>1</v>
      </c>
      <c r="G704" s="44" t="str">
        <f xml:space="preserve"> "  " &amp; Tabelle7[[#This Row],[EnuValue]] &amp; " = " &amp; Tabelle7[[#This Row],[Wert]]</f>
        <v xml:space="preserve">  eleLFT_DIRECTIONSOURCE = 2</v>
      </c>
      <c r="H704" s="44" t="str">
        <f>"  If Wert = " &amp; Tabelle7[[#This Row],[EnuValue]] &amp; " then Res = ""." &amp; Tabelle7[[#This Row],[EnuRohValue]] &amp; "."""</f>
        <v xml:space="preserve">  If Wert = eleLFT_DIRECTIONSOURCE then Res = ".DIRECTIONSOURCE."</v>
      </c>
      <c r="I704" s="44" t="str">
        <f>"  If wert = ""." &amp; Tabelle7[[#This Row],[EnuRohValue]] &amp; "."" Then Res = " &amp; Tabelle7[[#This Row],[EnuValue]]</f>
        <v xml:space="preserve">  If wert = ".DIRECTIONSOURCE." Then Res = eleLFT_DIRECTIONSOURCE</v>
      </c>
    </row>
    <row r="705" spans="2:9" x14ac:dyDescent="0.25">
      <c r="B705" s="44">
        <v>3</v>
      </c>
      <c r="C705" s="45" t="s">
        <v>1588</v>
      </c>
      <c r="D705" s="44" t="s">
        <v>3682</v>
      </c>
      <c r="E705" s="44" t="str">
        <f>VLOOKUP(Tabelle7[[#This Row],[EnumName]],Enum[[IFC-Name]:[Präfix]],5,FALSE)&amp;Tabelle7[[#This Row],[EnuRohValue]]</f>
        <v>eleLFT_USERDEFINED</v>
      </c>
      <c r="F705" s="44">
        <f>COUNTIF(Tabelle7[EnuValue],Tabelle7[[#This Row],[EnuValue]])</f>
        <v>1</v>
      </c>
      <c r="G705" s="44" t="str">
        <f xml:space="preserve"> "  " &amp; Tabelle7[[#This Row],[EnuValue]] &amp; " = " &amp; Tabelle7[[#This Row],[Wert]]</f>
        <v xml:space="preserve">  eleLFT_USERDEFINED = 3</v>
      </c>
      <c r="H705" s="44" t="str">
        <f>"  If Wert = " &amp; Tabelle7[[#This Row],[EnuValue]] &amp; " then Res = ""." &amp; Tabelle7[[#This Row],[EnuRohValue]] &amp; "."""</f>
        <v xml:space="preserve">  If Wert = eleLFT_USERDEFINED then Res = ".USERDEFINED."</v>
      </c>
      <c r="I705" s="44" t="str">
        <f>"  If wert = ""." &amp; Tabelle7[[#This Row],[EnuRohValue]] &amp; "."" Then Res = " &amp; Tabelle7[[#This Row],[EnuValue]]</f>
        <v xml:space="preserve">  If wert = ".USERDEFINED." Then Res = eleLFT_USERDEFINED</v>
      </c>
    </row>
    <row r="706" spans="2:9" x14ac:dyDescent="0.25">
      <c r="B706" s="44">
        <v>4</v>
      </c>
      <c r="C706" s="45" t="s">
        <v>1588</v>
      </c>
      <c r="D706" s="44" t="s">
        <v>3683</v>
      </c>
      <c r="E706" s="44" t="str">
        <f>VLOOKUP(Tabelle7[[#This Row],[EnumName]],Enum[[IFC-Name]:[Präfix]],5,FALSE)&amp;Tabelle7[[#This Row],[EnuRohValue]]</f>
        <v>eleLFT_NOTDEFINED</v>
      </c>
      <c r="F706" s="44">
        <f>COUNTIF(Tabelle7[EnuValue],Tabelle7[[#This Row],[EnuValue]])</f>
        <v>1</v>
      </c>
      <c r="G706" s="44" t="str">
        <f xml:space="preserve"> "  " &amp; Tabelle7[[#This Row],[EnuValue]] &amp; " = " &amp; Tabelle7[[#This Row],[Wert]]</f>
        <v xml:space="preserve">  eleLFT_NOTDEFINED = 4</v>
      </c>
      <c r="H706" s="44" t="str">
        <f>"  If Wert = " &amp; Tabelle7[[#This Row],[EnuValue]] &amp; " then Res = ""." &amp; Tabelle7[[#This Row],[EnuRohValue]] &amp; "."""</f>
        <v xml:space="preserve">  If Wert = eleLFT_NOTDEFINED then Res = ".NOTDEFINED."</v>
      </c>
      <c r="I706" s="44" t="str">
        <f>"  If wert = ""." &amp; Tabelle7[[#This Row],[EnuRohValue]] &amp; "."" Then Res = " &amp; Tabelle7[[#This Row],[EnuValue]]</f>
        <v xml:space="preserve">  If wert = ".NOTDEFINED." Then Res = eleLFT_NOTDEFINED</v>
      </c>
    </row>
    <row r="707" spans="2:9" x14ac:dyDescent="0.25">
      <c r="B707" s="44">
        <v>1</v>
      </c>
      <c r="C707" s="45" t="s">
        <v>1589</v>
      </c>
      <c r="D707" s="44" t="s">
        <v>4245</v>
      </c>
      <c r="E707" s="44" t="str">
        <f>VLOOKUP(Tabelle7[[#This Row],[EnumName]],Enum[[IFC-Name]:[Präfix]],5,FALSE)&amp;Tabelle7[[#This Row],[EnuRohValue]]</f>
        <v>stcLGT_LOAD_GROUP</v>
      </c>
      <c r="F707" s="44">
        <f>COUNTIF(Tabelle7[EnuValue],Tabelle7[[#This Row],[EnuValue]])</f>
        <v>1</v>
      </c>
      <c r="G707" s="44" t="str">
        <f xml:space="preserve"> "  " &amp; Tabelle7[[#This Row],[EnuValue]] &amp; " = " &amp; Tabelle7[[#This Row],[Wert]]</f>
        <v xml:space="preserve">  stcLGT_LOAD_GROUP = 1</v>
      </c>
      <c r="H707" s="44" t="str">
        <f>"  If Wert = " &amp; Tabelle7[[#This Row],[EnuValue]] &amp; " then Res = ""." &amp; Tabelle7[[#This Row],[EnuRohValue]] &amp; "."""</f>
        <v xml:space="preserve">  If Wert = stcLGT_LOAD_GROUP then Res = ".LOAD_GROUP."</v>
      </c>
      <c r="I707" s="44" t="str">
        <f>"  If wert = ""." &amp; Tabelle7[[#This Row],[EnuRohValue]] &amp; "."" Then Res = " &amp; Tabelle7[[#This Row],[EnuValue]]</f>
        <v xml:space="preserve">  If wert = ".LOAD_GROUP." Then Res = stcLGT_LOAD_GROUP</v>
      </c>
    </row>
    <row r="708" spans="2:9" x14ac:dyDescent="0.25">
      <c r="B708" s="44">
        <v>2</v>
      </c>
      <c r="C708" s="45" t="s">
        <v>1589</v>
      </c>
      <c r="D708" s="44" t="s">
        <v>4246</v>
      </c>
      <c r="E708" s="44" t="str">
        <f>VLOOKUP(Tabelle7[[#This Row],[EnumName]],Enum[[IFC-Name]:[Präfix]],5,FALSE)&amp;Tabelle7[[#This Row],[EnuRohValue]]</f>
        <v>stcLGT_LOAD_CASE</v>
      </c>
      <c r="F708" s="44">
        <f>COUNTIF(Tabelle7[EnuValue],Tabelle7[[#This Row],[EnuValue]])</f>
        <v>1</v>
      </c>
      <c r="G708" s="44" t="str">
        <f xml:space="preserve"> "  " &amp; Tabelle7[[#This Row],[EnuValue]] &amp; " = " &amp; Tabelle7[[#This Row],[Wert]]</f>
        <v xml:space="preserve">  stcLGT_LOAD_CASE = 2</v>
      </c>
      <c r="H708" s="44" t="str">
        <f>"  If Wert = " &amp; Tabelle7[[#This Row],[EnuValue]] &amp; " then Res = ""." &amp; Tabelle7[[#This Row],[EnuRohValue]] &amp; "."""</f>
        <v xml:space="preserve">  If Wert = stcLGT_LOAD_CASE then Res = ".LOAD_CASE."</v>
      </c>
      <c r="I708" s="44" t="str">
        <f>"  If wert = ""." &amp; Tabelle7[[#This Row],[EnuRohValue]] &amp; "."" Then Res = " &amp; Tabelle7[[#This Row],[EnuValue]]</f>
        <v xml:space="preserve">  If wert = ".LOAD_CASE." Then Res = stcLGT_LOAD_CASE</v>
      </c>
    </row>
    <row r="709" spans="2:9" x14ac:dyDescent="0.25">
      <c r="B709" s="44">
        <v>3</v>
      </c>
      <c r="C709" s="45" t="s">
        <v>1589</v>
      </c>
      <c r="D709" s="44" t="s">
        <v>4247</v>
      </c>
      <c r="E709" s="44" t="str">
        <f>VLOOKUP(Tabelle7[[#This Row],[EnumName]],Enum[[IFC-Name]:[Präfix]],5,FALSE)&amp;Tabelle7[[#This Row],[EnuRohValue]]</f>
        <v>stcLGT_LOAD_COMBINATION_GROUP</v>
      </c>
      <c r="F709" s="44">
        <f>COUNTIF(Tabelle7[EnuValue],Tabelle7[[#This Row],[EnuValue]])</f>
        <v>1</v>
      </c>
      <c r="G709" s="44" t="str">
        <f xml:space="preserve"> "  " &amp; Tabelle7[[#This Row],[EnuValue]] &amp; " = " &amp; Tabelle7[[#This Row],[Wert]]</f>
        <v xml:space="preserve">  stcLGT_LOAD_COMBINATION_GROUP = 3</v>
      </c>
      <c r="H709" s="44" t="str">
        <f>"  If Wert = " &amp; Tabelle7[[#This Row],[EnuValue]] &amp; " then Res = ""." &amp; Tabelle7[[#This Row],[EnuRohValue]] &amp; "."""</f>
        <v xml:space="preserve">  If Wert = stcLGT_LOAD_COMBINATION_GROUP then Res = ".LOAD_COMBINATION_GROUP."</v>
      </c>
      <c r="I709" s="44" t="str">
        <f>"  If wert = ""." &amp; Tabelle7[[#This Row],[EnuRohValue]] &amp; "."" Then Res = " &amp; Tabelle7[[#This Row],[EnuValue]]</f>
        <v xml:space="preserve">  If wert = ".LOAD_COMBINATION_GROUP." Then Res = stcLGT_LOAD_COMBINATION_GROUP</v>
      </c>
    </row>
    <row r="710" spans="2:9" x14ac:dyDescent="0.25">
      <c r="B710" s="44">
        <v>4</v>
      </c>
      <c r="C710" s="45" t="s">
        <v>1589</v>
      </c>
      <c r="D710" s="44" t="s">
        <v>4248</v>
      </c>
      <c r="E710" s="44" t="str">
        <f>VLOOKUP(Tabelle7[[#This Row],[EnumName]],Enum[[IFC-Name]:[Präfix]],5,FALSE)&amp;Tabelle7[[#This Row],[EnuRohValue]]</f>
        <v>stcLGT_LOAD_COMBINATION</v>
      </c>
      <c r="F710" s="44">
        <f>COUNTIF(Tabelle7[EnuValue],Tabelle7[[#This Row],[EnuValue]])</f>
        <v>1</v>
      </c>
      <c r="G710" s="44" t="str">
        <f xml:space="preserve"> "  " &amp; Tabelle7[[#This Row],[EnuValue]] &amp; " = " &amp; Tabelle7[[#This Row],[Wert]]</f>
        <v xml:space="preserve">  stcLGT_LOAD_COMBINATION = 4</v>
      </c>
      <c r="H710" s="44" t="str">
        <f>"  If Wert = " &amp; Tabelle7[[#This Row],[EnuValue]] &amp; " then Res = ""." &amp; Tabelle7[[#This Row],[EnuRohValue]] &amp; "."""</f>
        <v xml:space="preserve">  If Wert = stcLGT_LOAD_COMBINATION then Res = ".LOAD_COMBINATION."</v>
      </c>
      <c r="I710" s="44" t="str">
        <f>"  If wert = ""." &amp; Tabelle7[[#This Row],[EnuRohValue]] &amp; "."" Then Res = " &amp; Tabelle7[[#This Row],[EnuValue]]</f>
        <v xml:space="preserve">  If wert = ".LOAD_COMBINATION." Then Res = stcLGT_LOAD_COMBINATION</v>
      </c>
    </row>
    <row r="711" spans="2:9" x14ac:dyDescent="0.25">
      <c r="B711" s="44">
        <v>5</v>
      </c>
      <c r="C711" s="45" t="s">
        <v>1589</v>
      </c>
      <c r="D711" s="44" t="s">
        <v>3682</v>
      </c>
      <c r="E711" s="44" t="str">
        <f>VLOOKUP(Tabelle7[[#This Row],[EnumName]],Enum[[IFC-Name]:[Präfix]],5,FALSE)&amp;Tabelle7[[#This Row],[EnuRohValue]]</f>
        <v>stcLGT_USERDEFINED</v>
      </c>
      <c r="F711" s="44">
        <f>COUNTIF(Tabelle7[EnuValue],Tabelle7[[#This Row],[EnuValue]])</f>
        <v>1</v>
      </c>
      <c r="G711" s="44" t="str">
        <f xml:space="preserve"> "  " &amp; Tabelle7[[#This Row],[EnuValue]] &amp; " = " &amp; Tabelle7[[#This Row],[Wert]]</f>
        <v xml:space="preserve">  stcLGT_USERDEFINED = 5</v>
      </c>
      <c r="H711" s="44" t="str">
        <f>"  If Wert = " &amp; Tabelle7[[#This Row],[EnuValue]] &amp; " then Res = ""." &amp; Tabelle7[[#This Row],[EnuRohValue]] &amp; "."""</f>
        <v xml:space="preserve">  If Wert = stcLGT_USERDEFINED then Res = ".USERDEFINED."</v>
      </c>
      <c r="I711" s="44" t="str">
        <f>"  If wert = ""." &amp; Tabelle7[[#This Row],[EnuRohValue]] &amp; "."" Then Res = " &amp; Tabelle7[[#This Row],[EnuValue]]</f>
        <v xml:space="preserve">  If wert = ".USERDEFINED." Then Res = stcLGT_USERDEFINED</v>
      </c>
    </row>
    <row r="712" spans="2:9" x14ac:dyDescent="0.25">
      <c r="B712" s="44">
        <v>6</v>
      </c>
      <c r="C712" s="45" t="s">
        <v>1589</v>
      </c>
      <c r="D712" s="44" t="s">
        <v>3683</v>
      </c>
      <c r="E712" s="44" t="str">
        <f>VLOOKUP(Tabelle7[[#This Row],[EnumName]],Enum[[IFC-Name]:[Präfix]],5,FALSE)&amp;Tabelle7[[#This Row],[EnuRohValue]]</f>
        <v>stcLGT_NOTDEFINED</v>
      </c>
      <c r="F712" s="44">
        <f>COUNTIF(Tabelle7[EnuValue],Tabelle7[[#This Row],[EnuValue]])</f>
        <v>1</v>
      </c>
      <c r="G712" s="44" t="str">
        <f xml:space="preserve"> "  " &amp; Tabelle7[[#This Row],[EnuValue]] &amp; " = " &amp; Tabelle7[[#This Row],[Wert]]</f>
        <v xml:space="preserve">  stcLGT_NOTDEFINED = 6</v>
      </c>
      <c r="H712" s="44" t="str">
        <f>"  If Wert = " &amp; Tabelle7[[#This Row],[EnuValue]] &amp; " then Res = ""." &amp; Tabelle7[[#This Row],[EnuRohValue]] &amp; "."""</f>
        <v xml:space="preserve">  If Wert = stcLGT_NOTDEFINED then Res = ".NOTDEFINED."</v>
      </c>
      <c r="I712" s="44" t="str">
        <f>"  If wert = ""." &amp; Tabelle7[[#This Row],[EnuRohValue]] &amp; "."" Then Res = " &amp; Tabelle7[[#This Row],[EnuValue]]</f>
        <v xml:space="preserve">  If wert = ".NOTDEFINED." Then Res = stcLGT_NOTDEFINED</v>
      </c>
    </row>
    <row r="713" spans="2:9" x14ac:dyDescent="0.25">
      <c r="B713" s="44">
        <v>1</v>
      </c>
      <c r="C713" s="45" t="s">
        <v>1590</v>
      </c>
      <c r="D713" s="44" t="s">
        <v>4249</v>
      </c>
      <c r="E713" s="44" t="str">
        <f>VLOOKUP(Tabelle7[[#This Row],[EnumName]],Enum[[IFC-Name]:[Präfix]],5,FALSE)&amp;Tabelle7[[#This Row],[EnuRohValue]]</f>
        <v>cstLO_LOGICALAND</v>
      </c>
      <c r="F713" s="44">
        <f>COUNTIF(Tabelle7[EnuValue],Tabelle7[[#This Row],[EnuValue]])</f>
        <v>1</v>
      </c>
      <c r="G713" s="44" t="str">
        <f xml:space="preserve"> "  " &amp; Tabelle7[[#This Row],[EnuValue]] &amp; " = " &amp; Tabelle7[[#This Row],[Wert]]</f>
        <v xml:space="preserve">  cstLO_LOGICALAND = 1</v>
      </c>
      <c r="H713" s="44" t="str">
        <f>"  If Wert = " &amp; Tabelle7[[#This Row],[EnuValue]] &amp; " then Res = ""." &amp; Tabelle7[[#This Row],[EnuRohValue]] &amp; "."""</f>
        <v xml:space="preserve">  If Wert = cstLO_LOGICALAND then Res = ".LOGICALAND."</v>
      </c>
      <c r="I713" s="44" t="str">
        <f>"  If wert = ""." &amp; Tabelle7[[#This Row],[EnuRohValue]] &amp; "."" Then Res = " &amp; Tabelle7[[#This Row],[EnuValue]]</f>
        <v xml:space="preserve">  If wert = ".LOGICALAND." Then Res = cstLO_LOGICALAND</v>
      </c>
    </row>
    <row r="714" spans="2:9" x14ac:dyDescent="0.25">
      <c r="B714" s="44">
        <v>2</v>
      </c>
      <c r="C714" s="45" t="s">
        <v>1590</v>
      </c>
      <c r="D714" s="44" t="s">
        <v>4250</v>
      </c>
      <c r="E714" s="44" t="str">
        <f>VLOOKUP(Tabelle7[[#This Row],[EnumName]],Enum[[IFC-Name]:[Präfix]],5,FALSE)&amp;Tabelle7[[#This Row],[EnuRohValue]]</f>
        <v>cstLO_LOGICALOR</v>
      </c>
      <c r="F714" s="44">
        <f>COUNTIF(Tabelle7[EnuValue],Tabelle7[[#This Row],[EnuValue]])</f>
        <v>1</v>
      </c>
      <c r="G714" s="44" t="str">
        <f xml:space="preserve"> "  " &amp; Tabelle7[[#This Row],[EnuValue]] &amp; " = " &amp; Tabelle7[[#This Row],[Wert]]</f>
        <v xml:space="preserve">  cstLO_LOGICALOR = 2</v>
      </c>
      <c r="H714" s="44" t="str">
        <f>"  If Wert = " &amp; Tabelle7[[#This Row],[EnuValue]] &amp; " then Res = ""." &amp; Tabelle7[[#This Row],[EnuRohValue]] &amp; "."""</f>
        <v xml:space="preserve">  If Wert = cstLO_LOGICALOR then Res = ".LOGICALOR."</v>
      </c>
      <c r="I714" s="44" t="str">
        <f>"  If wert = ""." &amp; Tabelle7[[#This Row],[EnuRohValue]] &amp; "."" Then Res = " &amp; Tabelle7[[#This Row],[EnuValue]]</f>
        <v xml:space="preserve">  If wert = ".LOGICALOR." Then Res = cstLO_LOGICALOR</v>
      </c>
    </row>
    <row r="715" spans="2:9" x14ac:dyDescent="0.25">
      <c r="B715" s="44">
        <v>1</v>
      </c>
      <c r="C715" s="45" t="s">
        <v>1591</v>
      </c>
      <c r="D715" s="44" t="s">
        <v>4251</v>
      </c>
      <c r="E715" s="44" t="str">
        <f>VLOOKUP(Tabelle7[[#This Row],[EnumName]],Enum[[IFC-Name]:[Präfix]],5,FALSE)&amp;Tabelle7[[#This Row],[EnuRohValue]]</f>
        <v>sbeMT_BRACE</v>
      </c>
      <c r="F715" s="44">
        <f>COUNTIF(Tabelle7[EnuValue],Tabelle7[[#This Row],[EnuValue]])</f>
        <v>1</v>
      </c>
      <c r="G715" s="44" t="str">
        <f xml:space="preserve"> "  " &amp; Tabelle7[[#This Row],[EnuValue]] &amp; " = " &amp; Tabelle7[[#This Row],[Wert]]</f>
        <v xml:space="preserve">  sbeMT_BRACE = 1</v>
      </c>
      <c r="H715" s="44" t="str">
        <f>"  If Wert = " &amp; Tabelle7[[#This Row],[EnuValue]] &amp; " then Res = ""." &amp; Tabelle7[[#This Row],[EnuRohValue]] &amp; "."""</f>
        <v xml:space="preserve">  If Wert = sbeMT_BRACE then Res = ".BRACE."</v>
      </c>
      <c r="I715" s="44" t="str">
        <f>"  If wert = ""." &amp; Tabelle7[[#This Row],[EnuRohValue]] &amp; "."" Then Res = " &amp; Tabelle7[[#This Row],[EnuValue]]</f>
        <v xml:space="preserve">  If wert = ".BRACE." Then Res = sbeMT_BRACE</v>
      </c>
    </row>
    <row r="716" spans="2:9" x14ac:dyDescent="0.25">
      <c r="B716" s="44">
        <v>2</v>
      </c>
      <c r="C716" s="45" t="s">
        <v>1591</v>
      </c>
      <c r="D716" s="44" t="s">
        <v>4252</v>
      </c>
      <c r="E716" s="44" t="str">
        <f>VLOOKUP(Tabelle7[[#This Row],[EnumName]],Enum[[IFC-Name]:[Präfix]],5,FALSE)&amp;Tabelle7[[#This Row],[EnuRohValue]]</f>
        <v>sbeMT_CHORD</v>
      </c>
      <c r="F716" s="44">
        <f>COUNTIF(Tabelle7[EnuValue],Tabelle7[[#This Row],[EnuValue]])</f>
        <v>1</v>
      </c>
      <c r="G716" s="44" t="str">
        <f xml:space="preserve"> "  " &amp; Tabelle7[[#This Row],[EnuValue]] &amp; " = " &amp; Tabelle7[[#This Row],[Wert]]</f>
        <v xml:space="preserve">  sbeMT_CHORD = 2</v>
      </c>
      <c r="H716" s="44" t="str">
        <f>"  If Wert = " &amp; Tabelle7[[#This Row],[EnuValue]] &amp; " then Res = ""." &amp; Tabelle7[[#This Row],[EnuRohValue]] &amp; "."""</f>
        <v xml:space="preserve">  If Wert = sbeMT_CHORD then Res = ".CHORD."</v>
      </c>
      <c r="I716" s="44" t="str">
        <f>"  If wert = ""." &amp; Tabelle7[[#This Row],[EnuRohValue]] &amp; "."" Then Res = " &amp; Tabelle7[[#This Row],[EnuValue]]</f>
        <v xml:space="preserve">  If wert = ".CHORD." Then Res = sbeMT_CHORD</v>
      </c>
    </row>
    <row r="717" spans="2:9" x14ac:dyDescent="0.25">
      <c r="B717" s="44">
        <v>3</v>
      </c>
      <c r="C717" s="45" t="s">
        <v>1591</v>
      </c>
      <c r="D717" s="44" t="s">
        <v>4253</v>
      </c>
      <c r="E717" s="44" t="str">
        <f>VLOOKUP(Tabelle7[[#This Row],[EnumName]],Enum[[IFC-Name]:[Präfix]],5,FALSE)&amp;Tabelle7[[#This Row],[EnuRohValue]]</f>
        <v>sbeMT_COLLAR</v>
      </c>
      <c r="F717" s="44">
        <f>COUNTIF(Tabelle7[EnuValue],Tabelle7[[#This Row],[EnuValue]])</f>
        <v>1</v>
      </c>
      <c r="G717" s="44" t="str">
        <f xml:space="preserve"> "  " &amp; Tabelle7[[#This Row],[EnuValue]] &amp; " = " &amp; Tabelle7[[#This Row],[Wert]]</f>
        <v xml:space="preserve">  sbeMT_COLLAR = 3</v>
      </c>
      <c r="H717" s="44" t="str">
        <f>"  If Wert = " &amp; Tabelle7[[#This Row],[EnuValue]] &amp; " then Res = ""." &amp; Tabelle7[[#This Row],[EnuRohValue]] &amp; "."""</f>
        <v xml:space="preserve">  If Wert = sbeMT_COLLAR then Res = ".COLLAR."</v>
      </c>
      <c r="I717" s="44" t="str">
        <f>"  If wert = ""." &amp; Tabelle7[[#This Row],[EnuRohValue]] &amp; "."" Then Res = " &amp; Tabelle7[[#This Row],[EnuValue]]</f>
        <v xml:space="preserve">  If wert = ".COLLAR." Then Res = sbeMT_COLLAR</v>
      </c>
    </row>
    <row r="718" spans="2:9" x14ac:dyDescent="0.25">
      <c r="B718" s="44">
        <v>4</v>
      </c>
      <c r="C718" s="45" t="s">
        <v>1591</v>
      </c>
      <c r="D718" s="44" t="s">
        <v>4254</v>
      </c>
      <c r="E718" s="44" t="str">
        <f>VLOOKUP(Tabelle7[[#This Row],[EnumName]],Enum[[IFC-Name]:[Präfix]],5,FALSE)&amp;Tabelle7[[#This Row],[EnuRohValue]]</f>
        <v>sbeMT_MEMBER</v>
      </c>
      <c r="F718" s="44">
        <f>COUNTIF(Tabelle7[EnuValue],Tabelle7[[#This Row],[EnuValue]])</f>
        <v>1</v>
      </c>
      <c r="G718" s="44" t="str">
        <f xml:space="preserve"> "  " &amp; Tabelle7[[#This Row],[EnuValue]] &amp; " = " &amp; Tabelle7[[#This Row],[Wert]]</f>
        <v xml:space="preserve">  sbeMT_MEMBER = 4</v>
      </c>
      <c r="H718" s="44" t="str">
        <f>"  If Wert = " &amp; Tabelle7[[#This Row],[EnuValue]] &amp; " then Res = ""." &amp; Tabelle7[[#This Row],[EnuRohValue]] &amp; "."""</f>
        <v xml:space="preserve">  If Wert = sbeMT_MEMBER then Res = ".MEMBER."</v>
      </c>
      <c r="I718" s="44" t="str">
        <f>"  If wert = ""." &amp; Tabelle7[[#This Row],[EnuRohValue]] &amp; "."" Then Res = " &amp; Tabelle7[[#This Row],[EnuValue]]</f>
        <v xml:space="preserve">  If wert = ".MEMBER." Then Res = sbeMT_MEMBER</v>
      </c>
    </row>
    <row r="719" spans="2:9" x14ac:dyDescent="0.25">
      <c r="B719" s="44">
        <v>5</v>
      </c>
      <c r="C719" s="45" t="s">
        <v>1591</v>
      </c>
      <c r="D719" s="44" t="s">
        <v>4255</v>
      </c>
      <c r="E719" s="44" t="str">
        <f>VLOOKUP(Tabelle7[[#This Row],[EnumName]],Enum[[IFC-Name]:[Präfix]],5,FALSE)&amp;Tabelle7[[#This Row],[EnuRohValue]]</f>
        <v>sbeMT_MULLION</v>
      </c>
      <c r="F719" s="44">
        <f>COUNTIF(Tabelle7[EnuValue],Tabelle7[[#This Row],[EnuValue]])</f>
        <v>1</v>
      </c>
      <c r="G719" s="44" t="str">
        <f xml:space="preserve"> "  " &amp; Tabelle7[[#This Row],[EnuValue]] &amp; " = " &amp; Tabelle7[[#This Row],[Wert]]</f>
        <v xml:space="preserve">  sbeMT_MULLION = 5</v>
      </c>
      <c r="H719" s="44" t="str">
        <f>"  If Wert = " &amp; Tabelle7[[#This Row],[EnuValue]] &amp; " then Res = ""." &amp; Tabelle7[[#This Row],[EnuRohValue]] &amp; "."""</f>
        <v xml:space="preserve">  If Wert = sbeMT_MULLION then Res = ".MULLION."</v>
      </c>
      <c r="I719" s="44" t="str">
        <f>"  If wert = ""." &amp; Tabelle7[[#This Row],[EnuRohValue]] &amp; "."" Then Res = " &amp; Tabelle7[[#This Row],[EnuValue]]</f>
        <v xml:space="preserve">  If wert = ".MULLION." Then Res = sbeMT_MULLION</v>
      </c>
    </row>
    <row r="720" spans="2:9" x14ac:dyDescent="0.25">
      <c r="B720" s="44">
        <v>6</v>
      </c>
      <c r="C720" s="45" t="s">
        <v>1591</v>
      </c>
      <c r="D720" s="44" t="s">
        <v>4207</v>
      </c>
      <c r="E720" s="44" t="str">
        <f>VLOOKUP(Tabelle7[[#This Row],[EnumName]],Enum[[IFC-Name]:[Präfix]],5,FALSE)&amp;Tabelle7[[#This Row],[EnuRohValue]]</f>
        <v>sbeMT_PLATE</v>
      </c>
      <c r="F720" s="44">
        <f>COUNTIF(Tabelle7[EnuValue],Tabelle7[[#This Row],[EnuValue]])</f>
        <v>1</v>
      </c>
      <c r="G720" s="44" t="str">
        <f xml:space="preserve"> "  " &amp; Tabelle7[[#This Row],[EnuValue]] &amp; " = " &amp; Tabelle7[[#This Row],[Wert]]</f>
        <v xml:space="preserve">  sbeMT_PLATE = 6</v>
      </c>
      <c r="H720" s="44" t="str">
        <f>"  If Wert = " &amp; Tabelle7[[#This Row],[EnuValue]] &amp; " then Res = ""." &amp; Tabelle7[[#This Row],[EnuRohValue]] &amp; "."""</f>
        <v xml:space="preserve">  If Wert = sbeMT_PLATE then Res = ".PLATE."</v>
      </c>
      <c r="I720" s="44" t="str">
        <f>"  If wert = ""." &amp; Tabelle7[[#This Row],[EnuRohValue]] &amp; "."" Then Res = " &amp; Tabelle7[[#This Row],[EnuValue]]</f>
        <v xml:space="preserve">  If wert = ".PLATE." Then Res = sbeMT_PLATE</v>
      </c>
    </row>
    <row r="721" spans="2:9" x14ac:dyDescent="0.25">
      <c r="B721" s="44">
        <v>7</v>
      </c>
      <c r="C721" s="45" t="s">
        <v>1591</v>
      </c>
      <c r="D721" s="44" t="s">
        <v>4256</v>
      </c>
      <c r="E721" s="44" t="str">
        <f>VLOOKUP(Tabelle7[[#This Row],[EnumName]],Enum[[IFC-Name]:[Präfix]],5,FALSE)&amp;Tabelle7[[#This Row],[EnuRohValue]]</f>
        <v>sbeMT_POST</v>
      </c>
      <c r="F721" s="44">
        <f>COUNTIF(Tabelle7[EnuValue],Tabelle7[[#This Row],[EnuValue]])</f>
        <v>1</v>
      </c>
      <c r="G721" s="44" t="str">
        <f xml:space="preserve"> "  " &amp; Tabelle7[[#This Row],[EnuValue]] &amp; " = " &amp; Tabelle7[[#This Row],[Wert]]</f>
        <v xml:space="preserve">  sbeMT_POST = 7</v>
      </c>
      <c r="H721" s="44" t="str">
        <f>"  If Wert = " &amp; Tabelle7[[#This Row],[EnuValue]] &amp; " then Res = ""." &amp; Tabelle7[[#This Row],[EnuRohValue]] &amp; "."""</f>
        <v xml:space="preserve">  If Wert = sbeMT_POST then Res = ".POST."</v>
      </c>
      <c r="I721" s="44" t="str">
        <f>"  If wert = ""." &amp; Tabelle7[[#This Row],[EnuRohValue]] &amp; "."" Then Res = " &amp; Tabelle7[[#This Row],[EnuValue]]</f>
        <v xml:space="preserve">  If wert = ".POST." Then Res = sbeMT_POST</v>
      </c>
    </row>
    <row r="722" spans="2:9" x14ac:dyDescent="0.25">
      <c r="B722" s="44">
        <v>8</v>
      </c>
      <c r="C722" s="45" t="s">
        <v>1591</v>
      </c>
      <c r="D722" s="44" t="s">
        <v>4257</v>
      </c>
      <c r="E722" s="44" t="str">
        <f>VLOOKUP(Tabelle7[[#This Row],[EnumName]],Enum[[IFC-Name]:[Präfix]],5,FALSE)&amp;Tabelle7[[#This Row],[EnuRohValue]]</f>
        <v>sbeMT_PURLIN</v>
      </c>
      <c r="F722" s="44">
        <f>COUNTIF(Tabelle7[EnuValue],Tabelle7[[#This Row],[EnuValue]])</f>
        <v>1</v>
      </c>
      <c r="G722" s="44" t="str">
        <f xml:space="preserve"> "  " &amp; Tabelle7[[#This Row],[EnuValue]] &amp; " = " &amp; Tabelle7[[#This Row],[Wert]]</f>
        <v xml:space="preserve">  sbeMT_PURLIN = 8</v>
      </c>
      <c r="H722" s="44" t="str">
        <f>"  If Wert = " &amp; Tabelle7[[#This Row],[EnuValue]] &amp; " then Res = ""." &amp; Tabelle7[[#This Row],[EnuRohValue]] &amp; "."""</f>
        <v xml:space="preserve">  If Wert = sbeMT_PURLIN then Res = ".PURLIN."</v>
      </c>
      <c r="I722" s="44" t="str">
        <f>"  If wert = ""." &amp; Tabelle7[[#This Row],[EnuRohValue]] &amp; "."" Then Res = " &amp; Tabelle7[[#This Row],[EnuValue]]</f>
        <v xml:space="preserve">  If wert = ".PURLIN." Then Res = sbeMT_PURLIN</v>
      </c>
    </row>
    <row r="723" spans="2:9" x14ac:dyDescent="0.25">
      <c r="B723" s="44">
        <v>9</v>
      </c>
      <c r="C723" s="45" t="s">
        <v>1591</v>
      </c>
      <c r="D723" s="44" t="s">
        <v>4258</v>
      </c>
      <c r="E723" s="44" t="str">
        <f>VLOOKUP(Tabelle7[[#This Row],[EnumName]],Enum[[IFC-Name]:[Präfix]],5,FALSE)&amp;Tabelle7[[#This Row],[EnuRohValue]]</f>
        <v>sbeMT_RAFTER</v>
      </c>
      <c r="F723" s="44">
        <f>COUNTIF(Tabelle7[EnuValue],Tabelle7[[#This Row],[EnuValue]])</f>
        <v>1</v>
      </c>
      <c r="G723" s="44" t="str">
        <f xml:space="preserve"> "  " &amp; Tabelle7[[#This Row],[EnuValue]] &amp; " = " &amp; Tabelle7[[#This Row],[Wert]]</f>
        <v xml:space="preserve">  sbeMT_RAFTER = 9</v>
      </c>
      <c r="H723" s="44" t="str">
        <f>"  If Wert = " &amp; Tabelle7[[#This Row],[EnuValue]] &amp; " then Res = ""." &amp; Tabelle7[[#This Row],[EnuRohValue]] &amp; "."""</f>
        <v xml:space="preserve">  If Wert = sbeMT_RAFTER then Res = ".RAFTER."</v>
      </c>
      <c r="I723" s="44" t="str">
        <f>"  If wert = ""." &amp; Tabelle7[[#This Row],[EnuRohValue]] &amp; "."" Then Res = " &amp; Tabelle7[[#This Row],[EnuValue]]</f>
        <v xml:space="preserve">  If wert = ".RAFTER." Then Res = sbeMT_RAFTER</v>
      </c>
    </row>
    <row r="724" spans="2:9" x14ac:dyDescent="0.25">
      <c r="B724" s="44">
        <v>10</v>
      </c>
      <c r="C724" s="45" t="s">
        <v>1591</v>
      </c>
      <c r="D724" s="44" t="s">
        <v>4259</v>
      </c>
      <c r="E724" s="44" t="str">
        <f>VLOOKUP(Tabelle7[[#This Row],[EnumName]],Enum[[IFC-Name]:[Präfix]],5,FALSE)&amp;Tabelle7[[#This Row],[EnuRohValue]]</f>
        <v>sbeMT_STRINGER</v>
      </c>
      <c r="F724" s="44">
        <f>COUNTIF(Tabelle7[EnuValue],Tabelle7[[#This Row],[EnuValue]])</f>
        <v>1</v>
      </c>
      <c r="G724" s="44" t="str">
        <f xml:space="preserve"> "  " &amp; Tabelle7[[#This Row],[EnuValue]] &amp; " = " &amp; Tabelle7[[#This Row],[Wert]]</f>
        <v xml:space="preserve">  sbeMT_STRINGER = 10</v>
      </c>
      <c r="H724" s="44" t="str">
        <f>"  If Wert = " &amp; Tabelle7[[#This Row],[EnuValue]] &amp; " then Res = ""." &amp; Tabelle7[[#This Row],[EnuRohValue]] &amp; "."""</f>
        <v xml:space="preserve">  If Wert = sbeMT_STRINGER then Res = ".STRINGER."</v>
      </c>
      <c r="I724" s="44" t="str">
        <f>"  If wert = ""." &amp; Tabelle7[[#This Row],[EnuRohValue]] &amp; "."" Then Res = " &amp; Tabelle7[[#This Row],[EnuValue]]</f>
        <v xml:space="preserve">  If wert = ".STRINGER." Then Res = sbeMT_STRINGER</v>
      </c>
    </row>
    <row r="725" spans="2:9" x14ac:dyDescent="0.25">
      <c r="B725" s="44">
        <v>11</v>
      </c>
      <c r="C725" s="45" t="s">
        <v>1591</v>
      </c>
      <c r="D725" s="44" t="s">
        <v>4260</v>
      </c>
      <c r="E725" s="44" t="str">
        <f>VLOOKUP(Tabelle7[[#This Row],[EnumName]],Enum[[IFC-Name]:[Präfix]],5,FALSE)&amp;Tabelle7[[#This Row],[EnuRohValue]]</f>
        <v>sbeMT_STRUT</v>
      </c>
      <c r="F725" s="44">
        <f>COUNTIF(Tabelle7[EnuValue],Tabelle7[[#This Row],[EnuValue]])</f>
        <v>1</v>
      </c>
      <c r="G725" s="44" t="str">
        <f xml:space="preserve"> "  " &amp; Tabelle7[[#This Row],[EnuValue]] &amp; " = " &amp; Tabelle7[[#This Row],[Wert]]</f>
        <v xml:space="preserve">  sbeMT_STRUT = 11</v>
      </c>
      <c r="H725" s="44" t="str">
        <f>"  If Wert = " &amp; Tabelle7[[#This Row],[EnuValue]] &amp; " then Res = ""." &amp; Tabelle7[[#This Row],[EnuRohValue]] &amp; "."""</f>
        <v xml:space="preserve">  If Wert = sbeMT_STRUT then Res = ".STRUT."</v>
      </c>
      <c r="I725" s="44" t="str">
        <f>"  If wert = ""." &amp; Tabelle7[[#This Row],[EnuRohValue]] &amp; "."" Then Res = " &amp; Tabelle7[[#This Row],[EnuValue]]</f>
        <v xml:space="preserve">  If wert = ".STRUT." Then Res = sbeMT_STRUT</v>
      </c>
    </row>
    <row r="726" spans="2:9" x14ac:dyDescent="0.25">
      <c r="B726" s="44">
        <v>12</v>
      </c>
      <c r="C726" s="45" t="s">
        <v>1591</v>
      </c>
      <c r="D726" s="44" t="s">
        <v>4261</v>
      </c>
      <c r="E726" s="44" t="str">
        <f>VLOOKUP(Tabelle7[[#This Row],[EnumName]],Enum[[IFC-Name]:[Präfix]],5,FALSE)&amp;Tabelle7[[#This Row],[EnuRohValue]]</f>
        <v>sbeMT_STUD</v>
      </c>
      <c r="F726" s="44">
        <f>COUNTIF(Tabelle7[EnuValue],Tabelle7[[#This Row],[EnuValue]])</f>
        <v>1</v>
      </c>
      <c r="G726" s="44" t="str">
        <f xml:space="preserve"> "  " &amp; Tabelle7[[#This Row],[EnuValue]] &amp; " = " &amp; Tabelle7[[#This Row],[Wert]]</f>
        <v xml:space="preserve">  sbeMT_STUD = 12</v>
      </c>
      <c r="H726" s="44" t="str">
        <f>"  If Wert = " &amp; Tabelle7[[#This Row],[EnuValue]] &amp; " then Res = ""." &amp; Tabelle7[[#This Row],[EnuRohValue]] &amp; "."""</f>
        <v xml:space="preserve">  If Wert = sbeMT_STUD then Res = ".STUD."</v>
      </c>
      <c r="I726" s="44" t="str">
        <f>"  If wert = ""." &amp; Tabelle7[[#This Row],[EnuRohValue]] &amp; "."" Then Res = " &amp; Tabelle7[[#This Row],[EnuValue]]</f>
        <v xml:space="preserve">  If wert = ".STUD." Then Res = sbeMT_STUD</v>
      </c>
    </row>
    <row r="727" spans="2:9" x14ac:dyDescent="0.25">
      <c r="B727" s="44">
        <v>13</v>
      </c>
      <c r="C727" s="45" t="s">
        <v>1591</v>
      </c>
      <c r="D727" s="44" t="s">
        <v>3682</v>
      </c>
      <c r="E727" s="44" t="str">
        <f>VLOOKUP(Tabelle7[[#This Row],[EnumName]],Enum[[IFC-Name]:[Präfix]],5,FALSE)&amp;Tabelle7[[#This Row],[EnuRohValue]]</f>
        <v>sbeMT_USERDEFINED</v>
      </c>
      <c r="F727" s="44">
        <f>COUNTIF(Tabelle7[EnuValue],Tabelle7[[#This Row],[EnuValue]])</f>
        <v>1</v>
      </c>
      <c r="G727" s="44" t="str">
        <f xml:space="preserve"> "  " &amp; Tabelle7[[#This Row],[EnuValue]] &amp; " = " &amp; Tabelle7[[#This Row],[Wert]]</f>
        <v xml:space="preserve">  sbeMT_USERDEFINED = 13</v>
      </c>
      <c r="H727" s="44" t="str">
        <f>"  If Wert = " &amp; Tabelle7[[#This Row],[EnuValue]] &amp; " then Res = ""." &amp; Tabelle7[[#This Row],[EnuRohValue]] &amp; "."""</f>
        <v xml:space="preserve">  If Wert = sbeMT_USERDEFINED then Res = ".USERDEFINED."</v>
      </c>
      <c r="I727" s="44" t="str">
        <f>"  If wert = ""." &amp; Tabelle7[[#This Row],[EnuRohValue]] &amp; "."" Then Res = " &amp; Tabelle7[[#This Row],[EnuValue]]</f>
        <v xml:space="preserve">  If wert = ".USERDEFINED." Then Res = sbeMT_USERDEFINED</v>
      </c>
    </row>
    <row r="728" spans="2:9" x14ac:dyDescent="0.25">
      <c r="B728" s="44">
        <v>14</v>
      </c>
      <c r="C728" s="45" t="s">
        <v>1591</v>
      </c>
      <c r="D728" s="44" t="s">
        <v>3683</v>
      </c>
      <c r="E728" s="44" t="str">
        <f>VLOOKUP(Tabelle7[[#This Row],[EnumName]],Enum[[IFC-Name]:[Präfix]],5,FALSE)&amp;Tabelle7[[#This Row],[EnuRohValue]]</f>
        <v>sbeMT_NOTDEFINED</v>
      </c>
      <c r="F728" s="44">
        <f>COUNTIF(Tabelle7[EnuValue],Tabelle7[[#This Row],[EnuValue]])</f>
        <v>1</v>
      </c>
      <c r="G728" s="44" t="str">
        <f xml:space="preserve"> "  " &amp; Tabelle7[[#This Row],[EnuValue]] &amp; " = " &amp; Tabelle7[[#This Row],[Wert]]</f>
        <v xml:space="preserve">  sbeMT_NOTDEFINED = 14</v>
      </c>
      <c r="H728" s="44" t="str">
        <f>"  If Wert = " &amp; Tabelle7[[#This Row],[EnuValue]] &amp; " then Res = ""." &amp; Tabelle7[[#This Row],[EnuRohValue]] &amp; "."""</f>
        <v xml:space="preserve">  If Wert = sbeMT_NOTDEFINED then Res = ".NOTDEFINED."</v>
      </c>
      <c r="I728" s="44" t="str">
        <f>"  If wert = ""." &amp; Tabelle7[[#This Row],[EnuRohValue]] &amp; "."" Then Res = " &amp; Tabelle7[[#This Row],[EnuValue]]</f>
        <v xml:space="preserve">  If wert = ".NOTDEFINED." Then Res = sbeMT_NOTDEFINED</v>
      </c>
    </row>
    <row r="729" spans="2:9" x14ac:dyDescent="0.25">
      <c r="B729" s="44">
        <v>1</v>
      </c>
      <c r="C729" s="45" t="s">
        <v>1592</v>
      </c>
      <c r="D729" s="44" t="s">
        <v>4262</v>
      </c>
      <c r="E729" s="44" t="str">
        <f>VLOOKUP(Tabelle7[[#This Row],[EnumName]],Enum[[IFC-Name]:[Präfix]],5,FALSE)&amp;Tabelle7[[#This Row],[EnuRohValue]]</f>
        <v>eleMCT_BELTDRIVE</v>
      </c>
      <c r="F729" s="44">
        <f>COUNTIF(Tabelle7[EnuValue],Tabelle7[[#This Row],[EnuValue]])</f>
        <v>1</v>
      </c>
      <c r="G729" s="44" t="str">
        <f xml:space="preserve"> "  " &amp; Tabelle7[[#This Row],[EnuValue]] &amp; " = " &amp; Tabelle7[[#This Row],[Wert]]</f>
        <v xml:space="preserve">  eleMCT_BELTDRIVE = 1</v>
      </c>
      <c r="H729" s="44" t="str">
        <f>"  If Wert = " &amp; Tabelle7[[#This Row],[EnuValue]] &amp; " then Res = ""." &amp; Tabelle7[[#This Row],[EnuRohValue]] &amp; "."""</f>
        <v xml:space="preserve">  If Wert = eleMCT_BELTDRIVE then Res = ".BELTDRIVE."</v>
      </c>
      <c r="I729" s="44" t="str">
        <f>"  If wert = ""." &amp; Tabelle7[[#This Row],[EnuRohValue]] &amp; "."" Then Res = " &amp; Tabelle7[[#This Row],[EnuValue]]</f>
        <v xml:space="preserve">  If wert = ".BELTDRIVE." Then Res = eleMCT_BELTDRIVE</v>
      </c>
    </row>
    <row r="730" spans="2:9" x14ac:dyDescent="0.25">
      <c r="B730" s="44">
        <v>2</v>
      </c>
      <c r="C730" s="45" t="s">
        <v>1592</v>
      </c>
      <c r="D730" s="44" t="s">
        <v>4263</v>
      </c>
      <c r="E730" s="44" t="str">
        <f>VLOOKUP(Tabelle7[[#This Row],[EnumName]],Enum[[IFC-Name]:[Präfix]],5,FALSE)&amp;Tabelle7[[#This Row],[EnuRohValue]]</f>
        <v>eleMCT_COUPLING</v>
      </c>
      <c r="F730" s="44">
        <f>COUNTIF(Tabelle7[EnuValue],Tabelle7[[#This Row],[EnuValue]])</f>
        <v>1</v>
      </c>
      <c r="G730" s="44" t="str">
        <f xml:space="preserve"> "  " &amp; Tabelle7[[#This Row],[EnuValue]] &amp; " = " &amp; Tabelle7[[#This Row],[Wert]]</f>
        <v xml:space="preserve">  eleMCT_COUPLING = 2</v>
      </c>
      <c r="H730" s="44" t="str">
        <f>"  If Wert = " &amp; Tabelle7[[#This Row],[EnuValue]] &amp; " then Res = ""." &amp; Tabelle7[[#This Row],[EnuRohValue]] &amp; "."""</f>
        <v xml:space="preserve">  If Wert = eleMCT_COUPLING then Res = ".COUPLING."</v>
      </c>
      <c r="I730" s="44" t="str">
        <f>"  If wert = ""." &amp; Tabelle7[[#This Row],[EnuRohValue]] &amp; "."" Then Res = " &amp; Tabelle7[[#This Row],[EnuValue]]</f>
        <v xml:space="preserve">  If wert = ".COUPLING." Then Res = eleMCT_COUPLING</v>
      </c>
    </row>
    <row r="731" spans="2:9" x14ac:dyDescent="0.25">
      <c r="B731" s="44">
        <v>3</v>
      </c>
      <c r="C731" s="45" t="s">
        <v>1592</v>
      </c>
      <c r="D731" s="44" t="s">
        <v>4264</v>
      </c>
      <c r="E731" s="44" t="str">
        <f>VLOOKUP(Tabelle7[[#This Row],[EnumName]],Enum[[IFC-Name]:[Präfix]],5,FALSE)&amp;Tabelle7[[#This Row],[EnuRohValue]]</f>
        <v>eleMCT_DIRECTDRIVE</v>
      </c>
      <c r="F731" s="44">
        <f>COUNTIF(Tabelle7[EnuValue],Tabelle7[[#This Row],[EnuValue]])</f>
        <v>1</v>
      </c>
      <c r="G731" s="44" t="str">
        <f xml:space="preserve"> "  " &amp; Tabelle7[[#This Row],[EnuValue]] &amp; " = " &amp; Tabelle7[[#This Row],[Wert]]</f>
        <v xml:space="preserve">  eleMCT_DIRECTDRIVE = 3</v>
      </c>
      <c r="H731" s="44" t="str">
        <f>"  If Wert = " &amp; Tabelle7[[#This Row],[EnuValue]] &amp; " then Res = ""." &amp; Tabelle7[[#This Row],[EnuRohValue]] &amp; "."""</f>
        <v xml:space="preserve">  If Wert = eleMCT_DIRECTDRIVE then Res = ".DIRECTDRIVE."</v>
      </c>
      <c r="I731" s="44" t="str">
        <f>"  If wert = ""." &amp; Tabelle7[[#This Row],[EnuRohValue]] &amp; "."" Then Res = " &amp; Tabelle7[[#This Row],[EnuValue]]</f>
        <v xml:space="preserve">  If wert = ".DIRECTDRIVE." Then Res = eleMCT_DIRECTDRIVE</v>
      </c>
    </row>
    <row r="732" spans="2:9" x14ac:dyDescent="0.25">
      <c r="B732" s="44">
        <v>4</v>
      </c>
      <c r="C732" s="45" t="s">
        <v>1592</v>
      </c>
      <c r="D732" s="44" t="s">
        <v>3682</v>
      </c>
      <c r="E732" s="44" t="str">
        <f>VLOOKUP(Tabelle7[[#This Row],[EnumName]],Enum[[IFC-Name]:[Präfix]],5,FALSE)&amp;Tabelle7[[#This Row],[EnuRohValue]]</f>
        <v>eleMCT_USERDEFINED</v>
      </c>
      <c r="F732" s="44">
        <f>COUNTIF(Tabelle7[EnuValue],Tabelle7[[#This Row],[EnuValue]])</f>
        <v>1</v>
      </c>
      <c r="G732" s="44" t="str">
        <f xml:space="preserve"> "  " &amp; Tabelle7[[#This Row],[EnuValue]] &amp; " = " &amp; Tabelle7[[#This Row],[Wert]]</f>
        <v xml:space="preserve">  eleMCT_USERDEFINED = 4</v>
      </c>
      <c r="H732" s="44" t="str">
        <f>"  If Wert = " &amp; Tabelle7[[#This Row],[EnuValue]] &amp; " then Res = ""." &amp; Tabelle7[[#This Row],[EnuRohValue]] &amp; "."""</f>
        <v xml:space="preserve">  If Wert = eleMCT_USERDEFINED then Res = ".USERDEFINED."</v>
      </c>
      <c r="I732" s="44" t="str">
        <f>"  If wert = ""." &amp; Tabelle7[[#This Row],[EnuRohValue]] &amp; "."" Then Res = " &amp; Tabelle7[[#This Row],[EnuValue]]</f>
        <v xml:space="preserve">  If wert = ".USERDEFINED." Then Res = eleMCT_USERDEFINED</v>
      </c>
    </row>
    <row r="733" spans="2:9" x14ac:dyDescent="0.25">
      <c r="B733" s="44">
        <v>5</v>
      </c>
      <c r="C733" s="45" t="s">
        <v>1592</v>
      </c>
      <c r="D733" s="44" t="s">
        <v>3683</v>
      </c>
      <c r="E733" s="44" t="str">
        <f>VLOOKUP(Tabelle7[[#This Row],[EnumName]],Enum[[IFC-Name]:[Präfix]],5,FALSE)&amp;Tabelle7[[#This Row],[EnuRohValue]]</f>
        <v>eleMCT_NOTDEFINED</v>
      </c>
      <c r="F733" s="44">
        <f>COUNTIF(Tabelle7[EnuValue],Tabelle7[[#This Row],[EnuValue]])</f>
        <v>1</v>
      </c>
      <c r="G733" s="44" t="str">
        <f xml:space="preserve"> "  " &amp; Tabelle7[[#This Row],[EnuValue]] &amp; " = " &amp; Tabelle7[[#This Row],[Wert]]</f>
        <v xml:space="preserve">  eleMCT_NOTDEFINED = 5</v>
      </c>
      <c r="H733" s="44" t="str">
        <f>"  If Wert = " &amp; Tabelle7[[#This Row],[EnuValue]] &amp; " then Res = ""." &amp; Tabelle7[[#This Row],[EnuRohValue]] &amp; "."""</f>
        <v xml:space="preserve">  If Wert = eleMCT_NOTDEFINED then Res = ".NOTDEFINED."</v>
      </c>
      <c r="I733" s="44" t="str">
        <f>"  If wert = ""." &amp; Tabelle7[[#This Row],[EnuRohValue]] &amp; "."" Then Res = " &amp; Tabelle7[[#This Row],[EnuValue]]</f>
        <v xml:space="preserve">  If wert = ".NOTDEFINED." Then Res = eleMCT_NOTDEFINED</v>
      </c>
    </row>
    <row r="734" spans="2:9" x14ac:dyDescent="0.25">
      <c r="B734" s="44">
        <v>1</v>
      </c>
      <c r="C734" s="45" t="s">
        <v>1593</v>
      </c>
      <c r="D734" s="44" t="s">
        <v>4265</v>
      </c>
      <c r="E734" s="44" t="str">
        <f>VLOOKUP(Tabelle7[[#This Row],[EnumName]],Enum[[IFC-Name]:[Präfix]],5,FALSE)&amp;Tabelle7[[#This Row],[EnuRohValue]]</f>
        <v>repNS_NULL</v>
      </c>
      <c r="F734" s="44">
        <f>COUNTIF(Tabelle7[EnuValue],Tabelle7[[#This Row],[EnuValue]])</f>
        <v>1</v>
      </c>
      <c r="G734" s="44" t="str">
        <f xml:space="preserve"> "  " &amp; Tabelle7[[#This Row],[EnuValue]] &amp; " = " &amp; Tabelle7[[#This Row],[Wert]]</f>
        <v xml:space="preserve">  repNS_NULL = 1</v>
      </c>
      <c r="H734" s="44" t="str">
        <f>"  If Wert = " &amp; Tabelle7[[#This Row],[EnuValue]] &amp; " then Res = ""." &amp; Tabelle7[[#This Row],[EnuRohValue]] &amp; "."""</f>
        <v xml:space="preserve">  If Wert = repNS_NULL then Res = ".NULL."</v>
      </c>
      <c r="I734" s="44" t="str">
        <f>"  If wert = ""." &amp; Tabelle7[[#This Row],[EnuRohValue]] &amp; "."" Then Res = " &amp; Tabelle7[[#This Row],[EnuValue]]</f>
        <v xml:space="preserve">  If wert = ".NULL." Then Res = repNS_NULL</v>
      </c>
    </row>
    <row r="735" spans="2:9" x14ac:dyDescent="0.25">
      <c r="B735" s="44">
        <v>1</v>
      </c>
      <c r="C735" s="45" t="s">
        <v>1594</v>
      </c>
      <c r="D735" s="44" t="s">
        <v>4266</v>
      </c>
      <c r="E735" s="44" t="str">
        <f>VLOOKUP(Tabelle7[[#This Row],[EnumName]],Enum[[IFC-Name]:[Präfix]],5,FALSE)&amp;Tabelle7[[#This Row],[EnuRohValue]]</f>
        <v>krnOT_PRODUCT</v>
      </c>
      <c r="F735" s="44">
        <f>COUNTIF(Tabelle7[EnuValue],Tabelle7[[#This Row],[EnuValue]])</f>
        <v>1</v>
      </c>
      <c r="G735" s="44" t="str">
        <f xml:space="preserve"> "  " &amp; Tabelle7[[#This Row],[EnuValue]] &amp; " = " &amp; Tabelle7[[#This Row],[Wert]]</f>
        <v xml:space="preserve">  krnOT_PRODUCT = 1</v>
      </c>
      <c r="H735" s="44" t="str">
        <f>"  If Wert = " &amp; Tabelle7[[#This Row],[EnuValue]] &amp; " then Res = ""." &amp; Tabelle7[[#This Row],[EnuRohValue]] &amp; "."""</f>
        <v xml:space="preserve">  If Wert = krnOT_PRODUCT then Res = ".PRODUCT."</v>
      </c>
      <c r="I735" s="44" t="str">
        <f>"  If wert = ""." &amp; Tabelle7[[#This Row],[EnuRohValue]] &amp; "."" Then Res = " &amp; Tabelle7[[#This Row],[EnuValue]]</f>
        <v xml:space="preserve">  If wert = ".PRODUCT." Then Res = krnOT_PRODUCT</v>
      </c>
    </row>
    <row r="736" spans="2:9" x14ac:dyDescent="0.25">
      <c r="B736" s="44">
        <v>2</v>
      </c>
      <c r="C736" s="45" t="s">
        <v>1594</v>
      </c>
      <c r="D736" s="44" t="s">
        <v>4267</v>
      </c>
      <c r="E736" s="44" t="str">
        <f>VLOOKUP(Tabelle7[[#This Row],[EnumName]],Enum[[IFC-Name]:[Präfix]],5,FALSE)&amp;Tabelle7[[#This Row],[EnuRohValue]]</f>
        <v>krnOT_PROCESS</v>
      </c>
      <c r="F736" s="44">
        <f>COUNTIF(Tabelle7[EnuValue],Tabelle7[[#This Row],[EnuValue]])</f>
        <v>1</v>
      </c>
      <c r="G736" s="44" t="str">
        <f xml:space="preserve"> "  " &amp; Tabelle7[[#This Row],[EnuValue]] &amp; " = " &amp; Tabelle7[[#This Row],[Wert]]</f>
        <v xml:space="preserve">  krnOT_PROCESS = 2</v>
      </c>
      <c r="H736" s="44" t="str">
        <f>"  If Wert = " &amp; Tabelle7[[#This Row],[EnuValue]] &amp; " then Res = ""." &amp; Tabelle7[[#This Row],[EnuRohValue]] &amp; "."""</f>
        <v xml:space="preserve">  If Wert = krnOT_PROCESS then Res = ".PROCESS."</v>
      </c>
      <c r="I736" s="44" t="str">
        <f>"  If wert = ""." &amp; Tabelle7[[#This Row],[EnuRohValue]] &amp; "."" Then Res = " &amp; Tabelle7[[#This Row],[EnuValue]]</f>
        <v xml:space="preserve">  If wert = ".PROCESS." Then Res = krnOT_PROCESS</v>
      </c>
    </row>
    <row r="737" spans="2:9" x14ac:dyDescent="0.25">
      <c r="B737" s="44">
        <v>3</v>
      </c>
      <c r="C737" s="45" t="s">
        <v>1594</v>
      </c>
      <c r="D737" s="44" t="s">
        <v>4268</v>
      </c>
      <c r="E737" s="44" t="str">
        <f>VLOOKUP(Tabelle7[[#This Row],[EnumName]],Enum[[IFC-Name]:[Präfix]],5,FALSE)&amp;Tabelle7[[#This Row],[EnuRohValue]]</f>
        <v>krnOT_CONTROL</v>
      </c>
      <c r="F737" s="44">
        <f>COUNTIF(Tabelle7[EnuValue],Tabelle7[[#This Row],[EnuValue]])</f>
        <v>1</v>
      </c>
      <c r="G737" s="44" t="str">
        <f xml:space="preserve"> "  " &amp; Tabelle7[[#This Row],[EnuValue]] &amp; " = " &amp; Tabelle7[[#This Row],[Wert]]</f>
        <v xml:space="preserve">  krnOT_CONTROL = 3</v>
      </c>
      <c r="H737" s="44" t="str">
        <f>"  If Wert = " &amp; Tabelle7[[#This Row],[EnuValue]] &amp; " then Res = ""." &amp; Tabelle7[[#This Row],[EnuRohValue]] &amp; "."""</f>
        <v xml:space="preserve">  If Wert = krnOT_CONTROL then Res = ".CONTROL."</v>
      </c>
      <c r="I737" s="44" t="str">
        <f>"  If wert = ""." &amp; Tabelle7[[#This Row],[EnuRohValue]] &amp; "."" Then Res = " &amp; Tabelle7[[#This Row],[EnuValue]]</f>
        <v xml:space="preserve">  If wert = ".CONTROL." Then Res = krnOT_CONTROL</v>
      </c>
    </row>
    <row r="738" spans="2:9" x14ac:dyDescent="0.25">
      <c r="B738" s="44">
        <v>4</v>
      </c>
      <c r="C738" s="45" t="s">
        <v>1594</v>
      </c>
      <c r="D738" s="44" t="s">
        <v>4269</v>
      </c>
      <c r="E738" s="44" t="str">
        <f>VLOOKUP(Tabelle7[[#This Row],[EnumName]],Enum[[IFC-Name]:[Präfix]],5,FALSE)&amp;Tabelle7[[#This Row],[EnuRohValue]]</f>
        <v>krnOT_RESOURCE</v>
      </c>
      <c r="F738" s="44">
        <f>COUNTIF(Tabelle7[EnuValue],Tabelle7[[#This Row],[EnuValue]])</f>
        <v>1</v>
      </c>
      <c r="G738" s="44" t="str">
        <f xml:space="preserve"> "  " &amp; Tabelle7[[#This Row],[EnuValue]] &amp; " = " &amp; Tabelle7[[#This Row],[Wert]]</f>
        <v xml:space="preserve">  krnOT_RESOURCE = 4</v>
      </c>
      <c r="H738" s="44" t="str">
        <f>"  If Wert = " &amp; Tabelle7[[#This Row],[EnuValue]] &amp; " then Res = ""." &amp; Tabelle7[[#This Row],[EnuRohValue]] &amp; "."""</f>
        <v xml:space="preserve">  If Wert = krnOT_RESOURCE then Res = ".RESOURCE."</v>
      </c>
      <c r="I738" s="44" t="str">
        <f>"  If wert = ""." &amp; Tabelle7[[#This Row],[EnuRohValue]] &amp; "."" Then Res = " &amp; Tabelle7[[#This Row],[EnuValue]]</f>
        <v xml:space="preserve">  If wert = ".RESOURCE." Then Res = krnOT_RESOURCE</v>
      </c>
    </row>
    <row r="739" spans="2:9" x14ac:dyDescent="0.25">
      <c r="B739" s="44">
        <v>5</v>
      </c>
      <c r="C739" s="45" t="s">
        <v>1594</v>
      </c>
      <c r="D739" s="44" t="s">
        <v>4270</v>
      </c>
      <c r="E739" s="44" t="str">
        <f>VLOOKUP(Tabelle7[[#This Row],[EnumName]],Enum[[IFC-Name]:[Präfix]],5,FALSE)&amp;Tabelle7[[#This Row],[EnuRohValue]]</f>
        <v>krnOT_ACTOR</v>
      </c>
      <c r="F739" s="44">
        <f>COUNTIF(Tabelle7[EnuValue],Tabelle7[[#This Row],[EnuValue]])</f>
        <v>1</v>
      </c>
      <c r="G739" s="44" t="str">
        <f xml:space="preserve"> "  " &amp; Tabelle7[[#This Row],[EnuValue]] &amp; " = " &amp; Tabelle7[[#This Row],[Wert]]</f>
        <v xml:space="preserve">  krnOT_ACTOR = 5</v>
      </c>
      <c r="H739" s="44" t="str">
        <f>"  If Wert = " &amp; Tabelle7[[#This Row],[EnuValue]] &amp; " then Res = ""." &amp; Tabelle7[[#This Row],[EnuRohValue]] &amp; "."""</f>
        <v xml:space="preserve">  If Wert = krnOT_ACTOR then Res = ".ACTOR."</v>
      </c>
      <c r="I739" s="44" t="str">
        <f>"  If wert = ""." &amp; Tabelle7[[#This Row],[EnuRohValue]] &amp; "."" Then Res = " &amp; Tabelle7[[#This Row],[EnuValue]]</f>
        <v xml:space="preserve">  If wert = ".ACTOR." Then Res = krnOT_ACTOR</v>
      </c>
    </row>
    <row r="740" spans="2:9" x14ac:dyDescent="0.25">
      <c r="B740" s="44">
        <v>6</v>
      </c>
      <c r="C740" s="45" t="s">
        <v>1594</v>
      </c>
      <c r="D740" s="44" t="s">
        <v>4271</v>
      </c>
      <c r="E740" s="44" t="str">
        <f>VLOOKUP(Tabelle7[[#This Row],[EnumName]],Enum[[IFC-Name]:[Präfix]],5,FALSE)&amp;Tabelle7[[#This Row],[EnuRohValue]]</f>
        <v>krnOT_GROUP</v>
      </c>
      <c r="F740" s="44">
        <f>COUNTIF(Tabelle7[EnuValue],Tabelle7[[#This Row],[EnuValue]])</f>
        <v>1</v>
      </c>
      <c r="G740" s="44" t="str">
        <f xml:space="preserve"> "  " &amp; Tabelle7[[#This Row],[EnuValue]] &amp; " = " &amp; Tabelle7[[#This Row],[Wert]]</f>
        <v xml:space="preserve">  krnOT_GROUP = 6</v>
      </c>
      <c r="H740" s="44" t="str">
        <f>"  If Wert = " &amp; Tabelle7[[#This Row],[EnuValue]] &amp; " then Res = ""." &amp; Tabelle7[[#This Row],[EnuRohValue]] &amp; "."""</f>
        <v xml:space="preserve">  If Wert = krnOT_GROUP then Res = ".GROUP."</v>
      </c>
      <c r="I740" s="44" t="str">
        <f>"  If wert = ""." &amp; Tabelle7[[#This Row],[EnuRohValue]] &amp; "."" Then Res = " &amp; Tabelle7[[#This Row],[EnuValue]]</f>
        <v xml:space="preserve">  If wert = ".GROUP." Then Res = krnOT_GROUP</v>
      </c>
    </row>
    <row r="741" spans="2:9" x14ac:dyDescent="0.25">
      <c r="B741" s="44">
        <v>7</v>
      </c>
      <c r="C741" s="45" t="s">
        <v>1594</v>
      </c>
      <c r="D741" s="44" t="s">
        <v>4272</v>
      </c>
      <c r="E741" s="44" t="str">
        <f>VLOOKUP(Tabelle7[[#This Row],[EnumName]],Enum[[IFC-Name]:[Präfix]],5,FALSE)&amp;Tabelle7[[#This Row],[EnuRohValue]]</f>
        <v>krnOT_PROJECT</v>
      </c>
      <c r="F741" s="44">
        <f>COUNTIF(Tabelle7[EnuValue],Tabelle7[[#This Row],[EnuValue]])</f>
        <v>1</v>
      </c>
      <c r="G741" s="44" t="str">
        <f xml:space="preserve"> "  " &amp; Tabelle7[[#This Row],[EnuValue]] &amp; " = " &amp; Tabelle7[[#This Row],[Wert]]</f>
        <v xml:space="preserve">  krnOT_PROJECT = 7</v>
      </c>
      <c r="H741" s="44" t="str">
        <f>"  If Wert = " &amp; Tabelle7[[#This Row],[EnuValue]] &amp; " then Res = ""." &amp; Tabelle7[[#This Row],[EnuRohValue]] &amp; "."""</f>
        <v xml:space="preserve">  If Wert = krnOT_PROJECT then Res = ".PROJECT."</v>
      </c>
      <c r="I741" s="44" t="str">
        <f>"  If wert = ""." &amp; Tabelle7[[#This Row],[EnuRohValue]] &amp; "."" Then Res = " &amp; Tabelle7[[#This Row],[EnuValue]]</f>
        <v xml:space="preserve">  If wert = ".PROJECT." Then Res = krnOT_PROJECT</v>
      </c>
    </row>
    <row r="742" spans="2:9" x14ac:dyDescent="0.25">
      <c r="B742" s="44">
        <v>8</v>
      </c>
      <c r="C742" s="45" t="s">
        <v>1594</v>
      </c>
      <c r="D742" s="44" t="s">
        <v>3683</v>
      </c>
      <c r="E742" s="44" t="str">
        <f>VLOOKUP(Tabelle7[[#This Row],[EnumName]],Enum[[IFC-Name]:[Präfix]],5,FALSE)&amp;Tabelle7[[#This Row],[EnuRohValue]]</f>
        <v>krnOT_NOTDEFINED</v>
      </c>
      <c r="F742" s="44">
        <f>COUNTIF(Tabelle7[EnuValue],Tabelle7[[#This Row],[EnuValue]])</f>
        <v>1</v>
      </c>
      <c r="G742" s="44" t="str">
        <f xml:space="preserve"> "  " &amp; Tabelle7[[#This Row],[EnuValue]] &amp; " = " &amp; Tabelle7[[#This Row],[Wert]]</f>
        <v xml:space="preserve">  krnOT_NOTDEFINED = 8</v>
      </c>
      <c r="H742" s="44" t="str">
        <f>"  If Wert = " &amp; Tabelle7[[#This Row],[EnuValue]] &amp; " then Res = ""." &amp; Tabelle7[[#This Row],[EnuRohValue]] &amp; "."""</f>
        <v xml:space="preserve">  If Wert = krnOT_NOTDEFINED then Res = ".NOTDEFINED."</v>
      </c>
      <c r="I742" s="44" t="str">
        <f>"  If wert = ""." &amp; Tabelle7[[#This Row],[EnuRohValue]] &amp; "."" Then Res = " &amp; Tabelle7[[#This Row],[EnuValue]]</f>
        <v xml:space="preserve">  If wert = ".NOTDEFINED." Then Res = krnOT_NOTDEFINED</v>
      </c>
    </row>
    <row r="743" spans="2:9" x14ac:dyDescent="0.25">
      <c r="B743" s="44">
        <v>1</v>
      </c>
      <c r="C743" s="45" t="s">
        <v>1595</v>
      </c>
      <c r="D743" s="44" t="s">
        <v>4273</v>
      </c>
      <c r="E743" s="44" t="str">
        <f>VLOOKUP(Tabelle7[[#This Row],[EnumName]],Enum[[IFC-Name]:[Präfix]],5,FALSE)&amp;Tabelle7[[#This Row],[EnuRohValue]]</f>
        <v>cstO_CODECOMPLIANCE</v>
      </c>
      <c r="F743" s="44">
        <f>COUNTIF(Tabelle7[EnuValue],Tabelle7[[#This Row],[EnuValue]])</f>
        <v>1</v>
      </c>
      <c r="G743" s="44" t="str">
        <f xml:space="preserve"> "  " &amp; Tabelle7[[#This Row],[EnuValue]] &amp; " = " &amp; Tabelle7[[#This Row],[Wert]]</f>
        <v xml:space="preserve">  cstO_CODECOMPLIANCE = 1</v>
      </c>
      <c r="H743" s="44" t="str">
        <f>"  If Wert = " &amp; Tabelle7[[#This Row],[EnuValue]] &amp; " then Res = ""." &amp; Tabelle7[[#This Row],[EnuRohValue]] &amp; "."""</f>
        <v xml:space="preserve">  If Wert = cstO_CODECOMPLIANCE then Res = ".CODECOMPLIANCE."</v>
      </c>
      <c r="I743" s="44" t="str">
        <f>"  If wert = ""." &amp; Tabelle7[[#This Row],[EnuRohValue]] &amp; "."" Then Res = " &amp; Tabelle7[[#This Row],[EnuValue]]</f>
        <v xml:space="preserve">  If wert = ".CODECOMPLIANCE." Then Res = cstO_CODECOMPLIANCE</v>
      </c>
    </row>
    <row r="744" spans="2:9" x14ac:dyDescent="0.25">
      <c r="B744" s="44">
        <v>2</v>
      </c>
      <c r="C744" s="45" t="s">
        <v>1595</v>
      </c>
      <c r="D744" s="44" t="s">
        <v>4274</v>
      </c>
      <c r="E744" s="44" t="str">
        <f>VLOOKUP(Tabelle7[[#This Row],[EnumName]],Enum[[IFC-Name]:[Präfix]],5,FALSE)&amp;Tabelle7[[#This Row],[EnuRohValue]]</f>
        <v>cstO_DESIGNINTENT</v>
      </c>
      <c r="F744" s="44">
        <f>COUNTIF(Tabelle7[EnuValue],Tabelle7[[#This Row],[EnuValue]])</f>
        <v>1</v>
      </c>
      <c r="G744" s="44" t="str">
        <f xml:space="preserve"> "  " &amp; Tabelle7[[#This Row],[EnuValue]] &amp; " = " &amp; Tabelle7[[#This Row],[Wert]]</f>
        <v xml:space="preserve">  cstO_DESIGNINTENT = 2</v>
      </c>
      <c r="H744" s="44" t="str">
        <f>"  If Wert = " &amp; Tabelle7[[#This Row],[EnuValue]] &amp; " then Res = ""." &amp; Tabelle7[[#This Row],[EnuRohValue]] &amp; "."""</f>
        <v xml:space="preserve">  If Wert = cstO_DESIGNINTENT then Res = ".DESIGNINTENT."</v>
      </c>
      <c r="I744" s="44" t="str">
        <f>"  If wert = ""." &amp; Tabelle7[[#This Row],[EnuRohValue]] &amp; "."" Then Res = " &amp; Tabelle7[[#This Row],[EnuValue]]</f>
        <v xml:space="preserve">  If wert = ".DESIGNINTENT." Then Res = cstO_DESIGNINTENT</v>
      </c>
    </row>
    <row r="745" spans="2:9" x14ac:dyDescent="0.25">
      <c r="B745" s="44">
        <v>3</v>
      </c>
      <c r="C745" s="45" t="s">
        <v>1595</v>
      </c>
      <c r="D745" s="44" t="s">
        <v>4275</v>
      </c>
      <c r="E745" s="44" t="str">
        <f>VLOOKUP(Tabelle7[[#This Row],[EnumName]],Enum[[IFC-Name]:[Präfix]],5,FALSE)&amp;Tabelle7[[#This Row],[EnuRohValue]]</f>
        <v>cstO_HEALTHANDSAFETY</v>
      </c>
      <c r="F745" s="44">
        <f>COUNTIF(Tabelle7[EnuValue],Tabelle7[[#This Row],[EnuValue]])</f>
        <v>1</v>
      </c>
      <c r="G745" s="44" t="str">
        <f xml:space="preserve"> "  " &amp; Tabelle7[[#This Row],[EnuValue]] &amp; " = " &amp; Tabelle7[[#This Row],[Wert]]</f>
        <v xml:space="preserve">  cstO_HEALTHANDSAFETY = 3</v>
      </c>
      <c r="H745" s="44" t="str">
        <f>"  If Wert = " &amp; Tabelle7[[#This Row],[EnuValue]] &amp; " then Res = ""." &amp; Tabelle7[[#This Row],[EnuRohValue]] &amp; "."""</f>
        <v xml:space="preserve">  If Wert = cstO_HEALTHANDSAFETY then Res = ".HEALTHANDSAFETY."</v>
      </c>
      <c r="I745" s="44" t="str">
        <f>"  If wert = ""." &amp; Tabelle7[[#This Row],[EnuRohValue]] &amp; "."" Then Res = " &amp; Tabelle7[[#This Row],[EnuValue]]</f>
        <v xml:space="preserve">  If wert = ".HEALTHANDSAFETY." Then Res = cstO_HEALTHANDSAFETY</v>
      </c>
    </row>
    <row r="746" spans="2:9" x14ac:dyDescent="0.25">
      <c r="B746" s="44">
        <v>4</v>
      </c>
      <c r="C746" s="45" t="s">
        <v>1595</v>
      </c>
      <c r="D746" s="44" t="s">
        <v>4276</v>
      </c>
      <c r="E746" s="44" t="str">
        <f>VLOOKUP(Tabelle7[[#This Row],[EnumName]],Enum[[IFC-Name]:[Präfix]],5,FALSE)&amp;Tabelle7[[#This Row],[EnuRohValue]]</f>
        <v>cstO_REQUIREMENT</v>
      </c>
      <c r="F746" s="44">
        <f>COUNTIF(Tabelle7[EnuValue],Tabelle7[[#This Row],[EnuValue]])</f>
        <v>1</v>
      </c>
      <c r="G746" s="44" t="str">
        <f xml:space="preserve"> "  " &amp; Tabelle7[[#This Row],[EnuValue]] &amp; " = " &amp; Tabelle7[[#This Row],[Wert]]</f>
        <v xml:space="preserve">  cstO_REQUIREMENT = 4</v>
      </c>
      <c r="H746" s="44" t="str">
        <f>"  If Wert = " &amp; Tabelle7[[#This Row],[EnuValue]] &amp; " then Res = ""." &amp; Tabelle7[[#This Row],[EnuRohValue]] &amp; "."""</f>
        <v xml:space="preserve">  If Wert = cstO_REQUIREMENT then Res = ".REQUIREMENT."</v>
      </c>
      <c r="I746" s="44" t="str">
        <f>"  If wert = ""." &amp; Tabelle7[[#This Row],[EnuRohValue]] &amp; "."" Then Res = " &amp; Tabelle7[[#This Row],[EnuValue]]</f>
        <v xml:space="preserve">  If wert = ".REQUIREMENT." Then Res = cstO_REQUIREMENT</v>
      </c>
    </row>
    <row r="747" spans="2:9" x14ac:dyDescent="0.25">
      <c r="B747" s="44">
        <v>5</v>
      </c>
      <c r="C747" s="45" t="s">
        <v>1595</v>
      </c>
      <c r="D747" s="44" t="s">
        <v>4277</v>
      </c>
      <c r="E747" s="44" t="str">
        <f>VLOOKUP(Tabelle7[[#This Row],[EnumName]],Enum[[IFC-Name]:[Präfix]],5,FALSE)&amp;Tabelle7[[#This Row],[EnuRohValue]]</f>
        <v>cstO_SPECIFICATION</v>
      </c>
      <c r="F747" s="44">
        <f>COUNTIF(Tabelle7[EnuValue],Tabelle7[[#This Row],[EnuValue]])</f>
        <v>1</v>
      </c>
      <c r="G747" s="44" t="str">
        <f xml:space="preserve"> "  " &amp; Tabelle7[[#This Row],[EnuValue]] &amp; " = " &amp; Tabelle7[[#This Row],[Wert]]</f>
        <v xml:space="preserve">  cstO_SPECIFICATION = 5</v>
      </c>
      <c r="H747" s="44" t="str">
        <f>"  If Wert = " &amp; Tabelle7[[#This Row],[EnuValue]] &amp; " then Res = ""." &amp; Tabelle7[[#This Row],[EnuRohValue]] &amp; "."""</f>
        <v xml:space="preserve">  If Wert = cstO_SPECIFICATION then Res = ".SPECIFICATION."</v>
      </c>
      <c r="I747" s="44" t="str">
        <f>"  If wert = ""." &amp; Tabelle7[[#This Row],[EnuRohValue]] &amp; "."" Then Res = " &amp; Tabelle7[[#This Row],[EnuValue]]</f>
        <v xml:space="preserve">  If wert = ".SPECIFICATION." Then Res = cstO_SPECIFICATION</v>
      </c>
    </row>
    <row r="748" spans="2:9" x14ac:dyDescent="0.25">
      <c r="B748" s="44">
        <v>6</v>
      </c>
      <c r="C748" s="45" t="s">
        <v>1595</v>
      </c>
      <c r="D748" s="44" t="s">
        <v>4278</v>
      </c>
      <c r="E748" s="44" t="str">
        <f>VLOOKUP(Tabelle7[[#This Row],[EnumName]],Enum[[IFC-Name]:[Präfix]],5,FALSE)&amp;Tabelle7[[#This Row],[EnuRohValue]]</f>
        <v>cstO_TRIGGERCONDITION</v>
      </c>
      <c r="F748" s="44">
        <f>COUNTIF(Tabelle7[EnuValue],Tabelle7[[#This Row],[EnuValue]])</f>
        <v>1</v>
      </c>
      <c r="G748" s="44" t="str">
        <f xml:space="preserve"> "  " &amp; Tabelle7[[#This Row],[EnuValue]] &amp; " = " &amp; Tabelle7[[#This Row],[Wert]]</f>
        <v xml:space="preserve">  cstO_TRIGGERCONDITION = 6</v>
      </c>
      <c r="H748" s="44" t="str">
        <f>"  If Wert = " &amp; Tabelle7[[#This Row],[EnuValue]] &amp; " then Res = ""." &amp; Tabelle7[[#This Row],[EnuRohValue]] &amp; "."""</f>
        <v xml:space="preserve">  If Wert = cstO_TRIGGERCONDITION then Res = ".TRIGGERCONDITION."</v>
      </c>
      <c r="I748" s="44" t="str">
        <f>"  If wert = ""." &amp; Tabelle7[[#This Row],[EnuRohValue]] &amp; "."" Then Res = " &amp; Tabelle7[[#This Row],[EnuValue]]</f>
        <v xml:space="preserve">  If wert = ".TRIGGERCONDITION." Then Res = cstO_TRIGGERCONDITION</v>
      </c>
    </row>
    <row r="749" spans="2:9" x14ac:dyDescent="0.25">
      <c r="B749" s="44">
        <v>7</v>
      </c>
      <c r="C749" s="45" t="s">
        <v>1595</v>
      </c>
      <c r="D749" s="44" t="s">
        <v>3682</v>
      </c>
      <c r="E749" s="44" t="str">
        <f>VLOOKUP(Tabelle7[[#This Row],[EnumName]],Enum[[IFC-Name]:[Präfix]],5,FALSE)&amp;Tabelle7[[#This Row],[EnuRohValue]]</f>
        <v>cstO_USERDEFINED</v>
      </c>
      <c r="F749" s="44">
        <f>COUNTIF(Tabelle7[EnuValue],Tabelle7[[#This Row],[EnuValue]])</f>
        <v>1</v>
      </c>
      <c r="G749" s="44" t="str">
        <f xml:space="preserve"> "  " &amp; Tabelle7[[#This Row],[EnuValue]] &amp; " = " &amp; Tabelle7[[#This Row],[Wert]]</f>
        <v xml:space="preserve">  cstO_USERDEFINED = 7</v>
      </c>
      <c r="H749" s="44" t="str">
        <f>"  If Wert = " &amp; Tabelle7[[#This Row],[EnuValue]] &amp; " then Res = ""." &amp; Tabelle7[[#This Row],[EnuRohValue]] &amp; "."""</f>
        <v xml:space="preserve">  If Wert = cstO_USERDEFINED then Res = ".USERDEFINED."</v>
      </c>
      <c r="I749" s="44" t="str">
        <f>"  If wert = ""." &amp; Tabelle7[[#This Row],[EnuRohValue]] &amp; "."" Then Res = " &amp; Tabelle7[[#This Row],[EnuValue]]</f>
        <v xml:space="preserve">  If wert = ".USERDEFINED." Then Res = cstO_USERDEFINED</v>
      </c>
    </row>
    <row r="750" spans="2:9" x14ac:dyDescent="0.25">
      <c r="B750" s="44">
        <v>8</v>
      </c>
      <c r="C750" s="45" t="s">
        <v>1595</v>
      </c>
      <c r="D750" s="44" t="s">
        <v>3683</v>
      </c>
      <c r="E750" s="44" t="str">
        <f>VLOOKUP(Tabelle7[[#This Row],[EnumName]],Enum[[IFC-Name]:[Präfix]],5,FALSE)&amp;Tabelle7[[#This Row],[EnuRohValue]]</f>
        <v>cstO_NOTDEFINED</v>
      </c>
      <c r="F750" s="44">
        <f>COUNTIF(Tabelle7[EnuValue],Tabelle7[[#This Row],[EnuValue]])</f>
        <v>1</v>
      </c>
      <c r="G750" s="44" t="str">
        <f xml:space="preserve"> "  " &amp; Tabelle7[[#This Row],[EnuValue]] &amp; " = " &amp; Tabelle7[[#This Row],[Wert]]</f>
        <v xml:space="preserve">  cstO_NOTDEFINED = 8</v>
      </c>
      <c r="H750" s="44" t="str">
        <f>"  If Wert = " &amp; Tabelle7[[#This Row],[EnuValue]] &amp; " then Res = ""." &amp; Tabelle7[[#This Row],[EnuRohValue]] &amp; "."""</f>
        <v xml:space="preserve">  If Wert = cstO_NOTDEFINED then Res = ".NOTDEFINED."</v>
      </c>
      <c r="I750" s="44" t="str">
        <f>"  If wert = ""." &amp; Tabelle7[[#This Row],[EnuRohValue]] &amp; "."" Then Res = " &amp; Tabelle7[[#This Row],[EnuValue]]</f>
        <v xml:space="preserve">  If wert = ".NOTDEFINED." Then Res = cstO_NOTDEFINED</v>
      </c>
    </row>
    <row r="751" spans="2:9" x14ac:dyDescent="0.25">
      <c r="B751" s="44">
        <v>1</v>
      </c>
      <c r="C751" s="45" t="s">
        <v>1596</v>
      </c>
      <c r="D751" s="44" t="s">
        <v>4279</v>
      </c>
      <c r="E751" s="44" t="str">
        <f>VLOOKUP(Tabelle7[[#This Row],[EnumName]],Enum[[IFC-Name]:[Präfix]],5,FALSE)&amp;Tabelle7[[#This Row],[EnuRohValue]]</f>
        <v>sfmOT_ASSIGNEE</v>
      </c>
      <c r="F751" s="44">
        <f>COUNTIF(Tabelle7[EnuValue],Tabelle7[[#This Row],[EnuValue]])</f>
        <v>1</v>
      </c>
      <c r="G751" s="44" t="str">
        <f xml:space="preserve"> "  " &amp; Tabelle7[[#This Row],[EnuValue]] &amp; " = " &amp; Tabelle7[[#This Row],[Wert]]</f>
        <v xml:space="preserve">  sfmOT_ASSIGNEE = 1</v>
      </c>
      <c r="H751" s="44" t="str">
        <f>"  If Wert = " &amp; Tabelle7[[#This Row],[EnuValue]] &amp; " then Res = ""." &amp; Tabelle7[[#This Row],[EnuRohValue]] &amp; "."""</f>
        <v xml:space="preserve">  If Wert = sfmOT_ASSIGNEE then Res = ".ASSIGNEE."</v>
      </c>
      <c r="I751" s="44" t="str">
        <f>"  If wert = ""." &amp; Tabelle7[[#This Row],[EnuRohValue]] &amp; "."" Then Res = " &amp; Tabelle7[[#This Row],[EnuValue]]</f>
        <v xml:space="preserve">  If wert = ".ASSIGNEE." Then Res = sfmOT_ASSIGNEE</v>
      </c>
    </row>
    <row r="752" spans="2:9" x14ac:dyDescent="0.25">
      <c r="B752" s="44">
        <v>2</v>
      </c>
      <c r="C752" s="45" t="s">
        <v>1596</v>
      </c>
      <c r="D752" s="44" t="s">
        <v>4280</v>
      </c>
      <c r="E752" s="44" t="str">
        <f>VLOOKUP(Tabelle7[[#This Row],[EnumName]],Enum[[IFC-Name]:[Präfix]],5,FALSE)&amp;Tabelle7[[#This Row],[EnuRohValue]]</f>
        <v>sfmOT_ASSIGNOR</v>
      </c>
      <c r="F752" s="44">
        <f>COUNTIF(Tabelle7[EnuValue],Tabelle7[[#This Row],[EnuValue]])</f>
        <v>1</v>
      </c>
      <c r="G752" s="44" t="str">
        <f xml:space="preserve"> "  " &amp; Tabelle7[[#This Row],[EnuValue]] &amp; " = " &amp; Tabelle7[[#This Row],[Wert]]</f>
        <v xml:space="preserve">  sfmOT_ASSIGNOR = 2</v>
      </c>
      <c r="H752" s="44" t="str">
        <f>"  If Wert = " &amp; Tabelle7[[#This Row],[EnuValue]] &amp; " then Res = ""." &amp; Tabelle7[[#This Row],[EnuRohValue]] &amp; "."""</f>
        <v xml:space="preserve">  If Wert = sfmOT_ASSIGNOR then Res = ".ASSIGNOR."</v>
      </c>
      <c r="I752" s="44" t="str">
        <f>"  If wert = ""." &amp; Tabelle7[[#This Row],[EnuRohValue]] &amp; "."" Then Res = " &amp; Tabelle7[[#This Row],[EnuValue]]</f>
        <v xml:space="preserve">  If wert = ".ASSIGNOR." Then Res = sfmOT_ASSIGNOR</v>
      </c>
    </row>
    <row r="753" spans="2:9" x14ac:dyDescent="0.25">
      <c r="B753" s="44">
        <v>3</v>
      </c>
      <c r="C753" s="45" t="s">
        <v>1596</v>
      </c>
      <c r="D753" s="44" t="s">
        <v>4281</v>
      </c>
      <c r="E753" s="44" t="str">
        <f>VLOOKUP(Tabelle7[[#This Row],[EnumName]],Enum[[IFC-Name]:[Präfix]],5,FALSE)&amp;Tabelle7[[#This Row],[EnuRohValue]]</f>
        <v>sfmOT_LESSEE</v>
      </c>
      <c r="F753" s="44">
        <f>COUNTIF(Tabelle7[EnuValue],Tabelle7[[#This Row],[EnuValue]])</f>
        <v>1</v>
      </c>
      <c r="G753" s="44" t="str">
        <f xml:space="preserve"> "  " &amp; Tabelle7[[#This Row],[EnuValue]] &amp; " = " &amp; Tabelle7[[#This Row],[Wert]]</f>
        <v xml:space="preserve">  sfmOT_LESSEE = 3</v>
      </c>
      <c r="H753" s="44" t="str">
        <f>"  If Wert = " &amp; Tabelle7[[#This Row],[EnuValue]] &amp; " then Res = ""." &amp; Tabelle7[[#This Row],[EnuRohValue]] &amp; "."""</f>
        <v xml:space="preserve">  If Wert = sfmOT_LESSEE then Res = ".LESSEE."</v>
      </c>
      <c r="I753" s="44" t="str">
        <f>"  If wert = ""." &amp; Tabelle7[[#This Row],[EnuRohValue]] &amp; "."" Then Res = " &amp; Tabelle7[[#This Row],[EnuValue]]</f>
        <v xml:space="preserve">  If wert = ".LESSEE." Then Res = sfmOT_LESSEE</v>
      </c>
    </row>
    <row r="754" spans="2:9" x14ac:dyDescent="0.25">
      <c r="B754" s="44">
        <v>4</v>
      </c>
      <c r="C754" s="45" t="s">
        <v>1596</v>
      </c>
      <c r="D754" s="44" t="s">
        <v>4282</v>
      </c>
      <c r="E754" s="44" t="str">
        <f>VLOOKUP(Tabelle7[[#This Row],[EnumName]],Enum[[IFC-Name]:[Präfix]],5,FALSE)&amp;Tabelle7[[#This Row],[EnuRohValue]]</f>
        <v>sfmOT_LESSOR</v>
      </c>
      <c r="F754" s="44">
        <f>COUNTIF(Tabelle7[EnuValue],Tabelle7[[#This Row],[EnuValue]])</f>
        <v>1</v>
      </c>
      <c r="G754" s="44" t="str">
        <f xml:space="preserve"> "  " &amp; Tabelle7[[#This Row],[EnuValue]] &amp; " = " &amp; Tabelle7[[#This Row],[Wert]]</f>
        <v xml:space="preserve">  sfmOT_LESSOR = 4</v>
      </c>
      <c r="H754" s="44" t="str">
        <f>"  If Wert = " &amp; Tabelle7[[#This Row],[EnuValue]] &amp; " then Res = ""." &amp; Tabelle7[[#This Row],[EnuRohValue]] &amp; "."""</f>
        <v xml:space="preserve">  If Wert = sfmOT_LESSOR then Res = ".LESSOR."</v>
      </c>
      <c r="I754" s="44" t="str">
        <f>"  If wert = ""." &amp; Tabelle7[[#This Row],[EnuRohValue]] &amp; "."" Then Res = " &amp; Tabelle7[[#This Row],[EnuValue]]</f>
        <v xml:space="preserve">  If wert = ".LESSOR." Then Res = sfmOT_LESSOR</v>
      </c>
    </row>
    <row r="755" spans="2:9" x14ac:dyDescent="0.25">
      <c r="B755" s="44">
        <v>5</v>
      </c>
      <c r="C755" s="45" t="s">
        <v>1596</v>
      </c>
      <c r="D755" s="44" t="s">
        <v>4283</v>
      </c>
      <c r="E755" s="44" t="str">
        <f>VLOOKUP(Tabelle7[[#This Row],[EnumName]],Enum[[IFC-Name]:[Präfix]],5,FALSE)&amp;Tabelle7[[#This Row],[EnuRohValue]]</f>
        <v>sfmOT_LETTINGAGENT</v>
      </c>
      <c r="F755" s="44">
        <f>COUNTIF(Tabelle7[EnuValue],Tabelle7[[#This Row],[EnuValue]])</f>
        <v>1</v>
      </c>
      <c r="G755" s="44" t="str">
        <f xml:space="preserve"> "  " &amp; Tabelle7[[#This Row],[EnuValue]] &amp; " = " &amp; Tabelle7[[#This Row],[Wert]]</f>
        <v xml:space="preserve">  sfmOT_LETTINGAGENT = 5</v>
      </c>
      <c r="H755" s="44" t="str">
        <f>"  If Wert = " &amp; Tabelle7[[#This Row],[EnuValue]] &amp; " then Res = ""." &amp; Tabelle7[[#This Row],[EnuRohValue]] &amp; "."""</f>
        <v xml:space="preserve">  If Wert = sfmOT_LETTINGAGENT then Res = ".LETTINGAGENT."</v>
      </c>
      <c r="I755" s="44" t="str">
        <f>"  If wert = ""." &amp; Tabelle7[[#This Row],[EnuRohValue]] &amp; "."" Then Res = " &amp; Tabelle7[[#This Row],[EnuValue]]</f>
        <v xml:space="preserve">  If wert = ".LETTINGAGENT." Then Res = sfmOT_LETTINGAGENT</v>
      </c>
    </row>
    <row r="756" spans="2:9" x14ac:dyDescent="0.25">
      <c r="B756" s="44">
        <v>6</v>
      </c>
      <c r="C756" s="45" t="s">
        <v>1596</v>
      </c>
      <c r="D756" s="44" t="s">
        <v>4284</v>
      </c>
      <c r="E756" s="44" t="str">
        <f>VLOOKUP(Tabelle7[[#This Row],[EnumName]],Enum[[IFC-Name]:[Präfix]],5,FALSE)&amp;Tabelle7[[#This Row],[EnuRohValue]]</f>
        <v>sfmOT_OWNER</v>
      </c>
      <c r="F756" s="44">
        <f>COUNTIF(Tabelle7[EnuValue],Tabelle7[[#This Row],[EnuValue]])</f>
        <v>1</v>
      </c>
      <c r="G756" s="44" t="str">
        <f xml:space="preserve"> "  " &amp; Tabelle7[[#This Row],[EnuValue]] &amp; " = " &amp; Tabelle7[[#This Row],[Wert]]</f>
        <v xml:space="preserve">  sfmOT_OWNER = 6</v>
      </c>
      <c r="H756" s="44" t="str">
        <f>"  If Wert = " &amp; Tabelle7[[#This Row],[EnuValue]] &amp; " then Res = ""." &amp; Tabelle7[[#This Row],[EnuRohValue]] &amp; "."""</f>
        <v xml:space="preserve">  If Wert = sfmOT_OWNER then Res = ".OWNER."</v>
      </c>
      <c r="I756" s="44" t="str">
        <f>"  If wert = ""." &amp; Tabelle7[[#This Row],[EnuRohValue]] &amp; "."" Then Res = " &amp; Tabelle7[[#This Row],[EnuValue]]</f>
        <v xml:space="preserve">  If wert = ".OWNER." Then Res = sfmOT_OWNER</v>
      </c>
    </row>
    <row r="757" spans="2:9" x14ac:dyDescent="0.25">
      <c r="B757" s="44">
        <v>7</v>
      </c>
      <c r="C757" s="45" t="s">
        <v>1596</v>
      </c>
      <c r="D757" s="44" t="s">
        <v>4285</v>
      </c>
      <c r="E757" s="44" t="str">
        <f>VLOOKUP(Tabelle7[[#This Row],[EnumName]],Enum[[IFC-Name]:[Präfix]],5,FALSE)&amp;Tabelle7[[#This Row],[EnuRohValue]]</f>
        <v>sfmOT_TENANT</v>
      </c>
      <c r="F757" s="44">
        <f>COUNTIF(Tabelle7[EnuValue],Tabelle7[[#This Row],[EnuValue]])</f>
        <v>1</v>
      </c>
      <c r="G757" s="44" t="str">
        <f xml:space="preserve"> "  " &amp; Tabelle7[[#This Row],[EnuValue]] &amp; " = " &amp; Tabelle7[[#This Row],[Wert]]</f>
        <v xml:space="preserve">  sfmOT_TENANT = 7</v>
      </c>
      <c r="H757" s="44" t="str">
        <f>"  If Wert = " &amp; Tabelle7[[#This Row],[EnuValue]] &amp; " then Res = ""." &amp; Tabelle7[[#This Row],[EnuRohValue]] &amp; "."""</f>
        <v xml:space="preserve">  If Wert = sfmOT_TENANT then Res = ".TENANT."</v>
      </c>
      <c r="I757" s="44" t="str">
        <f>"  If wert = ""." &amp; Tabelle7[[#This Row],[EnuRohValue]] &amp; "."" Then Res = " &amp; Tabelle7[[#This Row],[EnuValue]]</f>
        <v xml:space="preserve">  If wert = ".TENANT." Then Res = sfmOT_TENANT</v>
      </c>
    </row>
    <row r="758" spans="2:9" x14ac:dyDescent="0.25">
      <c r="B758" s="44">
        <v>8</v>
      </c>
      <c r="C758" s="45" t="s">
        <v>1596</v>
      </c>
      <c r="D758" s="44" t="s">
        <v>3682</v>
      </c>
      <c r="E758" s="44" t="str">
        <f>VLOOKUP(Tabelle7[[#This Row],[EnumName]],Enum[[IFC-Name]:[Präfix]],5,FALSE)&amp;Tabelle7[[#This Row],[EnuRohValue]]</f>
        <v>sfmOT_USERDEFINED</v>
      </c>
      <c r="F758" s="44">
        <f>COUNTIF(Tabelle7[EnuValue],Tabelle7[[#This Row],[EnuValue]])</f>
        <v>1</v>
      </c>
      <c r="G758" s="44" t="str">
        <f xml:space="preserve"> "  " &amp; Tabelle7[[#This Row],[EnuValue]] &amp; " = " &amp; Tabelle7[[#This Row],[Wert]]</f>
        <v xml:space="preserve">  sfmOT_USERDEFINED = 8</v>
      </c>
      <c r="H758" s="44" t="str">
        <f>"  If Wert = " &amp; Tabelle7[[#This Row],[EnuValue]] &amp; " then Res = ""." &amp; Tabelle7[[#This Row],[EnuRohValue]] &amp; "."""</f>
        <v xml:space="preserve">  If Wert = sfmOT_USERDEFINED then Res = ".USERDEFINED."</v>
      </c>
      <c r="I758" s="44" t="str">
        <f>"  If wert = ""." &amp; Tabelle7[[#This Row],[EnuRohValue]] &amp; "."" Then Res = " &amp; Tabelle7[[#This Row],[EnuValue]]</f>
        <v xml:space="preserve">  If wert = ".USERDEFINED." Then Res = sfmOT_USERDEFINED</v>
      </c>
    </row>
    <row r="759" spans="2:9" x14ac:dyDescent="0.25">
      <c r="B759" s="44">
        <v>9</v>
      </c>
      <c r="C759" s="45" t="s">
        <v>1596</v>
      </c>
      <c r="D759" s="44" t="s">
        <v>3683</v>
      </c>
      <c r="E759" s="44" t="str">
        <f>VLOOKUP(Tabelle7[[#This Row],[EnumName]],Enum[[IFC-Name]:[Präfix]],5,FALSE)&amp;Tabelle7[[#This Row],[EnuRohValue]]</f>
        <v>sfmOT_NOTDEFINED</v>
      </c>
      <c r="F759" s="44">
        <f>COUNTIF(Tabelle7[EnuValue],Tabelle7[[#This Row],[EnuValue]])</f>
        <v>1</v>
      </c>
      <c r="G759" s="44" t="str">
        <f xml:space="preserve"> "  " &amp; Tabelle7[[#This Row],[EnuValue]] &amp; " = " &amp; Tabelle7[[#This Row],[Wert]]</f>
        <v xml:space="preserve">  sfmOT_NOTDEFINED = 9</v>
      </c>
      <c r="H759" s="44" t="str">
        <f>"  If Wert = " &amp; Tabelle7[[#This Row],[EnuValue]] &amp; " then Res = ""." &amp; Tabelle7[[#This Row],[EnuRohValue]] &amp; "."""</f>
        <v xml:space="preserve">  If Wert = sfmOT_NOTDEFINED then Res = ".NOTDEFINED."</v>
      </c>
      <c r="I759" s="44" t="str">
        <f>"  If wert = ""." &amp; Tabelle7[[#This Row],[EnuRohValue]] &amp; "."" Then Res = " &amp; Tabelle7[[#This Row],[EnuValue]]</f>
        <v xml:space="preserve">  If wert = ".NOTDEFINED." Then Res = sfmOT_NOTDEFINED</v>
      </c>
    </row>
    <row r="760" spans="2:9" x14ac:dyDescent="0.25">
      <c r="B760" s="44">
        <v>1</v>
      </c>
      <c r="C760" s="45" t="s">
        <v>1597</v>
      </c>
      <c r="D760" s="44" t="s">
        <v>4286</v>
      </c>
      <c r="E760" s="44" t="str">
        <f>VLOOKUP(Tabelle7[[#This Row],[EnumName]],Enum[[IFC-Name]:[Präfix]],5,FALSE)&amp;Tabelle7[[#This Row],[EnuRohValue]]</f>
        <v>eleOT_AUDIOVISUALOUTLET</v>
      </c>
      <c r="F760" s="44">
        <f>COUNTIF(Tabelle7[EnuValue],Tabelle7[[#This Row],[EnuValue]])</f>
        <v>1</v>
      </c>
      <c r="G760" s="44" t="str">
        <f xml:space="preserve"> "  " &amp; Tabelle7[[#This Row],[EnuValue]] &amp; " = " &amp; Tabelle7[[#This Row],[Wert]]</f>
        <v xml:space="preserve">  eleOT_AUDIOVISUALOUTLET = 1</v>
      </c>
      <c r="H760" s="44" t="str">
        <f>"  If Wert = " &amp; Tabelle7[[#This Row],[EnuValue]] &amp; " then Res = ""." &amp; Tabelle7[[#This Row],[EnuRohValue]] &amp; "."""</f>
        <v xml:space="preserve">  If Wert = eleOT_AUDIOVISUALOUTLET then Res = ".AUDIOVISUALOUTLET."</v>
      </c>
      <c r="I760" s="44" t="str">
        <f>"  If wert = ""." &amp; Tabelle7[[#This Row],[EnuRohValue]] &amp; "."" Then Res = " &amp; Tabelle7[[#This Row],[EnuValue]]</f>
        <v xml:space="preserve">  If wert = ".AUDIOVISUALOUTLET." Then Res = eleOT_AUDIOVISUALOUTLET</v>
      </c>
    </row>
    <row r="761" spans="2:9" x14ac:dyDescent="0.25">
      <c r="B761" s="44">
        <v>2</v>
      </c>
      <c r="C761" s="45" t="s">
        <v>1597</v>
      </c>
      <c r="D761" s="44" t="s">
        <v>4287</v>
      </c>
      <c r="E761" s="44" t="str">
        <f>VLOOKUP(Tabelle7[[#This Row],[EnumName]],Enum[[IFC-Name]:[Präfix]],5,FALSE)&amp;Tabelle7[[#This Row],[EnuRohValue]]</f>
        <v>eleOT_COMMUNICATIONSOUTLET</v>
      </c>
      <c r="F761" s="44">
        <f>COUNTIF(Tabelle7[EnuValue],Tabelle7[[#This Row],[EnuValue]])</f>
        <v>1</v>
      </c>
      <c r="G761" s="44" t="str">
        <f xml:space="preserve"> "  " &amp; Tabelle7[[#This Row],[EnuValue]] &amp; " = " &amp; Tabelle7[[#This Row],[Wert]]</f>
        <v xml:space="preserve">  eleOT_COMMUNICATIONSOUTLET = 2</v>
      </c>
      <c r="H761" s="44" t="str">
        <f>"  If Wert = " &amp; Tabelle7[[#This Row],[EnuValue]] &amp; " then Res = ""." &amp; Tabelle7[[#This Row],[EnuRohValue]] &amp; "."""</f>
        <v xml:space="preserve">  If Wert = eleOT_COMMUNICATIONSOUTLET then Res = ".COMMUNICATIONSOUTLET."</v>
      </c>
      <c r="I761" s="44" t="str">
        <f>"  If wert = ""." &amp; Tabelle7[[#This Row],[EnuRohValue]] &amp; "."" Then Res = " &amp; Tabelle7[[#This Row],[EnuValue]]</f>
        <v xml:space="preserve">  If wert = ".COMMUNICATIONSOUTLET." Then Res = eleOT_COMMUNICATIONSOUTLET</v>
      </c>
    </row>
    <row r="762" spans="2:9" x14ac:dyDescent="0.25">
      <c r="B762" s="44">
        <v>3</v>
      </c>
      <c r="C762" s="45" t="s">
        <v>1597</v>
      </c>
      <c r="D762" s="44" t="s">
        <v>4288</v>
      </c>
      <c r="E762" s="44" t="str">
        <f>VLOOKUP(Tabelle7[[#This Row],[EnumName]],Enum[[IFC-Name]:[Präfix]],5,FALSE)&amp;Tabelle7[[#This Row],[EnuRohValue]]</f>
        <v>eleOT_POWEROUTLET</v>
      </c>
      <c r="F762" s="44">
        <f>COUNTIF(Tabelle7[EnuValue],Tabelle7[[#This Row],[EnuValue]])</f>
        <v>1</v>
      </c>
      <c r="G762" s="44" t="str">
        <f xml:space="preserve"> "  " &amp; Tabelle7[[#This Row],[EnuValue]] &amp; " = " &amp; Tabelle7[[#This Row],[Wert]]</f>
        <v xml:space="preserve">  eleOT_POWEROUTLET = 3</v>
      </c>
      <c r="H762" s="44" t="str">
        <f>"  If Wert = " &amp; Tabelle7[[#This Row],[EnuValue]] &amp; " then Res = ""." &amp; Tabelle7[[#This Row],[EnuRohValue]] &amp; "."""</f>
        <v xml:space="preserve">  If Wert = eleOT_POWEROUTLET then Res = ".POWEROUTLET."</v>
      </c>
      <c r="I762" s="44" t="str">
        <f>"  If wert = ""." &amp; Tabelle7[[#This Row],[EnuRohValue]] &amp; "."" Then Res = " &amp; Tabelle7[[#This Row],[EnuValue]]</f>
        <v xml:space="preserve">  If wert = ".POWEROUTLET." Then Res = eleOT_POWEROUTLET</v>
      </c>
    </row>
    <row r="763" spans="2:9" x14ac:dyDescent="0.25">
      <c r="B763" s="44">
        <v>4</v>
      </c>
      <c r="C763" s="45" t="s">
        <v>1597</v>
      </c>
      <c r="D763" s="44" t="s">
        <v>3682</v>
      </c>
      <c r="E763" s="44" t="str">
        <f>VLOOKUP(Tabelle7[[#This Row],[EnumName]],Enum[[IFC-Name]:[Präfix]],5,FALSE)&amp;Tabelle7[[#This Row],[EnuRohValue]]</f>
        <v>eleOT_USERDEFINED</v>
      </c>
      <c r="F763" s="44">
        <f>COUNTIF(Tabelle7[EnuValue],Tabelle7[[#This Row],[EnuValue]])</f>
        <v>1</v>
      </c>
      <c r="G763" s="44" t="str">
        <f xml:space="preserve"> "  " &amp; Tabelle7[[#This Row],[EnuValue]] &amp; " = " &amp; Tabelle7[[#This Row],[Wert]]</f>
        <v xml:space="preserve">  eleOT_USERDEFINED = 4</v>
      </c>
      <c r="H763" s="44" t="str">
        <f>"  If Wert = " &amp; Tabelle7[[#This Row],[EnuValue]] &amp; " then Res = ""." &amp; Tabelle7[[#This Row],[EnuRohValue]] &amp; "."""</f>
        <v xml:space="preserve">  If Wert = eleOT_USERDEFINED then Res = ".USERDEFINED."</v>
      </c>
      <c r="I763" s="44" t="str">
        <f>"  If wert = ""." &amp; Tabelle7[[#This Row],[EnuRohValue]] &amp; "."" Then Res = " &amp; Tabelle7[[#This Row],[EnuValue]]</f>
        <v xml:space="preserve">  If wert = ".USERDEFINED." Then Res = eleOT_USERDEFINED</v>
      </c>
    </row>
    <row r="764" spans="2:9" x14ac:dyDescent="0.25">
      <c r="B764" s="44">
        <v>5</v>
      </c>
      <c r="C764" s="45" t="s">
        <v>1597</v>
      </c>
      <c r="D764" s="44" t="s">
        <v>3683</v>
      </c>
      <c r="E764" s="44" t="str">
        <f>VLOOKUP(Tabelle7[[#This Row],[EnumName]],Enum[[IFC-Name]:[Präfix]],5,FALSE)&amp;Tabelle7[[#This Row],[EnuRohValue]]</f>
        <v>eleOT_NOTDEFINED</v>
      </c>
      <c r="F764" s="44">
        <f>COUNTIF(Tabelle7[EnuValue],Tabelle7[[#This Row],[EnuValue]])</f>
        <v>1</v>
      </c>
      <c r="G764" s="44" t="str">
        <f xml:space="preserve"> "  " &amp; Tabelle7[[#This Row],[EnuValue]] &amp; " = " &amp; Tabelle7[[#This Row],[Wert]]</f>
        <v xml:space="preserve">  eleOT_NOTDEFINED = 5</v>
      </c>
      <c r="H764" s="44" t="str">
        <f>"  If Wert = " &amp; Tabelle7[[#This Row],[EnuValue]] &amp; " then Res = ""." &amp; Tabelle7[[#This Row],[EnuRohValue]] &amp; "."""</f>
        <v xml:space="preserve">  If Wert = eleOT_NOTDEFINED then Res = ".NOTDEFINED."</v>
      </c>
      <c r="I764" s="44" t="str">
        <f>"  If wert = ""." &amp; Tabelle7[[#This Row],[EnuRohValue]] &amp; "."" Then Res = " &amp; Tabelle7[[#This Row],[EnuValue]]</f>
        <v xml:space="preserve">  If wert = ".NOTDEFINED." Then Res = eleOT_NOTDEFINED</v>
      </c>
    </row>
    <row r="765" spans="2:9" x14ac:dyDescent="0.25">
      <c r="B765" s="44">
        <v>1</v>
      </c>
      <c r="C765" s="45" t="s">
        <v>1598</v>
      </c>
      <c r="D765" s="44" t="s">
        <v>4289</v>
      </c>
      <c r="E765" s="44" t="str">
        <f>VLOOKUP(Tabelle7[[#This Row],[EnumName]],Enum[[IFC-Name]:[Präfix]],5,FALSE)&amp;Tabelle7[[#This Row],[EnuRohValue]]</f>
        <v>archPCO_GRILL</v>
      </c>
      <c r="F765" s="44">
        <f>COUNTIF(Tabelle7[EnuValue],Tabelle7[[#This Row],[EnuValue]])</f>
        <v>1</v>
      </c>
      <c r="G765" s="44" t="str">
        <f xml:space="preserve"> "  " &amp; Tabelle7[[#This Row],[EnuValue]] &amp; " = " &amp; Tabelle7[[#This Row],[Wert]]</f>
        <v xml:space="preserve">  archPCO_GRILL = 1</v>
      </c>
      <c r="H765" s="44" t="str">
        <f>"  If Wert = " &amp; Tabelle7[[#This Row],[EnuValue]] &amp; " then Res = ""." &amp; Tabelle7[[#This Row],[EnuRohValue]] &amp; "."""</f>
        <v xml:space="preserve">  If Wert = archPCO_GRILL then Res = ".GRILL."</v>
      </c>
      <c r="I765" s="44" t="str">
        <f>"  If wert = ""." &amp; Tabelle7[[#This Row],[EnuRohValue]] &amp; "."" Then Res = " &amp; Tabelle7[[#This Row],[EnuValue]]</f>
        <v xml:space="preserve">  If wert = ".GRILL." Then Res = archPCO_GRILL</v>
      </c>
    </row>
    <row r="766" spans="2:9" x14ac:dyDescent="0.25">
      <c r="B766" s="44">
        <v>2</v>
      </c>
      <c r="C766" s="45" t="s">
        <v>1598</v>
      </c>
      <c r="D766" s="44" t="s">
        <v>4290</v>
      </c>
      <c r="E766" s="44" t="str">
        <f>VLOOKUP(Tabelle7[[#This Row],[EnumName]],Enum[[IFC-Name]:[Präfix]],5,FALSE)&amp;Tabelle7[[#This Row],[EnuRohValue]]</f>
        <v>archPCO_LOUVER</v>
      </c>
      <c r="F766" s="44">
        <f>COUNTIF(Tabelle7[EnuValue],Tabelle7[[#This Row],[EnuValue]])</f>
        <v>1</v>
      </c>
      <c r="G766" s="44" t="str">
        <f xml:space="preserve"> "  " &amp; Tabelle7[[#This Row],[EnuValue]] &amp; " = " &amp; Tabelle7[[#This Row],[Wert]]</f>
        <v xml:space="preserve">  archPCO_LOUVER = 2</v>
      </c>
      <c r="H766" s="44" t="str">
        <f>"  If Wert = " &amp; Tabelle7[[#This Row],[EnuValue]] &amp; " then Res = ""." &amp; Tabelle7[[#This Row],[EnuRohValue]] &amp; "."""</f>
        <v xml:space="preserve">  If Wert = archPCO_LOUVER then Res = ".LOUVER."</v>
      </c>
      <c r="I766" s="44" t="str">
        <f>"  If wert = ""." &amp; Tabelle7[[#This Row],[EnuRohValue]] &amp; "."" Then Res = " &amp; Tabelle7[[#This Row],[EnuValue]]</f>
        <v xml:space="preserve">  If wert = ".LOUVER." Then Res = archPCO_LOUVER</v>
      </c>
    </row>
    <row r="767" spans="2:9" x14ac:dyDescent="0.25">
      <c r="B767" s="44">
        <v>3</v>
      </c>
      <c r="C767" s="45" t="s">
        <v>1598</v>
      </c>
      <c r="D767" s="44" t="s">
        <v>4291</v>
      </c>
      <c r="E767" s="44" t="str">
        <f>VLOOKUP(Tabelle7[[#This Row],[EnumName]],Enum[[IFC-Name]:[Präfix]],5,FALSE)&amp;Tabelle7[[#This Row],[EnuRohValue]]</f>
        <v>archPCO_SCREEN</v>
      </c>
      <c r="F767" s="44">
        <f>COUNTIF(Tabelle7[EnuValue],Tabelle7[[#This Row],[EnuValue]])</f>
        <v>1</v>
      </c>
      <c r="G767" s="44" t="str">
        <f xml:space="preserve"> "  " &amp; Tabelle7[[#This Row],[EnuValue]] &amp; " = " &amp; Tabelle7[[#This Row],[Wert]]</f>
        <v xml:space="preserve">  archPCO_SCREEN = 3</v>
      </c>
      <c r="H767" s="44" t="str">
        <f>"  If Wert = " &amp; Tabelle7[[#This Row],[EnuValue]] &amp; " then Res = ""." &amp; Tabelle7[[#This Row],[EnuRohValue]] &amp; "."""</f>
        <v xml:space="preserve">  If Wert = archPCO_SCREEN then Res = ".SCREEN."</v>
      </c>
      <c r="I767" s="44" t="str">
        <f>"  If wert = ""." &amp; Tabelle7[[#This Row],[EnuRohValue]] &amp; "."" Then Res = " &amp; Tabelle7[[#This Row],[EnuValue]]</f>
        <v xml:space="preserve">  If wert = ".SCREEN." Then Res = archPCO_SCREEN</v>
      </c>
    </row>
    <row r="768" spans="2:9" x14ac:dyDescent="0.25">
      <c r="B768" s="44">
        <v>4</v>
      </c>
      <c r="C768" s="45" t="s">
        <v>1598</v>
      </c>
      <c r="D768" s="44" t="s">
        <v>3682</v>
      </c>
      <c r="E768" s="44" t="str">
        <f>VLOOKUP(Tabelle7[[#This Row],[EnumName]],Enum[[IFC-Name]:[Präfix]],5,FALSE)&amp;Tabelle7[[#This Row],[EnuRohValue]]</f>
        <v>archPCO_USERDEFINED</v>
      </c>
      <c r="F768" s="44">
        <f>COUNTIF(Tabelle7[EnuValue],Tabelle7[[#This Row],[EnuValue]])</f>
        <v>1</v>
      </c>
      <c r="G768" s="44" t="str">
        <f xml:space="preserve"> "  " &amp; Tabelle7[[#This Row],[EnuValue]] &amp; " = " &amp; Tabelle7[[#This Row],[Wert]]</f>
        <v xml:space="preserve">  archPCO_USERDEFINED = 4</v>
      </c>
      <c r="H768" s="44" t="str">
        <f>"  If Wert = " &amp; Tabelle7[[#This Row],[EnuValue]] &amp; " then Res = ""." &amp; Tabelle7[[#This Row],[EnuRohValue]] &amp; "."""</f>
        <v xml:space="preserve">  If Wert = archPCO_USERDEFINED then Res = ".USERDEFINED."</v>
      </c>
      <c r="I768" s="44" t="str">
        <f>"  If wert = ""." &amp; Tabelle7[[#This Row],[EnuRohValue]] &amp; "."" Then Res = " &amp; Tabelle7[[#This Row],[EnuValue]]</f>
        <v xml:space="preserve">  If wert = ".USERDEFINED." Then Res = archPCO_USERDEFINED</v>
      </c>
    </row>
    <row r="769" spans="2:9" x14ac:dyDescent="0.25">
      <c r="B769" s="44">
        <v>5</v>
      </c>
      <c r="C769" s="45" t="s">
        <v>1598</v>
      </c>
      <c r="D769" s="44" t="s">
        <v>3683</v>
      </c>
      <c r="E769" s="44" t="str">
        <f>VLOOKUP(Tabelle7[[#This Row],[EnumName]],Enum[[IFC-Name]:[Präfix]],5,FALSE)&amp;Tabelle7[[#This Row],[EnuRohValue]]</f>
        <v>archPCO_NOTDEFINED</v>
      </c>
      <c r="F769" s="44">
        <f>COUNTIF(Tabelle7[EnuValue],Tabelle7[[#This Row],[EnuValue]])</f>
        <v>1</v>
      </c>
      <c r="G769" s="44" t="str">
        <f xml:space="preserve"> "  " &amp; Tabelle7[[#This Row],[EnuValue]] &amp; " = " &amp; Tabelle7[[#This Row],[Wert]]</f>
        <v xml:space="preserve">  archPCO_NOTDEFINED = 5</v>
      </c>
      <c r="H769" s="44" t="str">
        <f>"  If Wert = " &amp; Tabelle7[[#This Row],[EnuValue]] &amp; " then Res = ""." &amp; Tabelle7[[#This Row],[EnuRohValue]] &amp; "."""</f>
        <v xml:space="preserve">  If Wert = archPCO_NOTDEFINED then Res = ".NOTDEFINED."</v>
      </c>
      <c r="I769" s="44" t="str">
        <f>"  If wert = ""." &amp; Tabelle7[[#This Row],[EnuRohValue]] &amp; "."" Then Res = " &amp; Tabelle7[[#This Row],[EnuValue]]</f>
        <v xml:space="preserve">  If wert = ".NOTDEFINED." Then Res = archPCO_NOTDEFINED</v>
      </c>
    </row>
    <row r="770" spans="2:9" x14ac:dyDescent="0.25">
      <c r="B770" s="44">
        <v>1</v>
      </c>
      <c r="C770" s="45" t="s">
        <v>1599</v>
      </c>
      <c r="D770" s="44" t="s">
        <v>4292</v>
      </c>
      <c r="E770" s="44" t="str">
        <f>VLOOKUP(Tabelle7[[#This Row],[EnumName]],Enum[[IFC-Name]:[Präfix]],5,FALSE)&amp;Tabelle7[[#This Row],[EnuRohValue]]</f>
        <v>pocPOV_PHYSICAL</v>
      </c>
      <c r="F770" s="44">
        <f>COUNTIF(Tabelle7[EnuValue],Tabelle7[[#This Row],[EnuValue]])</f>
        <v>1</v>
      </c>
      <c r="G770" s="44" t="str">
        <f xml:space="preserve"> "  " &amp; Tabelle7[[#This Row],[EnuValue]] &amp; " = " &amp; Tabelle7[[#This Row],[Wert]]</f>
        <v xml:space="preserve">  pocPOV_PHYSICAL = 1</v>
      </c>
      <c r="H770" s="44" t="str">
        <f>"  If Wert = " &amp; Tabelle7[[#This Row],[EnuValue]] &amp; " then Res = ""." &amp; Tabelle7[[#This Row],[EnuRohValue]] &amp; "."""</f>
        <v xml:space="preserve">  If Wert = pocPOV_PHYSICAL then Res = ".PHYSICAL."</v>
      </c>
      <c r="I770" s="44" t="str">
        <f>"  If wert = ""." &amp; Tabelle7[[#This Row],[EnuRohValue]] &amp; "."" Then Res = " &amp; Tabelle7[[#This Row],[EnuValue]]</f>
        <v xml:space="preserve">  If wert = ".PHYSICAL." Then Res = pocPOV_PHYSICAL</v>
      </c>
    </row>
    <row r="771" spans="2:9" x14ac:dyDescent="0.25">
      <c r="B771" s="44">
        <v>2</v>
      </c>
      <c r="C771" s="45" t="s">
        <v>1599</v>
      </c>
      <c r="D771" s="44" t="s">
        <v>4293</v>
      </c>
      <c r="E771" s="44" t="str">
        <f>VLOOKUP(Tabelle7[[#This Row],[EnumName]],Enum[[IFC-Name]:[Präfix]],5,FALSE)&amp;Tabelle7[[#This Row],[EnuRohValue]]</f>
        <v>pocPOV_VIRTUAL</v>
      </c>
      <c r="F771" s="44">
        <f>COUNTIF(Tabelle7[EnuValue],Tabelle7[[#This Row],[EnuValue]])</f>
        <v>1</v>
      </c>
      <c r="G771" s="44" t="str">
        <f xml:space="preserve"> "  " &amp; Tabelle7[[#This Row],[EnuValue]] &amp; " = " &amp; Tabelle7[[#This Row],[Wert]]</f>
        <v xml:space="preserve">  pocPOV_VIRTUAL = 2</v>
      </c>
      <c r="H771" s="44" t="str">
        <f>"  If Wert = " &amp; Tabelle7[[#This Row],[EnuValue]] &amp; " then Res = ""." &amp; Tabelle7[[#This Row],[EnuRohValue]] &amp; "."""</f>
        <v xml:space="preserve">  If Wert = pocPOV_VIRTUAL then Res = ".VIRTUAL."</v>
      </c>
      <c r="I771" s="44" t="str">
        <f>"  If wert = ""." &amp; Tabelle7[[#This Row],[EnuRohValue]] &amp; "."" Then Res = " &amp; Tabelle7[[#This Row],[EnuValue]]</f>
        <v xml:space="preserve">  If wert = ".VIRTUAL." Then Res = pocPOV_VIRTUAL</v>
      </c>
    </row>
    <row r="772" spans="2:9" x14ac:dyDescent="0.25">
      <c r="B772" s="44">
        <v>3</v>
      </c>
      <c r="C772" s="45" t="s">
        <v>1599</v>
      </c>
      <c r="D772" s="44" t="s">
        <v>3683</v>
      </c>
      <c r="E772" s="44" t="str">
        <f>VLOOKUP(Tabelle7[[#This Row],[EnumName]],Enum[[IFC-Name]:[Präfix]],5,FALSE)&amp;Tabelle7[[#This Row],[EnuRohValue]]</f>
        <v>pocPOV_NOTDEFINED</v>
      </c>
      <c r="F772" s="44">
        <f>COUNTIF(Tabelle7[EnuValue],Tabelle7[[#This Row],[EnuValue]])</f>
        <v>1</v>
      </c>
      <c r="G772" s="44" t="str">
        <f xml:space="preserve"> "  " &amp; Tabelle7[[#This Row],[EnuValue]] &amp; " = " &amp; Tabelle7[[#This Row],[Wert]]</f>
        <v xml:space="preserve">  pocPOV_NOTDEFINED = 3</v>
      </c>
      <c r="H772" s="44" t="str">
        <f>"  If Wert = " &amp; Tabelle7[[#This Row],[EnuValue]] &amp; " then Res = ""." &amp; Tabelle7[[#This Row],[EnuRohValue]] &amp; "."""</f>
        <v xml:space="preserve">  If Wert = pocPOV_NOTDEFINED then Res = ".NOTDEFINED."</v>
      </c>
      <c r="I772" s="44" t="str">
        <f>"  If wert = ""." &amp; Tabelle7[[#This Row],[EnuRohValue]] &amp; "."" Then Res = " &amp; Tabelle7[[#This Row],[EnuValue]]</f>
        <v xml:space="preserve">  If wert = ".NOTDEFINED." Then Res = pocPOV_NOTDEFINED</v>
      </c>
    </row>
    <row r="773" spans="2:9" x14ac:dyDescent="0.25">
      <c r="B773" s="44">
        <v>1</v>
      </c>
      <c r="C773" s="45" t="s">
        <v>1600</v>
      </c>
      <c r="D773" s="44" t="s">
        <v>4294</v>
      </c>
      <c r="E773" s="44" t="str">
        <f>VLOOKUP(Tabelle7[[#This Row],[EnumName]],Enum[[IFC-Name]:[Präfix]],5,FALSE)&amp;Tabelle7[[#This Row],[EnuRohValue]]</f>
        <v>stcPC_CAST_IN_PLACE</v>
      </c>
      <c r="F773" s="44">
        <f>COUNTIF(Tabelle7[EnuValue],Tabelle7[[#This Row],[EnuValue]])</f>
        <v>1</v>
      </c>
      <c r="G773" s="44" t="str">
        <f xml:space="preserve"> "  " &amp; Tabelle7[[#This Row],[EnuValue]] &amp; " = " &amp; Tabelle7[[#This Row],[Wert]]</f>
        <v xml:space="preserve">  stcPC_CAST_IN_PLACE = 1</v>
      </c>
      <c r="H773" s="44" t="str">
        <f>"  If Wert = " &amp; Tabelle7[[#This Row],[EnuValue]] &amp; " then Res = ""." &amp; Tabelle7[[#This Row],[EnuRohValue]] &amp; "."""</f>
        <v xml:space="preserve">  If Wert = stcPC_CAST_IN_PLACE then Res = ".CAST_IN_PLACE."</v>
      </c>
      <c r="I773" s="44" t="str">
        <f>"  If wert = ""." &amp; Tabelle7[[#This Row],[EnuRohValue]] &amp; "."" Then Res = " &amp; Tabelle7[[#This Row],[EnuValue]]</f>
        <v xml:space="preserve">  If wert = ".CAST_IN_PLACE." Then Res = stcPC_CAST_IN_PLACE</v>
      </c>
    </row>
    <row r="774" spans="2:9" x14ac:dyDescent="0.25">
      <c r="B774" s="44">
        <v>2</v>
      </c>
      <c r="C774" s="45" t="s">
        <v>1600</v>
      </c>
      <c r="D774" s="44" t="s">
        <v>4295</v>
      </c>
      <c r="E774" s="44" t="str">
        <f>VLOOKUP(Tabelle7[[#This Row],[EnumName]],Enum[[IFC-Name]:[Präfix]],5,FALSE)&amp;Tabelle7[[#This Row],[EnuRohValue]]</f>
        <v>stcPC_COMPOSITE</v>
      </c>
      <c r="F774" s="44">
        <f>COUNTIF(Tabelle7[EnuValue],Tabelle7[[#This Row],[EnuValue]])</f>
        <v>1</v>
      </c>
      <c r="G774" s="44" t="str">
        <f xml:space="preserve"> "  " &amp; Tabelle7[[#This Row],[EnuValue]] &amp; " = " &amp; Tabelle7[[#This Row],[Wert]]</f>
        <v xml:space="preserve">  stcPC_COMPOSITE = 2</v>
      </c>
      <c r="H774" s="44" t="str">
        <f>"  If Wert = " &amp; Tabelle7[[#This Row],[EnuValue]] &amp; " then Res = ""." &amp; Tabelle7[[#This Row],[EnuRohValue]] &amp; "."""</f>
        <v xml:space="preserve">  If Wert = stcPC_COMPOSITE then Res = ".COMPOSITE."</v>
      </c>
      <c r="I774" s="44" t="str">
        <f>"  If wert = ""." &amp; Tabelle7[[#This Row],[EnuRohValue]] &amp; "."" Then Res = " &amp; Tabelle7[[#This Row],[EnuValue]]</f>
        <v xml:space="preserve">  If wert = ".COMPOSITE." Then Res = stcPC_COMPOSITE</v>
      </c>
    </row>
    <row r="775" spans="2:9" x14ac:dyDescent="0.25">
      <c r="B775" s="44">
        <v>3</v>
      </c>
      <c r="C775" s="45" t="s">
        <v>1600</v>
      </c>
      <c r="D775" s="44" t="s">
        <v>4296</v>
      </c>
      <c r="E775" s="44" t="str">
        <f>VLOOKUP(Tabelle7[[#This Row],[EnumName]],Enum[[IFC-Name]:[Präfix]],5,FALSE)&amp;Tabelle7[[#This Row],[EnuRohValue]]</f>
        <v>stcPC_PRECAST_CONCRETE</v>
      </c>
      <c r="F775" s="44">
        <f>COUNTIF(Tabelle7[EnuValue],Tabelle7[[#This Row],[EnuValue]])</f>
        <v>1</v>
      </c>
      <c r="G775" s="44" t="str">
        <f xml:space="preserve"> "  " &amp; Tabelle7[[#This Row],[EnuValue]] &amp; " = " &amp; Tabelle7[[#This Row],[Wert]]</f>
        <v xml:space="preserve">  stcPC_PRECAST_CONCRETE = 3</v>
      </c>
      <c r="H775" s="44" t="str">
        <f>"  If Wert = " &amp; Tabelle7[[#This Row],[EnuValue]] &amp; " then Res = ""." &amp; Tabelle7[[#This Row],[EnuRohValue]] &amp; "."""</f>
        <v xml:space="preserve">  If Wert = stcPC_PRECAST_CONCRETE then Res = ".PRECAST_CONCRETE."</v>
      </c>
      <c r="I775" s="44" t="str">
        <f>"  If wert = ""." &amp; Tabelle7[[#This Row],[EnuRohValue]] &amp; "."" Then Res = " &amp; Tabelle7[[#This Row],[EnuValue]]</f>
        <v xml:space="preserve">  If wert = ".PRECAST_CONCRETE." Then Res = stcPC_PRECAST_CONCRETE</v>
      </c>
    </row>
    <row r="776" spans="2:9" x14ac:dyDescent="0.25">
      <c r="B776" s="44">
        <v>4</v>
      </c>
      <c r="C776" s="45" t="s">
        <v>1600</v>
      </c>
      <c r="D776" s="44" t="s">
        <v>4297</v>
      </c>
      <c r="E776" s="44" t="str">
        <f>VLOOKUP(Tabelle7[[#This Row],[EnumName]],Enum[[IFC-Name]:[Präfix]],5,FALSE)&amp;Tabelle7[[#This Row],[EnuRohValue]]</f>
        <v>stcPC_PREFAB_STEEL</v>
      </c>
      <c r="F776" s="44">
        <f>COUNTIF(Tabelle7[EnuValue],Tabelle7[[#This Row],[EnuValue]])</f>
        <v>1</v>
      </c>
      <c r="G776" s="44" t="str">
        <f xml:space="preserve"> "  " &amp; Tabelle7[[#This Row],[EnuValue]] &amp; " = " &amp; Tabelle7[[#This Row],[Wert]]</f>
        <v xml:space="preserve">  stcPC_PREFAB_STEEL = 4</v>
      </c>
      <c r="H776" s="44" t="str">
        <f>"  If Wert = " &amp; Tabelle7[[#This Row],[EnuValue]] &amp; " then Res = ""." &amp; Tabelle7[[#This Row],[EnuRohValue]] &amp; "."""</f>
        <v xml:space="preserve">  If Wert = stcPC_PREFAB_STEEL then Res = ".PREFAB_STEEL."</v>
      </c>
      <c r="I776" s="44" t="str">
        <f>"  If wert = ""." &amp; Tabelle7[[#This Row],[EnuRohValue]] &amp; "."" Then Res = " &amp; Tabelle7[[#This Row],[EnuValue]]</f>
        <v xml:space="preserve">  If wert = ".PREFAB_STEEL." Then Res = stcPC_PREFAB_STEEL</v>
      </c>
    </row>
    <row r="777" spans="2:9" x14ac:dyDescent="0.25">
      <c r="B777" s="44">
        <v>5</v>
      </c>
      <c r="C777" s="45" t="s">
        <v>1600</v>
      </c>
      <c r="D777" s="44" t="s">
        <v>3682</v>
      </c>
      <c r="E777" s="44" t="str">
        <f>VLOOKUP(Tabelle7[[#This Row],[EnumName]],Enum[[IFC-Name]:[Präfix]],5,FALSE)&amp;Tabelle7[[#This Row],[EnuRohValue]]</f>
        <v>stcPC_USERDEFINED</v>
      </c>
      <c r="F777" s="44">
        <f>COUNTIF(Tabelle7[EnuValue],Tabelle7[[#This Row],[EnuValue]])</f>
        <v>1</v>
      </c>
      <c r="G777" s="44" t="str">
        <f xml:space="preserve"> "  " &amp; Tabelle7[[#This Row],[EnuValue]] &amp; " = " &amp; Tabelle7[[#This Row],[Wert]]</f>
        <v xml:space="preserve">  stcPC_USERDEFINED = 5</v>
      </c>
      <c r="H777" s="44" t="str">
        <f>"  If Wert = " &amp; Tabelle7[[#This Row],[EnuValue]] &amp; " then Res = ""." &amp; Tabelle7[[#This Row],[EnuRohValue]] &amp; "."""</f>
        <v xml:space="preserve">  If Wert = stcPC_USERDEFINED then Res = ".USERDEFINED."</v>
      </c>
      <c r="I777" s="44" t="str">
        <f>"  If wert = ""." &amp; Tabelle7[[#This Row],[EnuRohValue]] &amp; "."" Then Res = " &amp; Tabelle7[[#This Row],[EnuValue]]</f>
        <v xml:space="preserve">  If wert = ".USERDEFINED." Then Res = stcPC_USERDEFINED</v>
      </c>
    </row>
    <row r="778" spans="2:9" x14ac:dyDescent="0.25">
      <c r="B778" s="44">
        <v>6</v>
      </c>
      <c r="C778" s="45" t="s">
        <v>1600</v>
      </c>
      <c r="D778" s="44" t="s">
        <v>3683</v>
      </c>
      <c r="E778" s="44" t="str">
        <f>VLOOKUP(Tabelle7[[#This Row],[EnumName]],Enum[[IFC-Name]:[Präfix]],5,FALSE)&amp;Tabelle7[[#This Row],[EnuRohValue]]</f>
        <v>stcPC_NOTDEFINED</v>
      </c>
      <c r="F778" s="44">
        <f>COUNTIF(Tabelle7[EnuValue],Tabelle7[[#This Row],[EnuValue]])</f>
        <v>1</v>
      </c>
      <c r="G778" s="44" t="str">
        <f xml:space="preserve"> "  " &amp; Tabelle7[[#This Row],[EnuValue]] &amp; " = " &amp; Tabelle7[[#This Row],[Wert]]</f>
        <v xml:space="preserve">  stcPC_NOTDEFINED = 6</v>
      </c>
      <c r="H778" s="44" t="str">
        <f>"  If Wert = " &amp; Tabelle7[[#This Row],[EnuValue]] &amp; " then Res = ""." &amp; Tabelle7[[#This Row],[EnuRohValue]] &amp; "."""</f>
        <v xml:space="preserve">  If Wert = stcPC_NOTDEFINED then Res = ".NOTDEFINED."</v>
      </c>
      <c r="I778" s="44" t="str">
        <f>"  If wert = ""." &amp; Tabelle7[[#This Row],[EnuRohValue]] &amp; "."" Then Res = " &amp; Tabelle7[[#This Row],[EnuValue]]</f>
        <v xml:space="preserve">  If wert = ".NOTDEFINED." Then Res = stcPC_NOTDEFINED</v>
      </c>
    </row>
    <row r="779" spans="2:9" x14ac:dyDescent="0.25">
      <c r="B779" s="44">
        <v>1</v>
      </c>
      <c r="C779" s="45" t="s">
        <v>1601</v>
      </c>
      <c r="D779" s="44" t="s">
        <v>4298</v>
      </c>
      <c r="E779" s="44" t="str">
        <f>VLOOKUP(Tabelle7[[#This Row],[EnumName]],Enum[[IFC-Name]:[Präfix]],5,FALSE)&amp;Tabelle7[[#This Row],[EnuRohValue]]</f>
        <v>stcPT_COHESION</v>
      </c>
      <c r="F779" s="44">
        <f>COUNTIF(Tabelle7[EnuValue],Tabelle7[[#This Row],[EnuValue]])</f>
        <v>1</v>
      </c>
      <c r="G779" s="44" t="str">
        <f xml:space="preserve"> "  " &amp; Tabelle7[[#This Row],[EnuValue]] &amp; " = " &amp; Tabelle7[[#This Row],[Wert]]</f>
        <v xml:space="preserve">  stcPT_COHESION = 1</v>
      </c>
      <c r="H779" s="44" t="str">
        <f>"  If Wert = " &amp; Tabelle7[[#This Row],[EnuValue]] &amp; " then Res = ""." &amp; Tabelle7[[#This Row],[EnuRohValue]] &amp; "."""</f>
        <v xml:space="preserve">  If Wert = stcPT_COHESION then Res = ".COHESION."</v>
      </c>
      <c r="I779" s="44" t="str">
        <f>"  If wert = ""." &amp; Tabelle7[[#This Row],[EnuRohValue]] &amp; "."" Then Res = " &amp; Tabelle7[[#This Row],[EnuValue]]</f>
        <v xml:space="preserve">  If wert = ".COHESION." Then Res = stcPT_COHESION</v>
      </c>
    </row>
    <row r="780" spans="2:9" x14ac:dyDescent="0.25">
      <c r="B780" s="44">
        <v>2</v>
      </c>
      <c r="C780" s="45" t="s">
        <v>1601</v>
      </c>
      <c r="D780" s="44" t="s">
        <v>4299</v>
      </c>
      <c r="E780" s="44" t="str">
        <f>VLOOKUP(Tabelle7[[#This Row],[EnumName]],Enum[[IFC-Name]:[Präfix]],5,FALSE)&amp;Tabelle7[[#This Row],[EnuRohValue]]</f>
        <v>stcPT_FRICTION</v>
      </c>
      <c r="F780" s="44">
        <f>COUNTIF(Tabelle7[EnuValue],Tabelle7[[#This Row],[EnuValue]])</f>
        <v>1</v>
      </c>
      <c r="G780" s="44" t="str">
        <f xml:space="preserve"> "  " &amp; Tabelle7[[#This Row],[EnuValue]] &amp; " = " &amp; Tabelle7[[#This Row],[Wert]]</f>
        <v xml:space="preserve">  stcPT_FRICTION = 2</v>
      </c>
      <c r="H780" s="44" t="str">
        <f>"  If Wert = " &amp; Tabelle7[[#This Row],[EnuValue]] &amp; " then Res = ""." &amp; Tabelle7[[#This Row],[EnuRohValue]] &amp; "."""</f>
        <v xml:space="preserve">  If Wert = stcPT_FRICTION then Res = ".FRICTION."</v>
      </c>
      <c r="I780" s="44" t="str">
        <f>"  If wert = ""." &amp; Tabelle7[[#This Row],[EnuRohValue]] &amp; "."" Then Res = " &amp; Tabelle7[[#This Row],[EnuValue]]</f>
        <v xml:space="preserve">  If wert = ".FRICTION." Then Res = stcPT_FRICTION</v>
      </c>
    </row>
    <row r="781" spans="2:9" x14ac:dyDescent="0.25">
      <c r="B781" s="44">
        <v>3</v>
      </c>
      <c r="C781" s="45" t="s">
        <v>1601</v>
      </c>
      <c r="D781" s="44" t="s">
        <v>4300</v>
      </c>
      <c r="E781" s="44" t="str">
        <f>VLOOKUP(Tabelle7[[#This Row],[EnumName]],Enum[[IFC-Name]:[Präfix]],5,FALSE)&amp;Tabelle7[[#This Row],[EnuRohValue]]</f>
        <v>stcPT_SUPPORT</v>
      </c>
      <c r="F781" s="44">
        <f>COUNTIF(Tabelle7[EnuValue],Tabelle7[[#This Row],[EnuValue]])</f>
        <v>1</v>
      </c>
      <c r="G781" s="44" t="str">
        <f xml:space="preserve"> "  " &amp; Tabelle7[[#This Row],[EnuValue]] &amp; " = " &amp; Tabelle7[[#This Row],[Wert]]</f>
        <v xml:space="preserve">  stcPT_SUPPORT = 3</v>
      </c>
      <c r="H781" s="44" t="str">
        <f>"  If Wert = " &amp; Tabelle7[[#This Row],[EnuValue]] &amp; " then Res = ""." &amp; Tabelle7[[#This Row],[EnuRohValue]] &amp; "."""</f>
        <v xml:space="preserve">  If Wert = stcPT_SUPPORT then Res = ".SUPPORT."</v>
      </c>
      <c r="I781" s="44" t="str">
        <f>"  If wert = ""." &amp; Tabelle7[[#This Row],[EnuRohValue]] &amp; "."" Then Res = " &amp; Tabelle7[[#This Row],[EnuValue]]</f>
        <v xml:space="preserve">  If wert = ".SUPPORT." Then Res = stcPT_SUPPORT</v>
      </c>
    </row>
    <row r="782" spans="2:9" x14ac:dyDescent="0.25">
      <c r="B782" s="44">
        <v>4</v>
      </c>
      <c r="C782" s="45" t="s">
        <v>1601</v>
      </c>
      <c r="D782" s="44" t="s">
        <v>3682</v>
      </c>
      <c r="E782" s="44" t="str">
        <f>VLOOKUP(Tabelle7[[#This Row],[EnumName]],Enum[[IFC-Name]:[Präfix]],5,FALSE)&amp;Tabelle7[[#This Row],[EnuRohValue]]</f>
        <v>stcPT_USERDEFINED</v>
      </c>
      <c r="F782" s="44">
        <f>COUNTIF(Tabelle7[EnuValue],Tabelle7[[#This Row],[EnuValue]])</f>
        <v>1</v>
      </c>
      <c r="G782" s="44" t="str">
        <f xml:space="preserve"> "  " &amp; Tabelle7[[#This Row],[EnuValue]] &amp; " = " &amp; Tabelle7[[#This Row],[Wert]]</f>
        <v xml:space="preserve">  stcPT_USERDEFINED = 4</v>
      </c>
      <c r="H782" s="44" t="str">
        <f>"  If Wert = " &amp; Tabelle7[[#This Row],[EnuValue]] &amp; " then Res = ""." &amp; Tabelle7[[#This Row],[EnuRohValue]] &amp; "."""</f>
        <v xml:space="preserve">  If Wert = stcPT_USERDEFINED then Res = ".USERDEFINED."</v>
      </c>
      <c r="I782" s="44" t="str">
        <f>"  If wert = ""." &amp; Tabelle7[[#This Row],[EnuRohValue]] &amp; "."" Then Res = " &amp; Tabelle7[[#This Row],[EnuValue]]</f>
        <v xml:space="preserve">  If wert = ".USERDEFINED." Then Res = stcPT_USERDEFINED</v>
      </c>
    </row>
    <row r="783" spans="2:9" x14ac:dyDescent="0.25">
      <c r="B783" s="44">
        <v>5</v>
      </c>
      <c r="C783" s="45" t="s">
        <v>1601</v>
      </c>
      <c r="D783" s="44" t="s">
        <v>3683</v>
      </c>
      <c r="E783" s="44" t="str">
        <f>VLOOKUP(Tabelle7[[#This Row],[EnumName]],Enum[[IFC-Name]:[Präfix]],5,FALSE)&amp;Tabelle7[[#This Row],[EnuRohValue]]</f>
        <v>stcPT_NOTDEFINED</v>
      </c>
      <c r="F783" s="44">
        <f>COUNTIF(Tabelle7[EnuValue],Tabelle7[[#This Row],[EnuValue]])</f>
        <v>1</v>
      </c>
      <c r="G783" s="44" t="str">
        <f xml:space="preserve"> "  " &amp; Tabelle7[[#This Row],[EnuValue]] &amp; " = " &amp; Tabelle7[[#This Row],[Wert]]</f>
        <v xml:space="preserve">  stcPT_NOTDEFINED = 5</v>
      </c>
      <c r="H783" s="44" t="str">
        <f>"  If Wert = " &amp; Tabelle7[[#This Row],[EnuValue]] &amp; " then Res = ""." &amp; Tabelle7[[#This Row],[EnuRohValue]] &amp; "."""</f>
        <v xml:space="preserve">  If Wert = stcPT_NOTDEFINED then Res = ".NOTDEFINED."</v>
      </c>
      <c r="I783" s="44" t="str">
        <f>"  If wert = ""." &amp; Tabelle7[[#This Row],[EnuRohValue]] &amp; "."" Then Res = " &amp; Tabelle7[[#This Row],[EnuValue]]</f>
        <v xml:space="preserve">  If wert = ".NOTDEFINED." Then Res = stcPT_NOTDEFINED</v>
      </c>
    </row>
    <row r="784" spans="2:9" x14ac:dyDescent="0.25">
      <c r="B784" s="44">
        <v>1</v>
      </c>
      <c r="C784" s="45" t="s">
        <v>1602</v>
      </c>
      <c r="D784" s="44" t="s">
        <v>3786</v>
      </c>
      <c r="E784" s="44" t="str">
        <f>VLOOKUP(Tabelle7[[#This Row],[EnumName]],Enum[[IFC-Name]:[Präfix]],5,FALSE)&amp;Tabelle7[[#This Row],[EnuRohValue]]</f>
        <v>hvacPFT_BEND</v>
      </c>
      <c r="F784" s="44">
        <f>COUNTIF(Tabelle7[EnuValue],Tabelle7[[#This Row],[EnuValue]])</f>
        <v>1</v>
      </c>
      <c r="G784" s="44" t="str">
        <f xml:space="preserve"> "  " &amp; Tabelle7[[#This Row],[EnuValue]] &amp; " = " &amp; Tabelle7[[#This Row],[Wert]]</f>
        <v xml:space="preserve">  hvacPFT_BEND = 1</v>
      </c>
      <c r="H784" s="44" t="str">
        <f>"  If Wert = " &amp; Tabelle7[[#This Row],[EnuValue]] &amp; " then Res = ""." &amp; Tabelle7[[#This Row],[EnuRohValue]] &amp; "."""</f>
        <v xml:space="preserve">  If Wert = hvacPFT_BEND then Res = ".BEND."</v>
      </c>
      <c r="I784" s="44" t="str">
        <f>"  If wert = ""." &amp; Tabelle7[[#This Row],[EnuRohValue]] &amp; "."" Then Res = " &amp; Tabelle7[[#This Row],[EnuValue]]</f>
        <v xml:space="preserve">  If wert = ".BEND." Then Res = hvacPFT_BEND</v>
      </c>
    </row>
    <row r="785" spans="2:9" x14ac:dyDescent="0.25">
      <c r="B785" s="44">
        <v>2</v>
      </c>
      <c r="C785" s="45" t="s">
        <v>1602</v>
      </c>
      <c r="D785" s="44" t="s">
        <v>4059</v>
      </c>
      <c r="E785" s="44" t="str">
        <f>VLOOKUP(Tabelle7[[#This Row],[EnumName]],Enum[[IFC-Name]:[Präfix]],5,FALSE)&amp;Tabelle7[[#This Row],[EnuRohValue]]</f>
        <v>hvacPFT_CONNECTOR</v>
      </c>
      <c r="F785" s="44">
        <f>COUNTIF(Tabelle7[EnuValue],Tabelle7[[#This Row],[EnuValue]])</f>
        <v>1</v>
      </c>
      <c r="G785" s="44" t="str">
        <f xml:space="preserve"> "  " &amp; Tabelle7[[#This Row],[EnuValue]] &amp; " = " &amp; Tabelle7[[#This Row],[Wert]]</f>
        <v xml:space="preserve">  hvacPFT_CONNECTOR = 2</v>
      </c>
      <c r="H785" s="44" t="str">
        <f>"  If Wert = " &amp; Tabelle7[[#This Row],[EnuValue]] &amp; " then Res = ""." &amp; Tabelle7[[#This Row],[EnuRohValue]] &amp; "."""</f>
        <v xml:space="preserve">  If Wert = hvacPFT_CONNECTOR then Res = ".CONNECTOR."</v>
      </c>
      <c r="I785" s="44" t="str">
        <f>"  If wert = ""." &amp; Tabelle7[[#This Row],[EnuRohValue]] &amp; "."" Then Res = " &amp; Tabelle7[[#This Row],[EnuValue]]</f>
        <v xml:space="preserve">  If wert = ".CONNECTOR." Then Res = hvacPFT_CONNECTOR</v>
      </c>
    </row>
    <row r="786" spans="2:9" x14ac:dyDescent="0.25">
      <c r="B786" s="44">
        <v>3</v>
      </c>
      <c r="C786" s="45" t="s">
        <v>1602</v>
      </c>
      <c r="D786" s="44" t="s">
        <v>4060</v>
      </c>
      <c r="E786" s="44" t="str">
        <f>VLOOKUP(Tabelle7[[#This Row],[EnumName]],Enum[[IFC-Name]:[Präfix]],5,FALSE)&amp;Tabelle7[[#This Row],[EnuRohValue]]</f>
        <v>hvacPFT_ENTRY</v>
      </c>
      <c r="F786" s="44">
        <f>COUNTIF(Tabelle7[EnuValue],Tabelle7[[#This Row],[EnuValue]])</f>
        <v>1</v>
      </c>
      <c r="G786" s="44" t="str">
        <f xml:space="preserve"> "  " &amp; Tabelle7[[#This Row],[EnuValue]] &amp; " = " &amp; Tabelle7[[#This Row],[Wert]]</f>
        <v xml:space="preserve">  hvacPFT_ENTRY = 3</v>
      </c>
      <c r="H786" s="44" t="str">
        <f>"  If Wert = " &amp; Tabelle7[[#This Row],[EnuValue]] &amp; " then Res = ""." &amp; Tabelle7[[#This Row],[EnuRohValue]] &amp; "."""</f>
        <v xml:space="preserve">  If Wert = hvacPFT_ENTRY then Res = ".ENTRY."</v>
      </c>
      <c r="I786" s="44" t="str">
        <f>"  If wert = ""." &amp; Tabelle7[[#This Row],[EnuRohValue]] &amp; "."" Then Res = " &amp; Tabelle7[[#This Row],[EnuValue]]</f>
        <v xml:space="preserve">  If wert = ".ENTRY." Then Res = hvacPFT_ENTRY</v>
      </c>
    </row>
    <row r="787" spans="2:9" x14ac:dyDescent="0.25">
      <c r="B787" s="44">
        <v>4</v>
      </c>
      <c r="C787" s="45" t="s">
        <v>1602</v>
      </c>
      <c r="D787" s="44" t="s">
        <v>4061</v>
      </c>
      <c r="E787" s="44" t="str">
        <f>VLOOKUP(Tabelle7[[#This Row],[EnumName]],Enum[[IFC-Name]:[Präfix]],5,FALSE)&amp;Tabelle7[[#This Row],[EnuRohValue]]</f>
        <v>hvacPFT_EXIT</v>
      </c>
      <c r="F787" s="44">
        <f>COUNTIF(Tabelle7[EnuValue],Tabelle7[[#This Row],[EnuValue]])</f>
        <v>1</v>
      </c>
      <c r="G787" s="44" t="str">
        <f xml:space="preserve"> "  " &amp; Tabelle7[[#This Row],[EnuValue]] &amp; " = " &amp; Tabelle7[[#This Row],[Wert]]</f>
        <v xml:space="preserve">  hvacPFT_EXIT = 4</v>
      </c>
      <c r="H787" s="44" t="str">
        <f>"  If Wert = " &amp; Tabelle7[[#This Row],[EnuValue]] &amp; " then Res = ""." &amp; Tabelle7[[#This Row],[EnuRohValue]] &amp; "."""</f>
        <v xml:space="preserve">  If Wert = hvacPFT_EXIT then Res = ".EXIT."</v>
      </c>
      <c r="I787" s="44" t="str">
        <f>"  If wert = ""." &amp; Tabelle7[[#This Row],[EnuRohValue]] &amp; "."" Then Res = " &amp; Tabelle7[[#This Row],[EnuValue]]</f>
        <v xml:space="preserve">  If wert = ".EXIT." Then Res = hvacPFT_EXIT</v>
      </c>
    </row>
    <row r="788" spans="2:9" x14ac:dyDescent="0.25">
      <c r="B788" s="44">
        <v>5</v>
      </c>
      <c r="C788" s="45" t="s">
        <v>1602</v>
      </c>
      <c r="D788" s="44" t="s">
        <v>4062</v>
      </c>
      <c r="E788" s="44" t="str">
        <f>VLOOKUP(Tabelle7[[#This Row],[EnumName]],Enum[[IFC-Name]:[Präfix]],5,FALSE)&amp;Tabelle7[[#This Row],[EnuRohValue]]</f>
        <v>hvacPFT_JUNCTION</v>
      </c>
      <c r="F788" s="44">
        <f>COUNTIF(Tabelle7[EnuValue],Tabelle7[[#This Row],[EnuValue]])</f>
        <v>1</v>
      </c>
      <c r="G788" s="44" t="str">
        <f xml:space="preserve"> "  " &amp; Tabelle7[[#This Row],[EnuValue]] &amp; " = " &amp; Tabelle7[[#This Row],[Wert]]</f>
        <v xml:space="preserve">  hvacPFT_JUNCTION = 5</v>
      </c>
      <c r="H788" s="44" t="str">
        <f>"  If Wert = " &amp; Tabelle7[[#This Row],[EnuValue]] &amp; " then Res = ""." &amp; Tabelle7[[#This Row],[EnuRohValue]] &amp; "."""</f>
        <v xml:space="preserve">  If Wert = hvacPFT_JUNCTION then Res = ".JUNCTION."</v>
      </c>
      <c r="I788" s="44" t="str">
        <f>"  If wert = ""." &amp; Tabelle7[[#This Row],[EnuRohValue]] &amp; "."" Then Res = " &amp; Tabelle7[[#This Row],[EnuValue]]</f>
        <v xml:space="preserve">  If wert = ".JUNCTION." Then Res = hvacPFT_JUNCTION</v>
      </c>
    </row>
    <row r="789" spans="2:9" x14ac:dyDescent="0.25">
      <c r="B789" s="44">
        <v>6</v>
      </c>
      <c r="C789" s="45" t="s">
        <v>1602</v>
      </c>
      <c r="D789" s="44" t="s">
        <v>4063</v>
      </c>
      <c r="E789" s="44" t="str">
        <f>VLOOKUP(Tabelle7[[#This Row],[EnumName]],Enum[[IFC-Name]:[Präfix]],5,FALSE)&amp;Tabelle7[[#This Row],[EnuRohValue]]</f>
        <v>hvacPFT_OBSTRUCTION</v>
      </c>
      <c r="F789" s="44">
        <f>COUNTIF(Tabelle7[EnuValue],Tabelle7[[#This Row],[EnuValue]])</f>
        <v>1</v>
      </c>
      <c r="G789" s="44" t="str">
        <f xml:space="preserve"> "  " &amp; Tabelle7[[#This Row],[EnuValue]] &amp; " = " &amp; Tabelle7[[#This Row],[Wert]]</f>
        <v xml:space="preserve">  hvacPFT_OBSTRUCTION = 6</v>
      </c>
      <c r="H789" s="44" t="str">
        <f>"  If Wert = " &amp; Tabelle7[[#This Row],[EnuValue]] &amp; " then Res = ""." &amp; Tabelle7[[#This Row],[EnuRohValue]] &amp; "."""</f>
        <v xml:space="preserve">  If Wert = hvacPFT_OBSTRUCTION then Res = ".OBSTRUCTION."</v>
      </c>
      <c r="I789" s="44" t="str">
        <f>"  If wert = ""." &amp; Tabelle7[[#This Row],[EnuRohValue]] &amp; "."" Then Res = " &amp; Tabelle7[[#This Row],[EnuValue]]</f>
        <v xml:space="preserve">  If wert = ".OBSTRUCTION." Then Res = hvacPFT_OBSTRUCTION</v>
      </c>
    </row>
    <row r="790" spans="2:9" x14ac:dyDescent="0.25">
      <c r="B790" s="44">
        <v>7</v>
      </c>
      <c r="C790" s="45" t="s">
        <v>1602</v>
      </c>
      <c r="D790" s="44" t="s">
        <v>4064</v>
      </c>
      <c r="E790" s="44" t="str">
        <f>VLOOKUP(Tabelle7[[#This Row],[EnumName]],Enum[[IFC-Name]:[Präfix]],5,FALSE)&amp;Tabelle7[[#This Row],[EnuRohValue]]</f>
        <v>hvacPFT_TRANSITION</v>
      </c>
      <c r="F790" s="44">
        <f>COUNTIF(Tabelle7[EnuValue],Tabelle7[[#This Row],[EnuValue]])</f>
        <v>1</v>
      </c>
      <c r="G790" s="44" t="str">
        <f xml:space="preserve"> "  " &amp; Tabelle7[[#This Row],[EnuValue]] &amp; " = " &amp; Tabelle7[[#This Row],[Wert]]</f>
        <v xml:space="preserve">  hvacPFT_TRANSITION = 7</v>
      </c>
      <c r="H790" s="44" t="str">
        <f>"  If Wert = " &amp; Tabelle7[[#This Row],[EnuValue]] &amp; " then Res = ""." &amp; Tabelle7[[#This Row],[EnuRohValue]] &amp; "."""</f>
        <v xml:space="preserve">  If Wert = hvacPFT_TRANSITION then Res = ".TRANSITION."</v>
      </c>
      <c r="I790" s="44" t="str">
        <f>"  If wert = ""." &amp; Tabelle7[[#This Row],[EnuRohValue]] &amp; "."" Then Res = " &amp; Tabelle7[[#This Row],[EnuValue]]</f>
        <v xml:space="preserve">  If wert = ".TRANSITION." Then Res = hvacPFT_TRANSITION</v>
      </c>
    </row>
    <row r="791" spans="2:9" x14ac:dyDescent="0.25">
      <c r="B791" s="44">
        <v>8</v>
      </c>
      <c r="C791" s="45" t="s">
        <v>1602</v>
      </c>
      <c r="D791" s="44" t="s">
        <v>3682</v>
      </c>
      <c r="E791" s="44" t="str">
        <f>VLOOKUP(Tabelle7[[#This Row],[EnumName]],Enum[[IFC-Name]:[Präfix]],5,FALSE)&amp;Tabelle7[[#This Row],[EnuRohValue]]</f>
        <v>hvacPFT_USERDEFINED</v>
      </c>
      <c r="F791" s="44">
        <f>COUNTIF(Tabelle7[EnuValue],Tabelle7[[#This Row],[EnuValue]])</f>
        <v>1</v>
      </c>
      <c r="G791" s="44" t="str">
        <f xml:space="preserve"> "  " &amp; Tabelle7[[#This Row],[EnuValue]] &amp; " = " &amp; Tabelle7[[#This Row],[Wert]]</f>
        <v xml:space="preserve">  hvacPFT_USERDEFINED = 8</v>
      </c>
      <c r="H791" s="44" t="str">
        <f>"  If Wert = " &amp; Tabelle7[[#This Row],[EnuValue]] &amp; " then Res = ""." &amp; Tabelle7[[#This Row],[EnuRohValue]] &amp; "."""</f>
        <v xml:space="preserve">  If Wert = hvacPFT_USERDEFINED then Res = ".USERDEFINED."</v>
      </c>
      <c r="I791" s="44" t="str">
        <f>"  If wert = ""." &amp; Tabelle7[[#This Row],[EnuRohValue]] &amp; "."" Then Res = " &amp; Tabelle7[[#This Row],[EnuValue]]</f>
        <v xml:space="preserve">  If wert = ".USERDEFINED." Then Res = hvacPFT_USERDEFINED</v>
      </c>
    </row>
    <row r="792" spans="2:9" x14ac:dyDescent="0.25">
      <c r="B792" s="44">
        <v>9</v>
      </c>
      <c r="C792" s="45" t="s">
        <v>1602</v>
      </c>
      <c r="D792" s="44" t="s">
        <v>3683</v>
      </c>
      <c r="E792" s="44" t="str">
        <f>VLOOKUP(Tabelle7[[#This Row],[EnumName]],Enum[[IFC-Name]:[Präfix]],5,FALSE)&amp;Tabelle7[[#This Row],[EnuRohValue]]</f>
        <v>hvacPFT_NOTDEFINED</v>
      </c>
      <c r="F792" s="44">
        <f>COUNTIF(Tabelle7[EnuValue],Tabelle7[[#This Row],[EnuValue]])</f>
        <v>1</v>
      </c>
      <c r="G792" s="44" t="str">
        <f xml:space="preserve"> "  " &amp; Tabelle7[[#This Row],[EnuValue]] &amp; " = " &amp; Tabelle7[[#This Row],[Wert]]</f>
        <v xml:space="preserve">  hvacPFT_NOTDEFINED = 9</v>
      </c>
      <c r="H792" s="44" t="str">
        <f>"  If Wert = " &amp; Tabelle7[[#This Row],[EnuValue]] &amp; " then Res = ""." &amp; Tabelle7[[#This Row],[EnuRohValue]] &amp; "."""</f>
        <v xml:space="preserve">  If Wert = hvacPFT_NOTDEFINED then Res = ".NOTDEFINED."</v>
      </c>
      <c r="I792" s="44" t="str">
        <f>"  If wert = ""." &amp; Tabelle7[[#This Row],[EnuRohValue]] &amp; "."" Then Res = " &amp; Tabelle7[[#This Row],[EnuValue]]</f>
        <v xml:space="preserve">  If wert = ".NOTDEFINED." Then Res = hvacPFT_NOTDEFINED</v>
      </c>
    </row>
    <row r="793" spans="2:9" x14ac:dyDescent="0.25">
      <c r="B793" s="44">
        <v>1</v>
      </c>
      <c r="C793" s="45" t="s">
        <v>1603</v>
      </c>
      <c r="D793" s="44" t="s">
        <v>4066</v>
      </c>
      <c r="E793" s="44" t="str">
        <f>VLOOKUP(Tabelle7[[#This Row],[EnumName]],Enum[[IFC-Name]:[Präfix]],5,FALSE)&amp;Tabelle7[[#This Row],[EnuRohValue]]</f>
        <v>hvacPST_FLEXIBLESEGMENT</v>
      </c>
      <c r="F793" s="44">
        <f>COUNTIF(Tabelle7[EnuValue],Tabelle7[[#This Row],[EnuValue]])</f>
        <v>1</v>
      </c>
      <c r="G793" s="44" t="str">
        <f xml:space="preserve"> "  " &amp; Tabelle7[[#This Row],[EnuValue]] &amp; " = " &amp; Tabelle7[[#This Row],[Wert]]</f>
        <v xml:space="preserve">  hvacPST_FLEXIBLESEGMENT = 1</v>
      </c>
      <c r="H793" s="44" t="str">
        <f>"  If Wert = " &amp; Tabelle7[[#This Row],[EnuValue]] &amp; " then Res = ""." &amp; Tabelle7[[#This Row],[EnuRohValue]] &amp; "."""</f>
        <v xml:space="preserve">  If Wert = hvacPST_FLEXIBLESEGMENT then Res = ".FLEXIBLESEGMENT."</v>
      </c>
      <c r="I793" s="44" t="str">
        <f>"  If wert = ""." &amp; Tabelle7[[#This Row],[EnuRohValue]] &amp; "."" Then Res = " &amp; Tabelle7[[#This Row],[EnuValue]]</f>
        <v xml:space="preserve">  If wert = ".FLEXIBLESEGMENT." Then Res = hvacPST_FLEXIBLESEGMENT</v>
      </c>
    </row>
    <row r="794" spans="2:9" x14ac:dyDescent="0.25">
      <c r="B794" s="44">
        <v>2</v>
      </c>
      <c r="C794" s="45" t="s">
        <v>1603</v>
      </c>
      <c r="D794" s="44" t="s">
        <v>4065</v>
      </c>
      <c r="E794" s="44" t="str">
        <f>VLOOKUP(Tabelle7[[#This Row],[EnumName]],Enum[[IFC-Name]:[Präfix]],5,FALSE)&amp;Tabelle7[[#This Row],[EnuRohValue]]</f>
        <v>hvacPST_RIGIDSEGMENT</v>
      </c>
      <c r="F794" s="44">
        <f>COUNTIF(Tabelle7[EnuValue],Tabelle7[[#This Row],[EnuValue]])</f>
        <v>1</v>
      </c>
      <c r="G794" s="44" t="str">
        <f xml:space="preserve"> "  " &amp; Tabelle7[[#This Row],[EnuValue]] &amp; " = " &amp; Tabelle7[[#This Row],[Wert]]</f>
        <v xml:space="preserve">  hvacPST_RIGIDSEGMENT = 2</v>
      </c>
      <c r="H794" s="44" t="str">
        <f>"  If Wert = " &amp; Tabelle7[[#This Row],[EnuValue]] &amp; " then Res = ""." &amp; Tabelle7[[#This Row],[EnuRohValue]] &amp; "."""</f>
        <v xml:space="preserve">  If Wert = hvacPST_RIGIDSEGMENT then Res = ".RIGIDSEGMENT."</v>
      </c>
      <c r="I794" s="44" t="str">
        <f>"  If wert = ""." &amp; Tabelle7[[#This Row],[EnuRohValue]] &amp; "."" Then Res = " &amp; Tabelle7[[#This Row],[EnuValue]]</f>
        <v xml:space="preserve">  If wert = ".RIGIDSEGMENT." Then Res = hvacPST_RIGIDSEGMENT</v>
      </c>
    </row>
    <row r="795" spans="2:9" x14ac:dyDescent="0.25">
      <c r="B795" s="44">
        <v>3</v>
      </c>
      <c r="C795" s="45" t="s">
        <v>1603</v>
      </c>
      <c r="D795" s="44" t="s">
        <v>4301</v>
      </c>
      <c r="E795" s="44" t="str">
        <f>VLOOKUP(Tabelle7[[#This Row],[EnumName]],Enum[[IFC-Name]:[Präfix]],5,FALSE)&amp;Tabelle7[[#This Row],[EnuRohValue]]</f>
        <v>hvacPST_GUTTER</v>
      </c>
      <c r="F795" s="44">
        <f>COUNTIF(Tabelle7[EnuValue],Tabelle7[[#This Row],[EnuValue]])</f>
        <v>1</v>
      </c>
      <c r="G795" s="44" t="str">
        <f xml:space="preserve"> "  " &amp; Tabelle7[[#This Row],[EnuValue]] &amp; " = " &amp; Tabelle7[[#This Row],[Wert]]</f>
        <v xml:space="preserve">  hvacPST_GUTTER = 3</v>
      </c>
      <c r="H795" s="44" t="str">
        <f>"  If Wert = " &amp; Tabelle7[[#This Row],[EnuValue]] &amp; " then Res = ""." &amp; Tabelle7[[#This Row],[EnuRohValue]] &amp; "."""</f>
        <v xml:space="preserve">  If Wert = hvacPST_GUTTER then Res = ".GUTTER."</v>
      </c>
      <c r="I795" s="44" t="str">
        <f>"  If wert = ""." &amp; Tabelle7[[#This Row],[EnuRohValue]] &amp; "."" Then Res = " &amp; Tabelle7[[#This Row],[EnuValue]]</f>
        <v xml:space="preserve">  If wert = ".GUTTER." Then Res = hvacPST_GUTTER</v>
      </c>
    </row>
    <row r="796" spans="2:9" x14ac:dyDescent="0.25">
      <c r="B796" s="44">
        <v>4</v>
      </c>
      <c r="C796" s="45" t="s">
        <v>1603</v>
      </c>
      <c r="D796" s="44" t="s">
        <v>4302</v>
      </c>
      <c r="E796" s="44" t="str">
        <f>VLOOKUP(Tabelle7[[#This Row],[EnumName]],Enum[[IFC-Name]:[Präfix]],5,FALSE)&amp;Tabelle7[[#This Row],[EnuRohValue]]</f>
        <v>hvacPST_SPOOL</v>
      </c>
      <c r="F796" s="44">
        <f>COUNTIF(Tabelle7[EnuValue],Tabelle7[[#This Row],[EnuValue]])</f>
        <v>1</v>
      </c>
      <c r="G796" s="44" t="str">
        <f xml:space="preserve"> "  " &amp; Tabelle7[[#This Row],[EnuValue]] &amp; " = " &amp; Tabelle7[[#This Row],[Wert]]</f>
        <v xml:space="preserve">  hvacPST_SPOOL = 4</v>
      </c>
      <c r="H796" s="44" t="str">
        <f>"  If Wert = " &amp; Tabelle7[[#This Row],[EnuValue]] &amp; " then Res = ""." &amp; Tabelle7[[#This Row],[EnuRohValue]] &amp; "."""</f>
        <v xml:space="preserve">  If Wert = hvacPST_SPOOL then Res = ".SPOOL."</v>
      </c>
      <c r="I796" s="44" t="str">
        <f>"  If wert = ""." &amp; Tabelle7[[#This Row],[EnuRohValue]] &amp; "."" Then Res = " &amp; Tabelle7[[#This Row],[EnuValue]]</f>
        <v xml:space="preserve">  If wert = ".SPOOL." Then Res = hvacPST_SPOOL</v>
      </c>
    </row>
    <row r="797" spans="2:9" x14ac:dyDescent="0.25">
      <c r="B797" s="44">
        <v>5</v>
      </c>
      <c r="C797" s="45" t="s">
        <v>1603</v>
      </c>
      <c r="D797" s="44" t="s">
        <v>3682</v>
      </c>
      <c r="E797" s="44" t="str">
        <f>VLOOKUP(Tabelle7[[#This Row],[EnumName]],Enum[[IFC-Name]:[Präfix]],5,FALSE)&amp;Tabelle7[[#This Row],[EnuRohValue]]</f>
        <v>hvacPST_USERDEFINED</v>
      </c>
      <c r="F797" s="44">
        <f>COUNTIF(Tabelle7[EnuValue],Tabelle7[[#This Row],[EnuValue]])</f>
        <v>1</v>
      </c>
      <c r="G797" s="44" t="str">
        <f xml:space="preserve"> "  " &amp; Tabelle7[[#This Row],[EnuValue]] &amp; " = " &amp; Tabelle7[[#This Row],[Wert]]</f>
        <v xml:space="preserve">  hvacPST_USERDEFINED = 5</v>
      </c>
      <c r="H797" s="44" t="str">
        <f>"  If Wert = " &amp; Tabelle7[[#This Row],[EnuValue]] &amp; " then Res = ""." &amp; Tabelle7[[#This Row],[EnuRohValue]] &amp; "."""</f>
        <v xml:space="preserve">  If Wert = hvacPST_USERDEFINED then Res = ".USERDEFINED."</v>
      </c>
      <c r="I797" s="44" t="str">
        <f>"  If wert = ""." &amp; Tabelle7[[#This Row],[EnuRohValue]] &amp; "."" Then Res = " &amp; Tabelle7[[#This Row],[EnuValue]]</f>
        <v xml:space="preserve">  If wert = ".USERDEFINED." Then Res = hvacPST_USERDEFINED</v>
      </c>
    </row>
    <row r="798" spans="2:9" x14ac:dyDescent="0.25">
      <c r="B798" s="44">
        <v>6</v>
      </c>
      <c r="C798" s="45" t="s">
        <v>1603</v>
      </c>
      <c r="D798" s="44" t="s">
        <v>3683</v>
      </c>
      <c r="E798" s="44" t="str">
        <f>VLOOKUP(Tabelle7[[#This Row],[EnumName]],Enum[[IFC-Name]:[Präfix]],5,FALSE)&amp;Tabelle7[[#This Row],[EnuRohValue]]</f>
        <v>hvacPST_NOTDEFINED</v>
      </c>
      <c r="F798" s="44">
        <f>COUNTIF(Tabelle7[EnuValue],Tabelle7[[#This Row],[EnuValue]])</f>
        <v>1</v>
      </c>
      <c r="G798" s="44" t="str">
        <f xml:space="preserve"> "  " &amp; Tabelle7[[#This Row],[EnuValue]] &amp; " = " &amp; Tabelle7[[#This Row],[Wert]]</f>
        <v xml:space="preserve">  hvacPST_NOTDEFINED = 6</v>
      </c>
      <c r="H798" s="44" t="str">
        <f>"  If Wert = " &amp; Tabelle7[[#This Row],[EnuValue]] &amp; " then Res = ""." &amp; Tabelle7[[#This Row],[EnuRohValue]] &amp; "."""</f>
        <v xml:space="preserve">  If Wert = hvacPST_NOTDEFINED then Res = ".NOTDEFINED."</v>
      </c>
      <c r="I798" s="44" t="str">
        <f>"  If wert = ""." &amp; Tabelle7[[#This Row],[EnuRohValue]] &amp; "."" Then Res = " &amp; Tabelle7[[#This Row],[EnuValue]]</f>
        <v xml:space="preserve">  If wert = ".NOTDEFINED." Then Res = hvacPST_NOTDEFINED</v>
      </c>
    </row>
    <row r="799" spans="2:9" x14ac:dyDescent="0.25">
      <c r="B799" s="44">
        <v>1</v>
      </c>
      <c r="C799" s="45" t="s">
        <v>1604</v>
      </c>
      <c r="D799" s="44" t="s">
        <v>4303</v>
      </c>
      <c r="E799" s="44" t="str">
        <f>VLOOKUP(Tabelle7[[#This Row],[EnumName]],Enum[[IFC-Name]:[Präfix]],5,FALSE)&amp;Tabelle7[[#This Row],[EnuRohValue]]</f>
        <v>sbePT_CURTAIN_PANEL</v>
      </c>
      <c r="F799" s="44">
        <f>COUNTIF(Tabelle7[EnuValue],Tabelle7[[#This Row],[EnuValue]])</f>
        <v>1</v>
      </c>
      <c r="G799" s="44" t="str">
        <f xml:space="preserve"> "  " &amp; Tabelle7[[#This Row],[EnuValue]] &amp; " = " &amp; Tabelle7[[#This Row],[Wert]]</f>
        <v xml:space="preserve">  sbePT_CURTAIN_PANEL = 1</v>
      </c>
      <c r="H799" s="44" t="str">
        <f>"  If Wert = " &amp; Tabelle7[[#This Row],[EnuValue]] &amp; " then Res = ""." &amp; Tabelle7[[#This Row],[EnuRohValue]] &amp; "."""</f>
        <v xml:space="preserve">  If Wert = sbePT_CURTAIN_PANEL then Res = ".CURTAIN_PANEL."</v>
      </c>
      <c r="I799" s="44" t="str">
        <f>"  If wert = ""." &amp; Tabelle7[[#This Row],[EnuRohValue]] &amp; "."" Then Res = " &amp; Tabelle7[[#This Row],[EnuValue]]</f>
        <v xml:space="preserve">  If wert = ".CURTAIN_PANEL." Then Res = sbePT_CURTAIN_PANEL</v>
      </c>
    </row>
    <row r="800" spans="2:9" x14ac:dyDescent="0.25">
      <c r="B800" s="44">
        <v>2</v>
      </c>
      <c r="C800" s="45" t="s">
        <v>1604</v>
      </c>
      <c r="D800" s="44" t="s">
        <v>4304</v>
      </c>
      <c r="E800" s="44" t="str">
        <f>VLOOKUP(Tabelle7[[#This Row],[EnumName]],Enum[[IFC-Name]:[Präfix]],5,FALSE)&amp;Tabelle7[[#This Row],[EnuRohValue]]</f>
        <v>sbePT_SHEET</v>
      </c>
      <c r="F800" s="44">
        <f>COUNTIF(Tabelle7[EnuValue],Tabelle7[[#This Row],[EnuValue]])</f>
        <v>1</v>
      </c>
      <c r="G800" s="44" t="str">
        <f xml:space="preserve"> "  " &amp; Tabelle7[[#This Row],[EnuValue]] &amp; " = " &amp; Tabelle7[[#This Row],[Wert]]</f>
        <v xml:space="preserve">  sbePT_SHEET = 2</v>
      </c>
      <c r="H800" s="44" t="str">
        <f>"  If Wert = " &amp; Tabelle7[[#This Row],[EnuValue]] &amp; " then Res = ""." &amp; Tabelle7[[#This Row],[EnuRohValue]] &amp; "."""</f>
        <v xml:space="preserve">  If Wert = sbePT_SHEET then Res = ".SHEET."</v>
      </c>
      <c r="I800" s="44" t="str">
        <f>"  If wert = ""." &amp; Tabelle7[[#This Row],[EnuRohValue]] &amp; "."" Then Res = " &amp; Tabelle7[[#This Row],[EnuValue]]</f>
        <v xml:space="preserve">  If wert = ".SHEET." Then Res = sbePT_SHEET</v>
      </c>
    </row>
    <row r="801" spans="2:9" x14ac:dyDescent="0.25">
      <c r="B801" s="44">
        <v>3</v>
      </c>
      <c r="C801" s="45" t="s">
        <v>1604</v>
      </c>
      <c r="D801" s="44" t="s">
        <v>3682</v>
      </c>
      <c r="E801" s="44" t="str">
        <f>VLOOKUP(Tabelle7[[#This Row],[EnumName]],Enum[[IFC-Name]:[Präfix]],5,FALSE)&amp;Tabelle7[[#This Row],[EnuRohValue]]</f>
        <v>sbePT_USERDEFINED</v>
      </c>
      <c r="F801" s="44">
        <f>COUNTIF(Tabelle7[EnuValue],Tabelle7[[#This Row],[EnuValue]])</f>
        <v>1</v>
      </c>
      <c r="G801" s="44" t="str">
        <f xml:space="preserve"> "  " &amp; Tabelle7[[#This Row],[EnuValue]] &amp; " = " &amp; Tabelle7[[#This Row],[Wert]]</f>
        <v xml:space="preserve">  sbePT_USERDEFINED = 3</v>
      </c>
      <c r="H801" s="44" t="str">
        <f>"  If Wert = " &amp; Tabelle7[[#This Row],[EnuValue]] &amp; " then Res = ""." &amp; Tabelle7[[#This Row],[EnuRohValue]] &amp; "."""</f>
        <v xml:space="preserve">  If Wert = sbePT_USERDEFINED then Res = ".USERDEFINED."</v>
      </c>
      <c r="I801" s="44" t="str">
        <f>"  If wert = ""." &amp; Tabelle7[[#This Row],[EnuRohValue]] &amp; "."" Then Res = " &amp; Tabelle7[[#This Row],[EnuValue]]</f>
        <v xml:space="preserve">  If wert = ".USERDEFINED." Then Res = sbePT_USERDEFINED</v>
      </c>
    </row>
    <row r="802" spans="2:9" x14ac:dyDescent="0.25">
      <c r="B802" s="44">
        <v>4</v>
      </c>
      <c r="C802" s="45" t="s">
        <v>1604</v>
      </c>
      <c r="D802" s="44" t="s">
        <v>3683</v>
      </c>
      <c r="E802" s="44" t="str">
        <f>VLOOKUP(Tabelle7[[#This Row],[EnumName]],Enum[[IFC-Name]:[Präfix]],5,FALSE)&amp;Tabelle7[[#This Row],[EnuRohValue]]</f>
        <v>sbePT_NOTDEFINED</v>
      </c>
      <c r="F802" s="44">
        <f>COUNTIF(Tabelle7[EnuValue],Tabelle7[[#This Row],[EnuValue]])</f>
        <v>1</v>
      </c>
      <c r="G802" s="44" t="str">
        <f xml:space="preserve"> "  " &amp; Tabelle7[[#This Row],[EnuValue]] &amp; " = " &amp; Tabelle7[[#This Row],[Wert]]</f>
        <v xml:space="preserve">  sbePT_NOTDEFINED = 4</v>
      </c>
      <c r="H802" s="44" t="str">
        <f>"  If Wert = " &amp; Tabelle7[[#This Row],[EnuValue]] &amp; " then Res = ""." &amp; Tabelle7[[#This Row],[EnuRohValue]] &amp; "."""</f>
        <v xml:space="preserve">  If Wert = sbePT_NOTDEFINED then Res = ".NOTDEFINED."</v>
      </c>
      <c r="I802" s="44" t="str">
        <f>"  If wert = ""." &amp; Tabelle7[[#This Row],[EnuRohValue]] &amp; "."" Then Res = " &amp; Tabelle7[[#This Row],[EnuValue]]</f>
        <v xml:space="preserve">  If wert = ".NOTDEFINED." Then Res = sbePT_NOTDEFINED</v>
      </c>
    </row>
    <row r="803" spans="2:9" x14ac:dyDescent="0.25">
      <c r="B803" s="44">
        <v>1</v>
      </c>
      <c r="C803" s="45" t="s">
        <v>1605</v>
      </c>
      <c r="D803" s="44" t="s">
        <v>4305</v>
      </c>
      <c r="E803" s="44" t="str">
        <f>VLOOKUP(Tabelle7[[#This Row],[EnumName]],Enum[[IFC-Name]:[Präfix]],5,FALSE)&amp;Tabelle7[[#This Row],[EnuRohValue]]</f>
        <v>pocPT_ADVICE_CAUTION</v>
      </c>
      <c r="F803" s="44">
        <f>COUNTIF(Tabelle7[EnuValue],Tabelle7[[#This Row],[EnuValue]])</f>
        <v>1</v>
      </c>
      <c r="G803" s="44" t="str">
        <f xml:space="preserve"> "  " &amp; Tabelle7[[#This Row],[EnuValue]] &amp; " = " &amp; Tabelle7[[#This Row],[Wert]]</f>
        <v xml:space="preserve">  pocPT_ADVICE_CAUTION = 1</v>
      </c>
      <c r="H803" s="44" t="str">
        <f>"  If Wert = " &amp; Tabelle7[[#This Row],[EnuValue]] &amp; " then Res = ""." &amp; Tabelle7[[#This Row],[EnuRohValue]] &amp; "."""</f>
        <v xml:space="preserve">  If Wert = pocPT_ADVICE_CAUTION then Res = ".ADVICE_CAUTION."</v>
      </c>
      <c r="I803" s="44" t="str">
        <f>"  If wert = ""." &amp; Tabelle7[[#This Row],[EnuRohValue]] &amp; "."" Then Res = " &amp; Tabelle7[[#This Row],[EnuValue]]</f>
        <v xml:space="preserve">  If wert = ".ADVICE_CAUTION." Then Res = pocPT_ADVICE_CAUTION</v>
      </c>
    </row>
    <row r="804" spans="2:9" x14ac:dyDescent="0.25">
      <c r="B804" s="44">
        <v>2</v>
      </c>
      <c r="C804" s="45" t="s">
        <v>1605</v>
      </c>
      <c r="D804" s="44" t="s">
        <v>4306</v>
      </c>
      <c r="E804" s="44" t="str">
        <f>VLOOKUP(Tabelle7[[#This Row],[EnumName]],Enum[[IFC-Name]:[Präfix]],5,FALSE)&amp;Tabelle7[[#This Row],[EnuRohValue]]</f>
        <v>pocPT_ADVICE_NOTE</v>
      </c>
      <c r="F804" s="44">
        <f>COUNTIF(Tabelle7[EnuValue],Tabelle7[[#This Row],[EnuValue]])</f>
        <v>1</v>
      </c>
      <c r="G804" s="44" t="str">
        <f xml:space="preserve"> "  " &amp; Tabelle7[[#This Row],[EnuValue]] &amp; " = " &amp; Tabelle7[[#This Row],[Wert]]</f>
        <v xml:space="preserve">  pocPT_ADVICE_NOTE = 2</v>
      </c>
      <c r="H804" s="44" t="str">
        <f>"  If Wert = " &amp; Tabelle7[[#This Row],[EnuValue]] &amp; " then Res = ""." &amp; Tabelle7[[#This Row],[EnuRohValue]] &amp; "."""</f>
        <v xml:space="preserve">  If Wert = pocPT_ADVICE_NOTE then Res = ".ADVICE_NOTE."</v>
      </c>
      <c r="I804" s="44" t="str">
        <f>"  If wert = ""." &amp; Tabelle7[[#This Row],[EnuRohValue]] &amp; "."" Then Res = " &amp; Tabelle7[[#This Row],[EnuValue]]</f>
        <v xml:space="preserve">  If wert = ".ADVICE_NOTE." Then Res = pocPT_ADVICE_NOTE</v>
      </c>
    </row>
    <row r="805" spans="2:9" x14ac:dyDescent="0.25">
      <c r="B805" s="44">
        <v>3</v>
      </c>
      <c r="C805" s="45" t="s">
        <v>1605</v>
      </c>
      <c r="D805" s="44" t="s">
        <v>4307</v>
      </c>
      <c r="E805" s="44" t="str">
        <f>VLOOKUP(Tabelle7[[#This Row],[EnumName]],Enum[[IFC-Name]:[Präfix]],5,FALSE)&amp;Tabelle7[[#This Row],[EnuRohValue]]</f>
        <v>pocPT_ADVICE_WARNING</v>
      </c>
      <c r="F805" s="44">
        <f>COUNTIF(Tabelle7[EnuValue],Tabelle7[[#This Row],[EnuValue]])</f>
        <v>1</v>
      </c>
      <c r="G805" s="44" t="str">
        <f xml:space="preserve"> "  " &amp; Tabelle7[[#This Row],[EnuValue]] &amp; " = " &amp; Tabelle7[[#This Row],[Wert]]</f>
        <v xml:space="preserve">  pocPT_ADVICE_WARNING = 3</v>
      </c>
      <c r="H805" s="44" t="str">
        <f>"  If Wert = " &amp; Tabelle7[[#This Row],[EnuValue]] &amp; " then Res = ""." &amp; Tabelle7[[#This Row],[EnuRohValue]] &amp; "."""</f>
        <v xml:space="preserve">  If Wert = pocPT_ADVICE_WARNING then Res = ".ADVICE_WARNING."</v>
      </c>
      <c r="I805" s="44" t="str">
        <f>"  If wert = ""." &amp; Tabelle7[[#This Row],[EnuRohValue]] &amp; "."" Then Res = " &amp; Tabelle7[[#This Row],[EnuValue]]</f>
        <v xml:space="preserve">  If wert = ".ADVICE_WARNING." Then Res = pocPT_ADVICE_WARNING</v>
      </c>
    </row>
    <row r="806" spans="2:9" x14ac:dyDescent="0.25">
      <c r="B806" s="44">
        <v>4</v>
      </c>
      <c r="C806" s="45" t="s">
        <v>1605</v>
      </c>
      <c r="D806" s="44" t="s">
        <v>4308</v>
      </c>
      <c r="E806" s="44" t="str">
        <f>VLOOKUP(Tabelle7[[#This Row],[EnumName]],Enum[[IFC-Name]:[Präfix]],5,FALSE)&amp;Tabelle7[[#This Row],[EnuRohValue]]</f>
        <v>pocPT_CALIBRATION</v>
      </c>
      <c r="F806" s="44">
        <f>COUNTIF(Tabelle7[EnuValue],Tabelle7[[#This Row],[EnuValue]])</f>
        <v>1</v>
      </c>
      <c r="G806" s="44" t="str">
        <f xml:space="preserve"> "  " &amp; Tabelle7[[#This Row],[EnuValue]] &amp; " = " &amp; Tabelle7[[#This Row],[Wert]]</f>
        <v xml:space="preserve">  pocPT_CALIBRATION = 4</v>
      </c>
      <c r="H806" s="44" t="str">
        <f>"  If Wert = " &amp; Tabelle7[[#This Row],[EnuValue]] &amp; " then Res = ""." &amp; Tabelle7[[#This Row],[EnuRohValue]] &amp; "."""</f>
        <v xml:space="preserve">  If Wert = pocPT_CALIBRATION then Res = ".CALIBRATION."</v>
      </c>
      <c r="I806" s="44" t="str">
        <f>"  If wert = ""." &amp; Tabelle7[[#This Row],[EnuRohValue]] &amp; "."" Then Res = " &amp; Tabelle7[[#This Row],[EnuValue]]</f>
        <v xml:space="preserve">  If wert = ".CALIBRATION." Then Res = pocPT_CALIBRATION</v>
      </c>
    </row>
    <row r="807" spans="2:9" x14ac:dyDescent="0.25">
      <c r="B807" s="44">
        <v>5</v>
      </c>
      <c r="C807" s="45" t="s">
        <v>1605</v>
      </c>
      <c r="D807" s="44" t="s">
        <v>4309</v>
      </c>
      <c r="E807" s="44" t="str">
        <f>VLOOKUP(Tabelle7[[#This Row],[EnumName]],Enum[[IFC-Name]:[Präfix]],5,FALSE)&amp;Tabelle7[[#This Row],[EnuRohValue]]</f>
        <v>pocPT_DIAGNOSTIC</v>
      </c>
      <c r="F807" s="44">
        <f>COUNTIF(Tabelle7[EnuValue],Tabelle7[[#This Row],[EnuValue]])</f>
        <v>1</v>
      </c>
      <c r="G807" s="44" t="str">
        <f xml:space="preserve"> "  " &amp; Tabelle7[[#This Row],[EnuValue]] &amp; " = " &amp; Tabelle7[[#This Row],[Wert]]</f>
        <v xml:space="preserve">  pocPT_DIAGNOSTIC = 5</v>
      </c>
      <c r="H807" s="44" t="str">
        <f>"  If Wert = " &amp; Tabelle7[[#This Row],[EnuValue]] &amp; " then Res = ""." &amp; Tabelle7[[#This Row],[EnuRohValue]] &amp; "."""</f>
        <v xml:space="preserve">  If Wert = pocPT_DIAGNOSTIC then Res = ".DIAGNOSTIC."</v>
      </c>
      <c r="I807" s="44" t="str">
        <f>"  If wert = ""." &amp; Tabelle7[[#This Row],[EnuRohValue]] &amp; "."" Then Res = " &amp; Tabelle7[[#This Row],[EnuValue]]</f>
        <v xml:space="preserve">  If wert = ".DIAGNOSTIC." Then Res = pocPT_DIAGNOSTIC</v>
      </c>
    </row>
    <row r="808" spans="2:9" x14ac:dyDescent="0.25">
      <c r="B808" s="44">
        <v>6</v>
      </c>
      <c r="C808" s="45" t="s">
        <v>1605</v>
      </c>
      <c r="D808" s="44" t="s">
        <v>4310</v>
      </c>
      <c r="E808" s="44" t="str">
        <f>VLOOKUP(Tabelle7[[#This Row],[EnumName]],Enum[[IFC-Name]:[Präfix]],5,FALSE)&amp;Tabelle7[[#This Row],[EnuRohValue]]</f>
        <v>pocPT_SHUTDOWN</v>
      </c>
      <c r="F808" s="44">
        <f>COUNTIF(Tabelle7[EnuValue],Tabelle7[[#This Row],[EnuValue]])</f>
        <v>1</v>
      </c>
      <c r="G808" s="44" t="str">
        <f xml:space="preserve"> "  " &amp; Tabelle7[[#This Row],[EnuValue]] &amp; " = " &amp; Tabelle7[[#This Row],[Wert]]</f>
        <v xml:space="preserve">  pocPT_SHUTDOWN = 6</v>
      </c>
      <c r="H808" s="44" t="str">
        <f>"  If Wert = " &amp; Tabelle7[[#This Row],[EnuValue]] &amp; " then Res = ""." &amp; Tabelle7[[#This Row],[EnuRohValue]] &amp; "."""</f>
        <v xml:space="preserve">  If Wert = pocPT_SHUTDOWN then Res = ".SHUTDOWN."</v>
      </c>
      <c r="I808" s="44" t="str">
        <f>"  If wert = ""." &amp; Tabelle7[[#This Row],[EnuRohValue]] &amp; "."" Then Res = " &amp; Tabelle7[[#This Row],[EnuValue]]</f>
        <v xml:space="preserve">  If wert = ".SHUTDOWN." Then Res = pocPT_SHUTDOWN</v>
      </c>
    </row>
    <row r="809" spans="2:9" x14ac:dyDescent="0.25">
      <c r="B809" s="44">
        <v>7</v>
      </c>
      <c r="C809" s="45" t="s">
        <v>1605</v>
      </c>
      <c r="D809" s="44" t="s">
        <v>4311</v>
      </c>
      <c r="E809" s="44" t="str">
        <f>VLOOKUP(Tabelle7[[#This Row],[EnumName]],Enum[[IFC-Name]:[Präfix]],5,FALSE)&amp;Tabelle7[[#This Row],[EnuRohValue]]</f>
        <v>pocPT_STARTUP</v>
      </c>
      <c r="F809" s="44">
        <f>COUNTIF(Tabelle7[EnuValue],Tabelle7[[#This Row],[EnuValue]])</f>
        <v>1</v>
      </c>
      <c r="G809" s="44" t="str">
        <f xml:space="preserve"> "  " &amp; Tabelle7[[#This Row],[EnuValue]] &amp; " = " &amp; Tabelle7[[#This Row],[Wert]]</f>
        <v xml:space="preserve">  pocPT_STARTUP = 7</v>
      </c>
      <c r="H809" s="44" t="str">
        <f>"  If Wert = " &amp; Tabelle7[[#This Row],[EnuValue]] &amp; " then Res = ""." &amp; Tabelle7[[#This Row],[EnuRohValue]] &amp; "."""</f>
        <v xml:space="preserve">  If Wert = pocPT_STARTUP then Res = ".STARTUP."</v>
      </c>
      <c r="I809" s="44" t="str">
        <f>"  If wert = ""." &amp; Tabelle7[[#This Row],[EnuRohValue]] &amp; "."" Then Res = " &amp; Tabelle7[[#This Row],[EnuValue]]</f>
        <v xml:space="preserve">  If wert = ".STARTUP." Then Res = pocPT_STARTUP</v>
      </c>
    </row>
    <row r="810" spans="2:9" x14ac:dyDescent="0.25">
      <c r="B810" s="44">
        <v>8</v>
      </c>
      <c r="C810" s="45" t="s">
        <v>1605</v>
      </c>
      <c r="D810" s="44" t="s">
        <v>3682</v>
      </c>
      <c r="E810" s="44" t="str">
        <f>VLOOKUP(Tabelle7[[#This Row],[EnumName]],Enum[[IFC-Name]:[Präfix]],5,FALSE)&amp;Tabelle7[[#This Row],[EnuRohValue]]</f>
        <v>pocPT_USERDEFINED</v>
      </c>
      <c r="F810" s="44">
        <f>COUNTIF(Tabelle7[EnuValue],Tabelle7[[#This Row],[EnuValue]])</f>
        <v>1</v>
      </c>
      <c r="G810" s="44" t="str">
        <f xml:space="preserve"> "  " &amp; Tabelle7[[#This Row],[EnuValue]] &amp; " = " &amp; Tabelle7[[#This Row],[Wert]]</f>
        <v xml:space="preserve">  pocPT_USERDEFINED = 8</v>
      </c>
      <c r="H810" s="44" t="str">
        <f>"  If Wert = " &amp; Tabelle7[[#This Row],[EnuValue]] &amp; " then Res = ""." &amp; Tabelle7[[#This Row],[EnuRohValue]] &amp; "."""</f>
        <v xml:space="preserve">  If Wert = pocPT_USERDEFINED then Res = ".USERDEFINED."</v>
      </c>
      <c r="I810" s="44" t="str">
        <f>"  If wert = ""." &amp; Tabelle7[[#This Row],[EnuRohValue]] &amp; "."" Then Res = " &amp; Tabelle7[[#This Row],[EnuValue]]</f>
        <v xml:space="preserve">  If wert = ".USERDEFINED." Then Res = pocPT_USERDEFINED</v>
      </c>
    </row>
    <row r="811" spans="2:9" x14ac:dyDescent="0.25">
      <c r="B811" s="44">
        <v>9</v>
      </c>
      <c r="C811" s="45" t="s">
        <v>1605</v>
      </c>
      <c r="D811" s="44" t="s">
        <v>3683</v>
      </c>
      <c r="E811" s="44" t="str">
        <f>VLOOKUP(Tabelle7[[#This Row],[EnumName]],Enum[[IFC-Name]:[Präfix]],5,FALSE)&amp;Tabelle7[[#This Row],[EnuRohValue]]</f>
        <v>pocPT_NOTDEFINED</v>
      </c>
      <c r="F811" s="44">
        <f>COUNTIF(Tabelle7[EnuValue],Tabelle7[[#This Row],[EnuValue]])</f>
        <v>1</v>
      </c>
      <c r="G811" s="44" t="str">
        <f xml:space="preserve"> "  " &amp; Tabelle7[[#This Row],[EnuValue]] &amp; " = " &amp; Tabelle7[[#This Row],[Wert]]</f>
        <v xml:space="preserve">  pocPT_NOTDEFINED = 9</v>
      </c>
      <c r="H811" s="44" t="str">
        <f>"  If Wert = " &amp; Tabelle7[[#This Row],[EnuValue]] &amp; " then Res = ""." &amp; Tabelle7[[#This Row],[EnuRohValue]] &amp; "."""</f>
        <v xml:space="preserve">  If Wert = pocPT_NOTDEFINED then Res = ".NOTDEFINED."</v>
      </c>
      <c r="I811" s="44" t="str">
        <f>"  If wert = ""." &amp; Tabelle7[[#This Row],[EnuRohValue]] &amp; "."" Then Res = " &amp; Tabelle7[[#This Row],[EnuValue]]</f>
        <v xml:space="preserve">  If wert = ".NOTDEFINED." Then Res = pocPT_NOTDEFINED</v>
      </c>
    </row>
    <row r="812" spans="2:9" x14ac:dyDescent="0.25">
      <c r="B812" s="44">
        <v>1</v>
      </c>
      <c r="C812" s="45" t="s">
        <v>1606</v>
      </c>
      <c r="D812" s="44" t="s">
        <v>4312</v>
      </c>
      <c r="E812" s="44" t="str">
        <f>VLOOKUP(Tabelle7[[#This Row],[EnumName]],Enum[[IFC-Name]:[Präfix]],5,FALSE)&amp;Tabelle7[[#This Row],[EnuRohValue]]</f>
        <v>fpsPT_CURVE</v>
      </c>
      <c r="F812" s="44">
        <f>COUNTIF(Tabelle7[EnuValue],Tabelle7[[#This Row],[EnuValue]])</f>
        <v>1</v>
      </c>
      <c r="G812" s="44" t="str">
        <f xml:space="preserve"> "  " &amp; Tabelle7[[#This Row],[EnuValue]] &amp; " = " &amp; Tabelle7[[#This Row],[Wert]]</f>
        <v xml:space="preserve">  fpsPT_CURVE = 1</v>
      </c>
      <c r="H812" s="44" t="str">
        <f>"  If Wert = " &amp; Tabelle7[[#This Row],[EnuValue]] &amp; " then Res = ""." &amp; Tabelle7[[#This Row],[EnuRohValue]] &amp; "."""</f>
        <v xml:space="preserve">  If Wert = fpsPT_CURVE then Res = ".CURVE."</v>
      </c>
      <c r="I812" s="44" t="str">
        <f>"  If wert = ""." &amp; Tabelle7[[#This Row],[EnuRohValue]] &amp; "."" Then Res = " &amp; Tabelle7[[#This Row],[EnuValue]]</f>
        <v xml:space="preserve">  If wert = ".CURVE." Then Res = fpsPT_CURVE</v>
      </c>
    </row>
    <row r="813" spans="2:9" x14ac:dyDescent="0.25">
      <c r="B813" s="44">
        <v>2</v>
      </c>
      <c r="C813" s="45" t="s">
        <v>1606</v>
      </c>
      <c r="D813" s="44" t="s">
        <v>4313</v>
      </c>
      <c r="E813" s="44" t="str">
        <f>VLOOKUP(Tabelle7[[#This Row],[EnumName]],Enum[[IFC-Name]:[Präfix]],5,FALSE)&amp;Tabelle7[[#This Row],[EnuRohValue]]</f>
        <v>fpsPT_AREA</v>
      </c>
      <c r="F813" s="44">
        <f>COUNTIF(Tabelle7[EnuValue],Tabelle7[[#This Row],[EnuValue]])</f>
        <v>1</v>
      </c>
      <c r="G813" s="44" t="str">
        <f xml:space="preserve"> "  " &amp; Tabelle7[[#This Row],[EnuValue]] &amp; " = " &amp; Tabelle7[[#This Row],[Wert]]</f>
        <v xml:space="preserve">  fpsPT_AREA = 2</v>
      </c>
      <c r="H813" s="44" t="str">
        <f>"  If Wert = " &amp; Tabelle7[[#This Row],[EnuValue]] &amp; " then Res = ""." &amp; Tabelle7[[#This Row],[EnuRohValue]] &amp; "."""</f>
        <v xml:space="preserve">  If Wert = fpsPT_AREA then Res = ".AREA."</v>
      </c>
      <c r="I813" s="44" t="str">
        <f>"  If wert = ""." &amp; Tabelle7[[#This Row],[EnuRohValue]] &amp; "."" Then Res = " &amp; Tabelle7[[#This Row],[EnuValue]]</f>
        <v xml:space="preserve">  If wert = ".AREA." Then Res = fpsPT_AREA</v>
      </c>
    </row>
    <row r="814" spans="2:9" x14ac:dyDescent="0.25">
      <c r="B814" s="44">
        <v>1</v>
      </c>
      <c r="C814" s="45" t="s">
        <v>1607</v>
      </c>
      <c r="D814" s="44" t="s">
        <v>4314</v>
      </c>
      <c r="E814" s="44" t="str">
        <f>VLOOKUP(Tabelle7[[#This Row],[EnumName]],Enum[[IFC-Name]:[Präfix]],5,FALSE)&amp;Tabelle7[[#This Row],[EnuRohValue]]</f>
        <v>mgmPORT_CHANGE</v>
      </c>
      <c r="F814" s="44">
        <f>COUNTIF(Tabelle7[EnuValue],Tabelle7[[#This Row],[EnuValue]])</f>
        <v>1</v>
      </c>
      <c r="G814" s="44" t="str">
        <f xml:space="preserve"> "  " &amp; Tabelle7[[#This Row],[EnuValue]] &amp; " = " &amp; Tabelle7[[#This Row],[Wert]]</f>
        <v xml:space="preserve">  mgmPORT_CHANGE = 1</v>
      </c>
      <c r="H814" s="44" t="str">
        <f>"  If Wert = " &amp; Tabelle7[[#This Row],[EnuValue]] &amp; " then Res = ""." &amp; Tabelle7[[#This Row],[EnuRohValue]] &amp; "."""</f>
        <v xml:space="preserve">  If Wert = mgmPORT_CHANGE then Res = ".CHANGE."</v>
      </c>
      <c r="I814" s="44" t="str">
        <f>"  If wert = ""." &amp; Tabelle7[[#This Row],[EnuRohValue]] &amp; "."" Then Res = " &amp; Tabelle7[[#This Row],[EnuValue]]</f>
        <v xml:space="preserve">  If wert = ".CHANGE." Then Res = mgmPORT_CHANGE</v>
      </c>
    </row>
    <row r="815" spans="2:9" x14ac:dyDescent="0.25">
      <c r="B815" s="44">
        <v>2</v>
      </c>
      <c r="C815" s="45" t="s">
        <v>1607</v>
      </c>
      <c r="D815" s="44" t="s">
        <v>4315</v>
      </c>
      <c r="E815" s="44" t="str">
        <f>VLOOKUP(Tabelle7[[#This Row],[EnumName]],Enum[[IFC-Name]:[Präfix]],5,FALSE)&amp;Tabelle7[[#This Row],[EnuRohValue]]</f>
        <v>mgmPORT_MAINTENANCE</v>
      </c>
      <c r="F815" s="44">
        <f>COUNTIF(Tabelle7[EnuValue],Tabelle7[[#This Row],[EnuValue]])</f>
        <v>1</v>
      </c>
      <c r="G815" s="44" t="str">
        <f xml:space="preserve"> "  " &amp; Tabelle7[[#This Row],[EnuValue]] &amp; " = " &amp; Tabelle7[[#This Row],[Wert]]</f>
        <v xml:space="preserve">  mgmPORT_MAINTENANCE = 2</v>
      </c>
      <c r="H815" s="44" t="str">
        <f>"  If Wert = " &amp; Tabelle7[[#This Row],[EnuValue]] &amp; " then Res = ""." &amp; Tabelle7[[#This Row],[EnuRohValue]] &amp; "."""</f>
        <v xml:space="preserve">  If Wert = mgmPORT_MAINTENANCE then Res = ".MAINTENANCE."</v>
      </c>
      <c r="I815" s="44" t="str">
        <f>"  If wert = ""." &amp; Tabelle7[[#This Row],[EnuRohValue]] &amp; "."" Then Res = " &amp; Tabelle7[[#This Row],[EnuValue]]</f>
        <v xml:space="preserve">  If wert = ".MAINTENANCE." Then Res = mgmPORT_MAINTENANCE</v>
      </c>
    </row>
    <row r="816" spans="2:9" x14ac:dyDescent="0.25">
      <c r="B816" s="44">
        <v>3</v>
      </c>
      <c r="C816" s="45" t="s">
        <v>1607</v>
      </c>
      <c r="D816" s="44" t="s">
        <v>4316</v>
      </c>
      <c r="E816" s="44" t="str">
        <f>VLOOKUP(Tabelle7[[#This Row],[EnumName]],Enum[[IFC-Name]:[Präfix]],5,FALSE)&amp;Tabelle7[[#This Row],[EnuRohValue]]</f>
        <v>mgmPORT_MOVE</v>
      </c>
      <c r="F816" s="44">
        <f>COUNTIF(Tabelle7[EnuValue],Tabelle7[[#This Row],[EnuValue]])</f>
        <v>1</v>
      </c>
      <c r="G816" s="44" t="str">
        <f xml:space="preserve"> "  " &amp; Tabelle7[[#This Row],[EnuValue]] &amp; " = " &amp; Tabelle7[[#This Row],[Wert]]</f>
        <v xml:space="preserve">  mgmPORT_MOVE = 3</v>
      </c>
      <c r="H816" s="44" t="str">
        <f>"  If Wert = " &amp; Tabelle7[[#This Row],[EnuValue]] &amp; " then Res = ""." &amp; Tabelle7[[#This Row],[EnuRohValue]] &amp; "."""</f>
        <v xml:space="preserve">  If Wert = mgmPORT_MOVE then Res = ".MOVE."</v>
      </c>
      <c r="I816" s="44" t="str">
        <f>"  If wert = ""." &amp; Tabelle7[[#This Row],[EnuRohValue]] &amp; "."" Then Res = " &amp; Tabelle7[[#This Row],[EnuValue]]</f>
        <v xml:space="preserve">  If wert = ".MOVE." Then Res = mgmPORT_MOVE</v>
      </c>
    </row>
    <row r="817" spans="2:9" x14ac:dyDescent="0.25">
      <c r="B817" s="44">
        <v>4</v>
      </c>
      <c r="C817" s="45" t="s">
        <v>1607</v>
      </c>
      <c r="D817" s="44" t="s">
        <v>4317</v>
      </c>
      <c r="E817" s="44" t="str">
        <f>VLOOKUP(Tabelle7[[#This Row],[EnumName]],Enum[[IFC-Name]:[Präfix]],5,FALSE)&amp;Tabelle7[[#This Row],[EnuRohValue]]</f>
        <v>mgmPORT_PURCHASE</v>
      </c>
      <c r="F817" s="44">
        <f>COUNTIF(Tabelle7[EnuValue],Tabelle7[[#This Row],[EnuValue]])</f>
        <v>1</v>
      </c>
      <c r="G817" s="44" t="str">
        <f xml:space="preserve"> "  " &amp; Tabelle7[[#This Row],[EnuValue]] &amp; " = " &amp; Tabelle7[[#This Row],[Wert]]</f>
        <v xml:space="preserve">  mgmPORT_PURCHASE = 4</v>
      </c>
      <c r="H817" s="44" t="str">
        <f>"  If Wert = " &amp; Tabelle7[[#This Row],[EnuValue]] &amp; " then Res = ""." &amp; Tabelle7[[#This Row],[EnuRohValue]] &amp; "."""</f>
        <v xml:space="preserve">  If Wert = mgmPORT_PURCHASE then Res = ".PURCHASE."</v>
      </c>
      <c r="I817" s="44" t="str">
        <f>"  If wert = ""." &amp; Tabelle7[[#This Row],[EnuRohValue]] &amp; "."" Then Res = " &amp; Tabelle7[[#This Row],[EnuValue]]</f>
        <v xml:space="preserve">  If wert = ".PURCHASE." Then Res = mgmPORT_PURCHASE</v>
      </c>
    </row>
    <row r="818" spans="2:9" x14ac:dyDescent="0.25">
      <c r="B818" s="44">
        <v>5</v>
      </c>
      <c r="C818" s="45" t="s">
        <v>1607</v>
      </c>
      <c r="D818" s="44" t="s">
        <v>4318</v>
      </c>
      <c r="E818" s="44" t="str">
        <f>VLOOKUP(Tabelle7[[#This Row],[EnumName]],Enum[[IFC-Name]:[Präfix]],5,FALSE)&amp;Tabelle7[[#This Row],[EnuRohValue]]</f>
        <v>mgmPORT_WORK</v>
      </c>
      <c r="F818" s="44">
        <f>COUNTIF(Tabelle7[EnuValue],Tabelle7[[#This Row],[EnuValue]])</f>
        <v>1</v>
      </c>
      <c r="G818" s="44" t="str">
        <f xml:space="preserve"> "  " &amp; Tabelle7[[#This Row],[EnuValue]] &amp; " = " &amp; Tabelle7[[#This Row],[Wert]]</f>
        <v xml:space="preserve">  mgmPORT_WORK = 5</v>
      </c>
      <c r="H818" s="44" t="str">
        <f>"  If Wert = " &amp; Tabelle7[[#This Row],[EnuValue]] &amp; " then Res = ""." &amp; Tabelle7[[#This Row],[EnuRohValue]] &amp; "."""</f>
        <v xml:space="preserve">  If Wert = mgmPORT_WORK then Res = ".WORK."</v>
      </c>
      <c r="I818" s="44" t="str">
        <f>"  If wert = ""." &amp; Tabelle7[[#This Row],[EnuRohValue]] &amp; "."" Then Res = " &amp; Tabelle7[[#This Row],[EnuValue]]</f>
        <v xml:space="preserve">  If wert = ".WORK." Then Res = mgmPORT_WORK</v>
      </c>
    </row>
    <row r="819" spans="2:9" x14ac:dyDescent="0.25">
      <c r="B819" s="44">
        <v>6</v>
      </c>
      <c r="C819" s="45" t="s">
        <v>1607</v>
      </c>
      <c r="D819" s="44" t="s">
        <v>3682</v>
      </c>
      <c r="E819" s="44" t="str">
        <f>VLOOKUP(Tabelle7[[#This Row],[EnumName]],Enum[[IFC-Name]:[Präfix]],5,FALSE)&amp;Tabelle7[[#This Row],[EnuRohValue]]</f>
        <v>mgmPORT_USERDEFINED</v>
      </c>
      <c r="F819" s="44">
        <f>COUNTIF(Tabelle7[EnuValue],Tabelle7[[#This Row],[EnuValue]])</f>
        <v>1</v>
      </c>
      <c r="G819" s="44" t="str">
        <f xml:space="preserve"> "  " &amp; Tabelle7[[#This Row],[EnuValue]] &amp; " = " &amp; Tabelle7[[#This Row],[Wert]]</f>
        <v xml:space="preserve">  mgmPORT_USERDEFINED = 6</v>
      </c>
      <c r="H819" s="44" t="str">
        <f>"  If Wert = " &amp; Tabelle7[[#This Row],[EnuValue]] &amp; " then Res = ""." &amp; Tabelle7[[#This Row],[EnuRohValue]] &amp; "."""</f>
        <v xml:space="preserve">  If Wert = mgmPORT_USERDEFINED then Res = ".USERDEFINED."</v>
      </c>
      <c r="I819" s="44" t="str">
        <f>"  If wert = ""." &amp; Tabelle7[[#This Row],[EnuRohValue]] &amp; "."" Then Res = " &amp; Tabelle7[[#This Row],[EnuValue]]</f>
        <v xml:space="preserve">  If wert = ".USERDEFINED." Then Res = mgmPORT_USERDEFINED</v>
      </c>
    </row>
    <row r="820" spans="2:9" x14ac:dyDescent="0.25">
      <c r="B820" s="44">
        <v>7</v>
      </c>
      <c r="C820" s="45" t="s">
        <v>1607</v>
      </c>
      <c r="D820" s="44" t="s">
        <v>3683</v>
      </c>
      <c r="E820" s="44" t="str">
        <f>VLOOKUP(Tabelle7[[#This Row],[EnumName]],Enum[[IFC-Name]:[Präfix]],5,FALSE)&amp;Tabelle7[[#This Row],[EnuRohValue]]</f>
        <v>mgmPORT_NOTDEFINED</v>
      </c>
      <c r="F820" s="44">
        <f>COUNTIF(Tabelle7[EnuValue],Tabelle7[[#This Row],[EnuValue]])</f>
        <v>1</v>
      </c>
      <c r="G820" s="44" t="str">
        <f xml:space="preserve"> "  " &amp; Tabelle7[[#This Row],[EnuValue]] &amp; " = " &amp; Tabelle7[[#This Row],[Wert]]</f>
        <v xml:space="preserve">  mgmPORT_NOTDEFINED = 7</v>
      </c>
      <c r="H820" s="44" t="str">
        <f>"  If Wert = " &amp; Tabelle7[[#This Row],[EnuValue]] &amp; " then Res = ""." &amp; Tabelle7[[#This Row],[EnuRohValue]] &amp; "."""</f>
        <v xml:space="preserve">  If Wert = mgmPORT_NOTDEFINED then Res = ".NOTDEFINED."</v>
      </c>
      <c r="I820" s="44" t="str">
        <f>"  If wert = ""." &amp; Tabelle7[[#This Row],[EnuRohValue]] &amp; "."" Then Res = " &amp; Tabelle7[[#This Row],[EnuValue]]</f>
        <v xml:space="preserve">  If wert = ".NOTDEFINED." Then Res = mgmPORT_NOTDEFINED</v>
      </c>
    </row>
    <row r="821" spans="2:9" x14ac:dyDescent="0.25">
      <c r="B821" s="44">
        <v>1</v>
      </c>
      <c r="C821" s="45" t="s">
        <v>1608</v>
      </c>
      <c r="D821" s="44" t="s">
        <v>4319</v>
      </c>
      <c r="E821" s="44" t="str">
        <f>VLOOKUP(Tabelle7[[#This Row],[EnumName]],Enum[[IFC-Name]:[Präfix]],5,FALSE)&amp;Tabelle7[[#This Row],[EnuRohValue]]</f>
        <v>mgmPOT_CHANGEORDER</v>
      </c>
      <c r="F821" s="44">
        <f>COUNTIF(Tabelle7[EnuValue],Tabelle7[[#This Row],[EnuValue]])</f>
        <v>1</v>
      </c>
      <c r="G821" s="44" t="str">
        <f xml:space="preserve"> "  " &amp; Tabelle7[[#This Row],[EnuValue]] &amp; " = " &amp; Tabelle7[[#This Row],[Wert]]</f>
        <v xml:space="preserve">  mgmPOT_CHANGEORDER = 1</v>
      </c>
      <c r="H821" s="44" t="str">
        <f>"  If Wert = " &amp; Tabelle7[[#This Row],[EnuValue]] &amp; " then Res = ""." &amp; Tabelle7[[#This Row],[EnuRohValue]] &amp; "."""</f>
        <v xml:space="preserve">  If Wert = mgmPOT_CHANGEORDER then Res = ".CHANGEORDER."</v>
      </c>
      <c r="I821" s="44" t="str">
        <f>"  If wert = ""." &amp; Tabelle7[[#This Row],[EnuRohValue]] &amp; "."" Then Res = " &amp; Tabelle7[[#This Row],[EnuValue]]</f>
        <v xml:space="preserve">  If wert = ".CHANGEORDER." Then Res = mgmPOT_CHANGEORDER</v>
      </c>
    </row>
    <row r="822" spans="2:9" x14ac:dyDescent="0.25">
      <c r="B822" s="44">
        <v>2</v>
      </c>
      <c r="C822" s="45" t="s">
        <v>1608</v>
      </c>
      <c r="D822" s="44" t="s">
        <v>4320</v>
      </c>
      <c r="E822" s="44" t="str">
        <f>VLOOKUP(Tabelle7[[#This Row],[EnumName]],Enum[[IFC-Name]:[Präfix]],5,FALSE)&amp;Tabelle7[[#This Row],[EnuRohValue]]</f>
        <v>mgmPOT_MAINTENANCEWORKORDER</v>
      </c>
      <c r="F822" s="44">
        <f>COUNTIF(Tabelle7[EnuValue],Tabelle7[[#This Row],[EnuValue]])</f>
        <v>1</v>
      </c>
      <c r="G822" s="44" t="str">
        <f xml:space="preserve"> "  " &amp; Tabelle7[[#This Row],[EnuValue]] &amp; " = " &amp; Tabelle7[[#This Row],[Wert]]</f>
        <v xml:space="preserve">  mgmPOT_MAINTENANCEWORKORDER = 2</v>
      </c>
      <c r="H822" s="44" t="str">
        <f>"  If Wert = " &amp; Tabelle7[[#This Row],[EnuValue]] &amp; " then Res = ""." &amp; Tabelle7[[#This Row],[EnuRohValue]] &amp; "."""</f>
        <v xml:space="preserve">  If Wert = mgmPOT_MAINTENANCEWORKORDER then Res = ".MAINTENANCEWORKORDER."</v>
      </c>
      <c r="I822" s="44" t="str">
        <f>"  If wert = ""." &amp; Tabelle7[[#This Row],[EnuRohValue]] &amp; "."" Then Res = " &amp; Tabelle7[[#This Row],[EnuValue]]</f>
        <v xml:space="preserve">  If wert = ".MAINTENANCEWORKORDER." Then Res = mgmPOT_MAINTENANCEWORKORDER</v>
      </c>
    </row>
    <row r="823" spans="2:9" x14ac:dyDescent="0.25">
      <c r="B823" s="44">
        <v>3</v>
      </c>
      <c r="C823" s="45" t="s">
        <v>1608</v>
      </c>
      <c r="D823" s="44" t="s">
        <v>4321</v>
      </c>
      <c r="E823" s="44" t="str">
        <f>VLOOKUP(Tabelle7[[#This Row],[EnumName]],Enum[[IFC-Name]:[Präfix]],5,FALSE)&amp;Tabelle7[[#This Row],[EnuRohValue]]</f>
        <v>mgmPOT_MOVEORDER</v>
      </c>
      <c r="F823" s="44">
        <f>COUNTIF(Tabelle7[EnuValue],Tabelle7[[#This Row],[EnuValue]])</f>
        <v>1</v>
      </c>
      <c r="G823" s="44" t="str">
        <f xml:space="preserve"> "  " &amp; Tabelle7[[#This Row],[EnuValue]] &amp; " = " &amp; Tabelle7[[#This Row],[Wert]]</f>
        <v xml:space="preserve">  mgmPOT_MOVEORDER = 3</v>
      </c>
      <c r="H823" s="44" t="str">
        <f>"  If Wert = " &amp; Tabelle7[[#This Row],[EnuValue]] &amp; " then Res = ""." &amp; Tabelle7[[#This Row],[EnuRohValue]] &amp; "."""</f>
        <v xml:space="preserve">  If Wert = mgmPOT_MOVEORDER then Res = ".MOVEORDER."</v>
      </c>
      <c r="I823" s="44" t="str">
        <f>"  If wert = ""." &amp; Tabelle7[[#This Row],[EnuRohValue]] &amp; "."" Then Res = " &amp; Tabelle7[[#This Row],[EnuValue]]</f>
        <v xml:space="preserve">  If wert = ".MOVEORDER." Then Res = mgmPOT_MOVEORDER</v>
      </c>
    </row>
    <row r="824" spans="2:9" x14ac:dyDescent="0.25">
      <c r="B824" s="44">
        <v>4</v>
      </c>
      <c r="C824" s="45" t="s">
        <v>1608</v>
      </c>
      <c r="D824" s="44" t="s">
        <v>4322</v>
      </c>
      <c r="E824" s="44" t="str">
        <f>VLOOKUP(Tabelle7[[#This Row],[EnumName]],Enum[[IFC-Name]:[Präfix]],5,FALSE)&amp;Tabelle7[[#This Row],[EnuRohValue]]</f>
        <v>mgmPOT_PURCHASEORDER</v>
      </c>
      <c r="F824" s="44">
        <f>COUNTIF(Tabelle7[EnuValue],Tabelle7[[#This Row],[EnuValue]])</f>
        <v>1</v>
      </c>
      <c r="G824" s="44" t="str">
        <f xml:space="preserve"> "  " &amp; Tabelle7[[#This Row],[EnuValue]] &amp; " = " &amp; Tabelle7[[#This Row],[Wert]]</f>
        <v xml:space="preserve">  mgmPOT_PURCHASEORDER = 4</v>
      </c>
      <c r="H824" s="44" t="str">
        <f>"  If Wert = " &amp; Tabelle7[[#This Row],[EnuValue]] &amp; " then Res = ""." &amp; Tabelle7[[#This Row],[EnuRohValue]] &amp; "."""</f>
        <v xml:space="preserve">  If Wert = mgmPOT_PURCHASEORDER then Res = ".PURCHASEORDER."</v>
      </c>
      <c r="I824" s="44" t="str">
        <f>"  If wert = ""." &amp; Tabelle7[[#This Row],[EnuRohValue]] &amp; "."" Then Res = " &amp; Tabelle7[[#This Row],[EnuValue]]</f>
        <v xml:space="preserve">  If wert = ".PURCHASEORDER." Then Res = mgmPOT_PURCHASEORDER</v>
      </c>
    </row>
    <row r="825" spans="2:9" x14ac:dyDescent="0.25">
      <c r="B825" s="44">
        <v>5</v>
      </c>
      <c r="C825" s="45" t="s">
        <v>1608</v>
      </c>
      <c r="D825" s="44" t="s">
        <v>4323</v>
      </c>
      <c r="E825" s="44" t="str">
        <f>VLOOKUP(Tabelle7[[#This Row],[EnumName]],Enum[[IFC-Name]:[Präfix]],5,FALSE)&amp;Tabelle7[[#This Row],[EnuRohValue]]</f>
        <v>mgmPOT_WORKORDER</v>
      </c>
      <c r="F825" s="44">
        <f>COUNTIF(Tabelle7[EnuValue],Tabelle7[[#This Row],[EnuValue]])</f>
        <v>1</v>
      </c>
      <c r="G825" s="44" t="str">
        <f xml:space="preserve"> "  " &amp; Tabelle7[[#This Row],[EnuValue]] &amp; " = " &amp; Tabelle7[[#This Row],[Wert]]</f>
        <v xml:space="preserve">  mgmPOT_WORKORDER = 5</v>
      </c>
      <c r="H825" s="44" t="str">
        <f>"  If Wert = " &amp; Tabelle7[[#This Row],[EnuValue]] &amp; " then Res = ""." &amp; Tabelle7[[#This Row],[EnuRohValue]] &amp; "."""</f>
        <v xml:space="preserve">  If Wert = mgmPOT_WORKORDER then Res = ".WORKORDER."</v>
      </c>
      <c r="I825" s="44" t="str">
        <f>"  If wert = ""." &amp; Tabelle7[[#This Row],[EnuRohValue]] &amp; "."" Then Res = " &amp; Tabelle7[[#This Row],[EnuValue]]</f>
        <v xml:space="preserve">  If wert = ".WORKORDER." Then Res = mgmPOT_WORKORDER</v>
      </c>
    </row>
    <row r="826" spans="2:9" x14ac:dyDescent="0.25">
      <c r="B826" s="44">
        <v>6</v>
      </c>
      <c r="C826" s="45" t="s">
        <v>1608</v>
      </c>
      <c r="D826" s="44" t="s">
        <v>3682</v>
      </c>
      <c r="E826" s="44" t="str">
        <f>VLOOKUP(Tabelle7[[#This Row],[EnumName]],Enum[[IFC-Name]:[Präfix]],5,FALSE)&amp;Tabelle7[[#This Row],[EnuRohValue]]</f>
        <v>mgmPOT_USERDEFINED</v>
      </c>
      <c r="F826" s="44">
        <f>COUNTIF(Tabelle7[EnuValue],Tabelle7[[#This Row],[EnuValue]])</f>
        <v>1</v>
      </c>
      <c r="G826" s="44" t="str">
        <f xml:space="preserve"> "  " &amp; Tabelle7[[#This Row],[EnuValue]] &amp; " = " &amp; Tabelle7[[#This Row],[Wert]]</f>
        <v xml:space="preserve">  mgmPOT_USERDEFINED = 6</v>
      </c>
      <c r="H826" s="44" t="str">
        <f>"  If Wert = " &amp; Tabelle7[[#This Row],[EnuValue]] &amp; " then Res = ""." &amp; Tabelle7[[#This Row],[EnuRohValue]] &amp; "."""</f>
        <v xml:space="preserve">  If Wert = mgmPOT_USERDEFINED then Res = ".USERDEFINED."</v>
      </c>
      <c r="I826" s="44" t="str">
        <f>"  If wert = ""." &amp; Tabelle7[[#This Row],[EnuRohValue]] &amp; "."" Then Res = " &amp; Tabelle7[[#This Row],[EnuValue]]</f>
        <v xml:space="preserve">  If wert = ".USERDEFINED." Then Res = mgmPOT_USERDEFINED</v>
      </c>
    </row>
    <row r="827" spans="2:9" x14ac:dyDescent="0.25">
      <c r="B827" s="44">
        <v>7</v>
      </c>
      <c r="C827" s="45" t="s">
        <v>1608</v>
      </c>
      <c r="D827" s="44" t="s">
        <v>3683</v>
      </c>
      <c r="E827" s="44" t="str">
        <f>VLOOKUP(Tabelle7[[#This Row],[EnumName]],Enum[[IFC-Name]:[Präfix]],5,FALSE)&amp;Tabelle7[[#This Row],[EnuRohValue]]</f>
        <v>mgmPOT_NOTDEFINED</v>
      </c>
      <c r="F827" s="44">
        <f>COUNTIF(Tabelle7[EnuValue],Tabelle7[[#This Row],[EnuValue]])</f>
        <v>1</v>
      </c>
      <c r="G827" s="44" t="str">
        <f xml:space="preserve"> "  " &amp; Tabelle7[[#This Row],[EnuValue]] &amp; " = " &amp; Tabelle7[[#This Row],[Wert]]</f>
        <v xml:space="preserve">  mgmPOT_NOTDEFINED = 7</v>
      </c>
      <c r="H827" s="44" t="str">
        <f>"  If Wert = " &amp; Tabelle7[[#This Row],[EnuValue]] &amp; " then Res = ""." &amp; Tabelle7[[#This Row],[EnuRohValue]] &amp; "."""</f>
        <v xml:space="preserve">  If Wert = mgmPOT_NOTDEFINED then Res = ".NOTDEFINED."</v>
      </c>
      <c r="I827" s="44" t="str">
        <f>"  If wert = ""." &amp; Tabelle7[[#This Row],[EnuRohValue]] &amp; "."" Then Res = " &amp; Tabelle7[[#This Row],[EnuValue]]</f>
        <v xml:space="preserve">  If wert = ".NOTDEFINED." Then Res = mgmPOT_NOTDEFINED</v>
      </c>
    </row>
    <row r="828" spans="2:9" x14ac:dyDescent="0.25">
      <c r="B828" s="44">
        <v>1</v>
      </c>
      <c r="C828" s="45" t="s">
        <v>1609</v>
      </c>
      <c r="D828" s="44" t="s">
        <v>4324</v>
      </c>
      <c r="E828" s="44" t="str">
        <f>VLOOKUP(Tabelle7[[#This Row],[EnumName]],Enum[[IFC-Name]:[Präfix]],5,FALSE)&amp;Tabelle7[[#This Row],[EnuRohValue]]</f>
        <v>stcPOTL_PROJECTED_LENGTH</v>
      </c>
      <c r="F828" s="44">
        <f>COUNTIF(Tabelle7[EnuValue],Tabelle7[[#This Row],[EnuValue]])</f>
        <v>1</v>
      </c>
      <c r="G828" s="44" t="str">
        <f xml:space="preserve"> "  " &amp; Tabelle7[[#This Row],[EnuValue]] &amp; " = " &amp; Tabelle7[[#This Row],[Wert]]</f>
        <v xml:space="preserve">  stcPOTL_PROJECTED_LENGTH = 1</v>
      </c>
      <c r="H828" s="44" t="str">
        <f>"  If Wert = " &amp; Tabelle7[[#This Row],[EnuValue]] &amp; " then Res = ""." &amp; Tabelle7[[#This Row],[EnuRohValue]] &amp; "."""</f>
        <v xml:space="preserve">  If Wert = stcPOTL_PROJECTED_LENGTH then Res = ".PROJECTED_LENGTH."</v>
      </c>
      <c r="I828" s="44" t="str">
        <f>"  If wert = ""." &amp; Tabelle7[[#This Row],[EnuRohValue]] &amp; "."" Then Res = " &amp; Tabelle7[[#This Row],[EnuValue]]</f>
        <v xml:space="preserve">  If wert = ".PROJECTED_LENGTH." Then Res = stcPOTL_PROJECTED_LENGTH</v>
      </c>
    </row>
    <row r="829" spans="2:9" x14ac:dyDescent="0.25">
      <c r="B829" s="44">
        <v>2</v>
      </c>
      <c r="C829" s="45" t="s">
        <v>1609</v>
      </c>
      <c r="D829" s="44" t="s">
        <v>4325</v>
      </c>
      <c r="E829" s="44" t="str">
        <f>VLOOKUP(Tabelle7[[#This Row],[EnumName]],Enum[[IFC-Name]:[Präfix]],5,FALSE)&amp;Tabelle7[[#This Row],[EnuRohValue]]</f>
        <v>stcPOTL_TRUE_LENGTH</v>
      </c>
      <c r="F829" s="44">
        <f>COUNTIF(Tabelle7[EnuValue],Tabelle7[[#This Row],[EnuValue]])</f>
        <v>1</v>
      </c>
      <c r="G829" s="44" t="str">
        <f xml:space="preserve"> "  " &amp; Tabelle7[[#This Row],[EnuValue]] &amp; " = " &amp; Tabelle7[[#This Row],[Wert]]</f>
        <v xml:space="preserve">  stcPOTL_TRUE_LENGTH = 2</v>
      </c>
      <c r="H829" s="44" t="str">
        <f>"  If Wert = " &amp; Tabelle7[[#This Row],[EnuValue]] &amp; " then Res = ""." &amp; Tabelle7[[#This Row],[EnuRohValue]] &amp; "."""</f>
        <v xml:space="preserve">  If Wert = stcPOTL_TRUE_LENGTH then Res = ".TRUE_LENGTH."</v>
      </c>
      <c r="I829" s="44" t="str">
        <f>"  If wert = ""." &amp; Tabelle7[[#This Row],[EnuRohValue]] &amp; "."" Then Res = " &amp; Tabelle7[[#This Row],[EnuValue]]</f>
        <v xml:space="preserve">  If wert = ".TRUE_LENGTH." Then Res = stcPOTL_TRUE_LENGTH</v>
      </c>
    </row>
    <row r="830" spans="2:9" x14ac:dyDescent="0.25">
      <c r="B830" s="44">
        <v>1</v>
      </c>
      <c r="C830" s="45" t="s">
        <v>1610</v>
      </c>
      <c r="D830" s="44" t="s">
        <v>4326</v>
      </c>
      <c r="E830" s="44" t="str">
        <f>VLOOKUP(Tabelle7[[#This Row],[EnumName]],Enum[[IFC-Name]:[Präfix]],5,FALSE)&amp;Tabelle7[[#This Row],[EnuRohValue]]</f>
        <v>sbsPS_DESIGN</v>
      </c>
      <c r="F830" s="44">
        <f>COUNTIF(Tabelle7[EnuValue],Tabelle7[[#This Row],[EnuValue]])</f>
        <v>1</v>
      </c>
      <c r="G830" s="44" t="str">
        <f xml:space="preserve"> "  " &amp; Tabelle7[[#This Row],[EnuValue]] &amp; " = " &amp; Tabelle7[[#This Row],[Wert]]</f>
        <v xml:space="preserve">  sbsPS_DESIGN = 1</v>
      </c>
      <c r="H830" s="44" t="str">
        <f>"  If Wert = " &amp; Tabelle7[[#This Row],[EnuValue]] &amp; " then Res = ""." &amp; Tabelle7[[#This Row],[EnuRohValue]] &amp; "."""</f>
        <v xml:space="preserve">  If Wert = sbsPS_DESIGN then Res = ".DESIGN."</v>
      </c>
      <c r="I830" s="44" t="str">
        <f>"  If wert = ""." &amp; Tabelle7[[#This Row],[EnuRohValue]] &amp; "."" Then Res = " &amp; Tabelle7[[#This Row],[EnuValue]]</f>
        <v xml:space="preserve">  If wert = ".DESIGN." Then Res = sbsPS_DESIGN</v>
      </c>
    </row>
    <row r="831" spans="2:9" x14ac:dyDescent="0.25">
      <c r="B831" s="44">
        <v>2</v>
      </c>
      <c r="C831" s="45" t="s">
        <v>1610</v>
      </c>
      <c r="D831" s="44" t="s">
        <v>4327</v>
      </c>
      <c r="E831" s="44" t="str">
        <f>VLOOKUP(Tabelle7[[#This Row],[EnumName]],Enum[[IFC-Name]:[Präfix]],5,FALSE)&amp;Tabelle7[[#This Row],[EnuRohValue]]</f>
        <v>sbsPS_DESIGNMAXIMUM</v>
      </c>
      <c r="F831" s="44">
        <f>COUNTIF(Tabelle7[EnuValue],Tabelle7[[#This Row],[EnuValue]])</f>
        <v>1</v>
      </c>
      <c r="G831" s="44" t="str">
        <f xml:space="preserve"> "  " &amp; Tabelle7[[#This Row],[EnuValue]] &amp; " = " &amp; Tabelle7[[#This Row],[Wert]]</f>
        <v xml:space="preserve">  sbsPS_DESIGNMAXIMUM = 2</v>
      </c>
      <c r="H831" s="44" t="str">
        <f>"  If Wert = " &amp; Tabelle7[[#This Row],[EnuValue]] &amp; " then Res = ""." &amp; Tabelle7[[#This Row],[EnuRohValue]] &amp; "."""</f>
        <v xml:space="preserve">  If Wert = sbsPS_DESIGNMAXIMUM then Res = ".DESIGNMAXIMUM."</v>
      </c>
      <c r="I831" s="44" t="str">
        <f>"  If wert = ""." &amp; Tabelle7[[#This Row],[EnuRohValue]] &amp; "."" Then Res = " &amp; Tabelle7[[#This Row],[EnuValue]]</f>
        <v xml:space="preserve">  If wert = ".DESIGNMAXIMUM." Then Res = sbsPS_DESIGNMAXIMUM</v>
      </c>
    </row>
    <row r="832" spans="2:9" x14ac:dyDescent="0.25">
      <c r="B832" s="44">
        <v>3</v>
      </c>
      <c r="C832" s="45" t="s">
        <v>1610</v>
      </c>
      <c r="D832" s="44" t="s">
        <v>4328</v>
      </c>
      <c r="E832" s="44" t="str">
        <f>VLOOKUP(Tabelle7[[#This Row],[EnumName]],Enum[[IFC-Name]:[Präfix]],5,FALSE)&amp;Tabelle7[[#This Row],[EnuRohValue]]</f>
        <v>sbsPS_DESIGNMINIMUM</v>
      </c>
      <c r="F832" s="44">
        <f>COUNTIF(Tabelle7[EnuValue],Tabelle7[[#This Row],[EnuValue]])</f>
        <v>1</v>
      </c>
      <c r="G832" s="44" t="str">
        <f xml:space="preserve"> "  " &amp; Tabelle7[[#This Row],[EnuValue]] &amp; " = " &amp; Tabelle7[[#This Row],[Wert]]</f>
        <v xml:space="preserve">  sbsPS_DESIGNMINIMUM = 3</v>
      </c>
      <c r="H832" s="44" t="str">
        <f>"  If Wert = " &amp; Tabelle7[[#This Row],[EnuValue]] &amp; " then Res = ""." &amp; Tabelle7[[#This Row],[EnuRohValue]] &amp; "."""</f>
        <v xml:space="preserve">  If Wert = sbsPS_DESIGNMINIMUM then Res = ".DESIGNMINIMUM."</v>
      </c>
      <c r="I832" s="44" t="str">
        <f>"  If wert = ""." &amp; Tabelle7[[#This Row],[EnuRohValue]] &amp; "."" Then Res = " &amp; Tabelle7[[#This Row],[EnuValue]]</f>
        <v xml:space="preserve">  If wert = ".DESIGNMINIMUM." Then Res = sbsPS_DESIGNMINIMUM</v>
      </c>
    </row>
    <row r="833" spans="2:9" x14ac:dyDescent="0.25">
      <c r="B833" s="44">
        <v>4</v>
      </c>
      <c r="C833" s="45" t="s">
        <v>1610</v>
      </c>
      <c r="D833" s="44" t="s">
        <v>3960</v>
      </c>
      <c r="E833" s="44" t="str">
        <f>VLOOKUP(Tabelle7[[#This Row],[EnumName]],Enum[[IFC-Name]:[Präfix]],5,FALSE)&amp;Tabelle7[[#This Row],[EnuRohValue]]</f>
        <v>sbsPS_SIMULATED</v>
      </c>
      <c r="F833" s="44">
        <f>COUNTIF(Tabelle7[EnuValue],Tabelle7[[#This Row],[EnuValue]])</f>
        <v>1</v>
      </c>
      <c r="G833" s="44" t="str">
        <f xml:space="preserve"> "  " &amp; Tabelle7[[#This Row],[EnuValue]] &amp; " = " &amp; Tabelle7[[#This Row],[Wert]]</f>
        <v xml:space="preserve">  sbsPS_SIMULATED = 4</v>
      </c>
      <c r="H833" s="44" t="str">
        <f>"  If Wert = " &amp; Tabelle7[[#This Row],[EnuValue]] &amp; " then Res = ""." &amp; Tabelle7[[#This Row],[EnuRohValue]] &amp; "."""</f>
        <v xml:space="preserve">  If Wert = sbsPS_SIMULATED then Res = ".SIMULATED."</v>
      </c>
      <c r="I833" s="44" t="str">
        <f>"  If wert = ""." &amp; Tabelle7[[#This Row],[EnuRohValue]] &amp; "."" Then Res = " &amp; Tabelle7[[#This Row],[EnuValue]]</f>
        <v xml:space="preserve">  If wert = ".SIMULATED." Then Res = sbsPS_SIMULATED</v>
      </c>
    </row>
    <row r="834" spans="2:9" x14ac:dyDescent="0.25">
      <c r="B834" s="44">
        <v>5</v>
      </c>
      <c r="C834" s="45" t="s">
        <v>1610</v>
      </c>
      <c r="D834" s="44" t="s">
        <v>4329</v>
      </c>
      <c r="E834" s="44" t="str">
        <f>VLOOKUP(Tabelle7[[#This Row],[EnumName]],Enum[[IFC-Name]:[Präfix]],5,FALSE)&amp;Tabelle7[[#This Row],[EnuRohValue]]</f>
        <v>sbsPS_ASBUILT</v>
      </c>
      <c r="F834" s="44">
        <f>COUNTIF(Tabelle7[EnuValue],Tabelle7[[#This Row],[EnuValue]])</f>
        <v>1</v>
      </c>
      <c r="G834" s="44" t="str">
        <f xml:space="preserve"> "  " &amp; Tabelle7[[#This Row],[EnuValue]] &amp; " = " &amp; Tabelle7[[#This Row],[Wert]]</f>
        <v xml:space="preserve">  sbsPS_ASBUILT = 5</v>
      </c>
      <c r="H834" s="44" t="str">
        <f>"  If Wert = " &amp; Tabelle7[[#This Row],[EnuValue]] &amp; " then Res = ""." &amp; Tabelle7[[#This Row],[EnuRohValue]] &amp; "."""</f>
        <v xml:space="preserve">  If Wert = sbsPS_ASBUILT then Res = ".ASBUILT."</v>
      </c>
      <c r="I834" s="44" t="str">
        <f>"  If wert = ""." &amp; Tabelle7[[#This Row],[EnuRohValue]] &amp; "."" Then Res = " &amp; Tabelle7[[#This Row],[EnuValue]]</f>
        <v xml:space="preserve">  If wert = ".ASBUILT." Then Res = sbsPS_ASBUILT</v>
      </c>
    </row>
    <row r="835" spans="2:9" x14ac:dyDescent="0.25">
      <c r="B835" s="44">
        <v>6</v>
      </c>
      <c r="C835" s="45" t="s">
        <v>1610</v>
      </c>
      <c r="D835" s="44" t="s">
        <v>4330</v>
      </c>
      <c r="E835" s="44" t="str">
        <f>VLOOKUP(Tabelle7[[#This Row],[EnumName]],Enum[[IFC-Name]:[Präfix]],5,FALSE)&amp;Tabelle7[[#This Row],[EnuRohValue]]</f>
        <v>sbsPS_COMMISSIONING</v>
      </c>
      <c r="F835" s="44">
        <f>COUNTIF(Tabelle7[EnuValue],Tabelle7[[#This Row],[EnuValue]])</f>
        <v>1</v>
      </c>
      <c r="G835" s="44" t="str">
        <f xml:space="preserve"> "  " &amp; Tabelle7[[#This Row],[EnuValue]] &amp; " = " &amp; Tabelle7[[#This Row],[Wert]]</f>
        <v xml:space="preserve">  sbsPS_COMMISSIONING = 6</v>
      </c>
      <c r="H835" s="44" t="str">
        <f>"  If Wert = " &amp; Tabelle7[[#This Row],[EnuValue]] &amp; " then Res = ""." &amp; Tabelle7[[#This Row],[EnuRohValue]] &amp; "."""</f>
        <v xml:space="preserve">  If Wert = sbsPS_COMMISSIONING then Res = ".COMMISSIONING."</v>
      </c>
      <c r="I835" s="44" t="str">
        <f>"  If wert = ""." &amp; Tabelle7[[#This Row],[EnuRohValue]] &amp; "."" Then Res = " &amp; Tabelle7[[#This Row],[EnuValue]]</f>
        <v xml:space="preserve">  If wert = ".COMMISSIONING." Then Res = sbsPS_COMMISSIONING</v>
      </c>
    </row>
    <row r="836" spans="2:9" x14ac:dyDescent="0.25">
      <c r="B836" s="44">
        <v>7</v>
      </c>
      <c r="C836" s="45" t="s">
        <v>1610</v>
      </c>
      <c r="D836" s="44" t="s">
        <v>3958</v>
      </c>
      <c r="E836" s="44" t="str">
        <f>VLOOKUP(Tabelle7[[#This Row],[EnumName]],Enum[[IFC-Name]:[Präfix]],5,FALSE)&amp;Tabelle7[[#This Row],[EnuRohValue]]</f>
        <v>sbsPS_MEASURED</v>
      </c>
      <c r="F836" s="44">
        <f>COUNTIF(Tabelle7[EnuValue],Tabelle7[[#This Row],[EnuValue]])</f>
        <v>1</v>
      </c>
      <c r="G836" s="44" t="str">
        <f xml:space="preserve"> "  " &amp; Tabelle7[[#This Row],[EnuValue]] &amp; " = " &amp; Tabelle7[[#This Row],[Wert]]</f>
        <v xml:space="preserve">  sbsPS_MEASURED = 7</v>
      </c>
      <c r="H836" s="44" t="str">
        <f>"  If Wert = " &amp; Tabelle7[[#This Row],[EnuValue]] &amp; " then Res = ""." &amp; Tabelle7[[#This Row],[EnuRohValue]] &amp; "."""</f>
        <v xml:space="preserve">  If Wert = sbsPS_MEASURED then Res = ".MEASURED."</v>
      </c>
      <c r="I836" s="44" t="str">
        <f>"  If wert = ""." &amp; Tabelle7[[#This Row],[EnuRohValue]] &amp; "."" Then Res = " &amp; Tabelle7[[#This Row],[EnuValue]]</f>
        <v xml:space="preserve">  If wert = ".MEASURED." Then Res = sbsPS_MEASURED</v>
      </c>
    </row>
    <row r="837" spans="2:9" x14ac:dyDescent="0.25">
      <c r="B837" s="44">
        <v>8</v>
      </c>
      <c r="C837" s="45" t="s">
        <v>1610</v>
      </c>
      <c r="D837" s="44" t="s">
        <v>3682</v>
      </c>
      <c r="E837" s="44" t="str">
        <f>VLOOKUP(Tabelle7[[#This Row],[EnumName]],Enum[[IFC-Name]:[Präfix]],5,FALSE)&amp;Tabelle7[[#This Row],[EnuRohValue]]</f>
        <v>sbsPS_USERDEFINED</v>
      </c>
      <c r="F837" s="44">
        <f>COUNTIF(Tabelle7[EnuValue],Tabelle7[[#This Row],[EnuValue]])</f>
        <v>1</v>
      </c>
      <c r="G837" s="44" t="str">
        <f xml:space="preserve"> "  " &amp; Tabelle7[[#This Row],[EnuValue]] &amp; " = " &amp; Tabelle7[[#This Row],[Wert]]</f>
        <v xml:space="preserve">  sbsPS_USERDEFINED = 8</v>
      </c>
      <c r="H837" s="44" t="str">
        <f>"  If Wert = " &amp; Tabelle7[[#This Row],[EnuValue]] &amp; " then Res = ""." &amp; Tabelle7[[#This Row],[EnuRohValue]] &amp; "."""</f>
        <v xml:space="preserve">  If Wert = sbsPS_USERDEFINED then Res = ".USERDEFINED."</v>
      </c>
      <c r="I837" s="44" t="str">
        <f>"  If wert = ""." &amp; Tabelle7[[#This Row],[EnuRohValue]] &amp; "."" Then Res = " &amp; Tabelle7[[#This Row],[EnuValue]]</f>
        <v xml:space="preserve">  If wert = ".USERDEFINED." Then Res = sbsPS_USERDEFINED</v>
      </c>
    </row>
    <row r="838" spans="2:9" x14ac:dyDescent="0.25">
      <c r="B838" s="44">
        <v>9</v>
      </c>
      <c r="C838" s="45" t="s">
        <v>1610</v>
      </c>
      <c r="D838" s="44" t="s">
        <v>4331</v>
      </c>
      <c r="E838" s="44" t="str">
        <f>VLOOKUP(Tabelle7[[#This Row],[EnumName]],Enum[[IFC-Name]:[Präfix]],5,FALSE)&amp;Tabelle7[[#This Row],[EnuRohValue]]</f>
        <v>sbsPS_NOTKNOWN</v>
      </c>
      <c r="F838" s="44">
        <f>COUNTIF(Tabelle7[EnuValue],Tabelle7[[#This Row],[EnuValue]])</f>
        <v>1</v>
      </c>
      <c r="G838" s="44" t="str">
        <f xml:space="preserve"> "  " &amp; Tabelle7[[#This Row],[EnuValue]] &amp; " = " &amp; Tabelle7[[#This Row],[Wert]]</f>
        <v xml:space="preserve">  sbsPS_NOTKNOWN = 9</v>
      </c>
      <c r="H838" s="44" t="str">
        <f>"  If Wert = " &amp; Tabelle7[[#This Row],[EnuValue]] &amp; " then Res = ""." &amp; Tabelle7[[#This Row],[EnuRohValue]] &amp; "."""</f>
        <v xml:space="preserve">  If Wert = sbsPS_NOTKNOWN then Res = ".NOTKNOWN."</v>
      </c>
      <c r="I838" s="44" t="str">
        <f>"  If wert = ""." &amp; Tabelle7[[#This Row],[EnuRohValue]] &amp; "."" Then Res = " &amp; Tabelle7[[#This Row],[EnuValue]]</f>
        <v xml:space="preserve">  If wert = ".NOTKNOWN." Then Res = sbsPS_NOTKNOWN</v>
      </c>
    </row>
    <row r="839" spans="2:9" x14ac:dyDescent="0.25">
      <c r="B839" s="44">
        <v>1</v>
      </c>
      <c r="C839" s="45" t="s">
        <v>1611</v>
      </c>
      <c r="D839" s="44" t="s">
        <v>4332</v>
      </c>
      <c r="E839" s="44" t="str">
        <f>VLOOKUP(Tabelle7[[#This Row],[EnumName]],Enum[[IFC-Name]:[Präfix]],5,FALSE)&amp;Tabelle7[[#This Row],[EnuRohValue]]</f>
        <v>elePDT_FUSEDISCONNECTOR</v>
      </c>
      <c r="F839" s="44">
        <f>COUNTIF(Tabelle7[EnuValue],Tabelle7[[#This Row],[EnuValue]])</f>
        <v>1</v>
      </c>
      <c r="G839" s="44" t="str">
        <f xml:space="preserve"> "  " &amp; Tabelle7[[#This Row],[EnuValue]] &amp; " = " &amp; Tabelle7[[#This Row],[Wert]]</f>
        <v xml:space="preserve">  elePDT_FUSEDISCONNECTOR = 1</v>
      </c>
      <c r="H839" s="44" t="str">
        <f>"  If Wert = " &amp; Tabelle7[[#This Row],[EnuValue]] &amp; " then Res = ""." &amp; Tabelle7[[#This Row],[EnuRohValue]] &amp; "."""</f>
        <v xml:space="preserve">  If Wert = elePDT_FUSEDISCONNECTOR then Res = ".FUSEDISCONNECTOR."</v>
      </c>
      <c r="I839" s="44" t="str">
        <f>"  If wert = ""." &amp; Tabelle7[[#This Row],[EnuRohValue]] &amp; "."" Then Res = " &amp; Tabelle7[[#This Row],[EnuValue]]</f>
        <v xml:space="preserve">  If wert = ".FUSEDISCONNECTOR." Then Res = elePDT_FUSEDISCONNECTOR</v>
      </c>
    </row>
    <row r="840" spans="2:9" x14ac:dyDescent="0.25">
      <c r="B840" s="44">
        <v>2</v>
      </c>
      <c r="C840" s="45" t="s">
        <v>1611</v>
      </c>
      <c r="D840" s="44" t="s">
        <v>4333</v>
      </c>
      <c r="E840" s="44" t="str">
        <f>VLOOKUP(Tabelle7[[#This Row],[EnumName]],Enum[[IFC-Name]:[Präfix]],5,FALSE)&amp;Tabelle7[[#This Row],[EnuRohValue]]</f>
        <v>elePDT_CIRCUITBREAKER</v>
      </c>
      <c r="F840" s="44">
        <f>COUNTIF(Tabelle7[EnuValue],Tabelle7[[#This Row],[EnuValue]])</f>
        <v>1</v>
      </c>
      <c r="G840" s="44" t="str">
        <f xml:space="preserve"> "  " &amp; Tabelle7[[#This Row],[EnuValue]] &amp; " = " &amp; Tabelle7[[#This Row],[Wert]]</f>
        <v xml:space="preserve">  elePDT_CIRCUITBREAKER = 2</v>
      </c>
      <c r="H840" s="44" t="str">
        <f>"  If Wert = " &amp; Tabelle7[[#This Row],[EnuValue]] &amp; " then Res = ""." &amp; Tabelle7[[#This Row],[EnuRohValue]] &amp; "."""</f>
        <v xml:space="preserve">  If Wert = elePDT_CIRCUITBREAKER then Res = ".CIRCUITBREAKER."</v>
      </c>
      <c r="I840" s="44" t="str">
        <f>"  If wert = ""." &amp; Tabelle7[[#This Row],[EnuRohValue]] &amp; "."" Then Res = " &amp; Tabelle7[[#This Row],[EnuValue]]</f>
        <v xml:space="preserve">  If wert = ".CIRCUITBREAKER." Then Res = elePDT_CIRCUITBREAKER</v>
      </c>
    </row>
    <row r="841" spans="2:9" x14ac:dyDescent="0.25">
      <c r="B841" s="44">
        <v>3</v>
      </c>
      <c r="C841" s="45" t="s">
        <v>1611</v>
      </c>
      <c r="D841" s="44" t="s">
        <v>4334</v>
      </c>
      <c r="E841" s="44" t="str">
        <f>VLOOKUP(Tabelle7[[#This Row],[EnumName]],Enum[[IFC-Name]:[Präfix]],5,FALSE)&amp;Tabelle7[[#This Row],[EnuRohValue]]</f>
        <v>elePDT_EARTHFAILUREDEVICE</v>
      </c>
      <c r="F841" s="44">
        <f>COUNTIF(Tabelle7[EnuValue],Tabelle7[[#This Row],[EnuValue]])</f>
        <v>1</v>
      </c>
      <c r="G841" s="44" t="str">
        <f xml:space="preserve"> "  " &amp; Tabelle7[[#This Row],[EnuValue]] &amp; " = " &amp; Tabelle7[[#This Row],[Wert]]</f>
        <v xml:space="preserve">  elePDT_EARTHFAILUREDEVICE = 3</v>
      </c>
      <c r="H841" s="44" t="str">
        <f>"  If Wert = " &amp; Tabelle7[[#This Row],[EnuValue]] &amp; " then Res = ""." &amp; Tabelle7[[#This Row],[EnuRohValue]] &amp; "."""</f>
        <v xml:space="preserve">  If Wert = elePDT_EARTHFAILUREDEVICE then Res = ".EARTHFAILUREDEVICE."</v>
      </c>
      <c r="I841" s="44" t="str">
        <f>"  If wert = ""." &amp; Tabelle7[[#This Row],[EnuRohValue]] &amp; "."" Then Res = " &amp; Tabelle7[[#This Row],[EnuValue]]</f>
        <v xml:space="preserve">  If wert = ".EARTHFAILUREDEVICE." Then Res = elePDT_EARTHFAILUREDEVICE</v>
      </c>
    </row>
    <row r="842" spans="2:9" x14ac:dyDescent="0.25">
      <c r="B842" s="44">
        <v>4</v>
      </c>
      <c r="C842" s="45" t="s">
        <v>1611</v>
      </c>
      <c r="D842" s="44" t="s">
        <v>4335</v>
      </c>
      <c r="E842" s="44" t="str">
        <f>VLOOKUP(Tabelle7[[#This Row],[EnumName]],Enum[[IFC-Name]:[Präfix]],5,FALSE)&amp;Tabelle7[[#This Row],[EnuRohValue]]</f>
        <v>elePDT_RESIDUALCURRENTCIRCUITBREAKER</v>
      </c>
      <c r="F842" s="44">
        <f>COUNTIF(Tabelle7[EnuValue],Tabelle7[[#This Row],[EnuValue]])</f>
        <v>1</v>
      </c>
      <c r="G842" s="44" t="str">
        <f xml:space="preserve"> "  " &amp; Tabelle7[[#This Row],[EnuValue]] &amp; " = " &amp; Tabelle7[[#This Row],[Wert]]</f>
        <v xml:space="preserve">  elePDT_RESIDUALCURRENTCIRCUITBREAKER = 4</v>
      </c>
      <c r="H842" s="44" t="str">
        <f>"  If Wert = " &amp; Tabelle7[[#This Row],[EnuValue]] &amp; " then Res = ""." &amp; Tabelle7[[#This Row],[EnuRohValue]] &amp; "."""</f>
        <v xml:space="preserve">  If Wert = elePDT_RESIDUALCURRENTCIRCUITBREAKER then Res = ".RESIDUALCURRENTCIRCUITBREAKER."</v>
      </c>
      <c r="I842" s="44" t="str">
        <f>"  If wert = ""." &amp; Tabelle7[[#This Row],[EnuRohValue]] &amp; "."" Then Res = " &amp; Tabelle7[[#This Row],[EnuValue]]</f>
        <v xml:space="preserve">  If wert = ".RESIDUALCURRENTCIRCUITBREAKER." Then Res = elePDT_RESIDUALCURRENTCIRCUITBREAKER</v>
      </c>
    </row>
    <row r="843" spans="2:9" x14ac:dyDescent="0.25">
      <c r="B843" s="44">
        <v>5</v>
      </c>
      <c r="C843" s="45" t="s">
        <v>1611</v>
      </c>
      <c r="D843" s="44" t="s">
        <v>4336</v>
      </c>
      <c r="E843" s="44" t="str">
        <f>VLOOKUP(Tabelle7[[#This Row],[EnumName]],Enum[[IFC-Name]:[Präfix]],5,FALSE)&amp;Tabelle7[[#This Row],[EnuRohValue]]</f>
        <v>elePDT_RESIDUALCURRENTSWITCH</v>
      </c>
      <c r="F843" s="44">
        <f>COUNTIF(Tabelle7[EnuValue],Tabelle7[[#This Row],[EnuValue]])</f>
        <v>1</v>
      </c>
      <c r="G843" s="44" t="str">
        <f xml:space="preserve"> "  " &amp; Tabelle7[[#This Row],[EnuValue]] &amp; " = " &amp; Tabelle7[[#This Row],[Wert]]</f>
        <v xml:space="preserve">  elePDT_RESIDUALCURRENTSWITCH = 5</v>
      </c>
      <c r="H843" s="44" t="str">
        <f>"  If Wert = " &amp; Tabelle7[[#This Row],[EnuValue]] &amp; " then Res = ""." &amp; Tabelle7[[#This Row],[EnuRohValue]] &amp; "."""</f>
        <v xml:space="preserve">  If Wert = elePDT_RESIDUALCURRENTSWITCH then Res = ".RESIDUALCURRENTSWITCH."</v>
      </c>
      <c r="I843" s="44" t="str">
        <f>"  If wert = ""." &amp; Tabelle7[[#This Row],[EnuRohValue]] &amp; "."" Then Res = " &amp; Tabelle7[[#This Row],[EnuValue]]</f>
        <v xml:space="preserve">  If wert = ".RESIDUALCURRENTSWITCH." Then Res = elePDT_RESIDUALCURRENTSWITCH</v>
      </c>
    </row>
    <row r="844" spans="2:9" x14ac:dyDescent="0.25">
      <c r="B844" s="44">
        <v>6</v>
      </c>
      <c r="C844" s="45" t="s">
        <v>1611</v>
      </c>
      <c r="D844" s="44" t="s">
        <v>4337</v>
      </c>
      <c r="E844" s="44" t="str">
        <f>VLOOKUP(Tabelle7[[#This Row],[EnumName]],Enum[[IFC-Name]:[Präfix]],5,FALSE)&amp;Tabelle7[[#This Row],[EnuRohValue]]</f>
        <v>elePDT_VARISTOR</v>
      </c>
      <c r="F844" s="44">
        <f>COUNTIF(Tabelle7[EnuValue],Tabelle7[[#This Row],[EnuValue]])</f>
        <v>1</v>
      </c>
      <c r="G844" s="44" t="str">
        <f xml:space="preserve"> "  " &amp; Tabelle7[[#This Row],[EnuValue]] &amp; " = " &amp; Tabelle7[[#This Row],[Wert]]</f>
        <v xml:space="preserve">  elePDT_VARISTOR = 6</v>
      </c>
      <c r="H844" s="44" t="str">
        <f>"  If Wert = " &amp; Tabelle7[[#This Row],[EnuValue]] &amp; " then Res = ""." &amp; Tabelle7[[#This Row],[EnuRohValue]] &amp; "."""</f>
        <v xml:space="preserve">  If Wert = elePDT_VARISTOR then Res = ".VARISTOR."</v>
      </c>
      <c r="I844" s="44" t="str">
        <f>"  If wert = ""." &amp; Tabelle7[[#This Row],[EnuRohValue]] &amp; "."" Then Res = " &amp; Tabelle7[[#This Row],[EnuValue]]</f>
        <v xml:space="preserve">  If wert = ".VARISTOR." Then Res = elePDT_VARISTOR</v>
      </c>
    </row>
    <row r="845" spans="2:9" x14ac:dyDescent="0.25">
      <c r="B845" s="44">
        <v>7</v>
      </c>
      <c r="C845" s="45" t="s">
        <v>1611</v>
      </c>
      <c r="D845" s="44" t="s">
        <v>3682</v>
      </c>
      <c r="E845" s="44" t="str">
        <f>VLOOKUP(Tabelle7[[#This Row],[EnumName]],Enum[[IFC-Name]:[Präfix]],5,FALSE)&amp;Tabelle7[[#This Row],[EnuRohValue]]</f>
        <v>elePDT_USERDEFINED</v>
      </c>
      <c r="F845" s="44">
        <f>COUNTIF(Tabelle7[EnuValue],Tabelle7[[#This Row],[EnuValue]])</f>
        <v>1</v>
      </c>
      <c r="G845" s="44" t="str">
        <f xml:space="preserve"> "  " &amp; Tabelle7[[#This Row],[EnuValue]] &amp; " = " &amp; Tabelle7[[#This Row],[Wert]]</f>
        <v xml:space="preserve">  elePDT_USERDEFINED = 7</v>
      </c>
      <c r="H845" s="44" t="str">
        <f>"  If Wert = " &amp; Tabelle7[[#This Row],[EnuValue]] &amp; " then Res = ""." &amp; Tabelle7[[#This Row],[EnuRohValue]] &amp; "."""</f>
        <v xml:space="preserve">  If Wert = elePDT_USERDEFINED then Res = ".USERDEFINED."</v>
      </c>
      <c r="I845" s="44" t="str">
        <f>"  If wert = ""." &amp; Tabelle7[[#This Row],[EnuRohValue]] &amp; "."" Then Res = " &amp; Tabelle7[[#This Row],[EnuValue]]</f>
        <v xml:space="preserve">  If wert = ".USERDEFINED." Then Res = elePDT_USERDEFINED</v>
      </c>
    </row>
    <row r="846" spans="2:9" x14ac:dyDescent="0.25">
      <c r="B846" s="44">
        <v>8</v>
      </c>
      <c r="C846" s="45" t="s">
        <v>1611</v>
      </c>
      <c r="D846" s="44" t="s">
        <v>3683</v>
      </c>
      <c r="E846" s="44" t="str">
        <f>VLOOKUP(Tabelle7[[#This Row],[EnumName]],Enum[[IFC-Name]:[Präfix]],5,FALSE)&amp;Tabelle7[[#This Row],[EnuRohValue]]</f>
        <v>elePDT_NOTDEFINED</v>
      </c>
      <c r="F846" s="44">
        <f>COUNTIF(Tabelle7[EnuValue],Tabelle7[[#This Row],[EnuValue]])</f>
        <v>1</v>
      </c>
      <c r="G846" s="44" t="str">
        <f xml:space="preserve"> "  " &amp; Tabelle7[[#This Row],[EnuValue]] &amp; " = " &amp; Tabelle7[[#This Row],[Wert]]</f>
        <v xml:space="preserve">  elePDT_NOTDEFINED = 8</v>
      </c>
      <c r="H846" s="44" t="str">
        <f>"  If Wert = " &amp; Tabelle7[[#This Row],[EnuValue]] &amp; " then Res = ""." &amp; Tabelle7[[#This Row],[EnuRohValue]] &amp; "."""</f>
        <v xml:space="preserve">  If Wert = elePDT_NOTDEFINED then Res = ".NOTDEFINED."</v>
      </c>
      <c r="I846" s="44" t="str">
        <f>"  If wert = ""." &amp; Tabelle7[[#This Row],[EnuRohValue]] &amp; "."" Then Res = " &amp; Tabelle7[[#This Row],[EnuValue]]</f>
        <v xml:space="preserve">  If wert = ".NOTDEFINED." Then Res = elePDT_NOTDEFINED</v>
      </c>
    </row>
    <row r="847" spans="2:9" x14ac:dyDescent="0.25">
      <c r="B847" s="44">
        <v>1</v>
      </c>
      <c r="C847" s="45" t="s">
        <v>1612</v>
      </c>
      <c r="D847" s="44" t="s">
        <v>4338</v>
      </c>
      <c r="E847" s="44" t="str">
        <f>VLOOKUP(Tabelle7[[#This Row],[EnumName]],Enum[[IFC-Name]:[Präfix]],5,FALSE)&amp;Tabelle7[[#This Row],[EnuRohValue]]</f>
        <v>hvacPT_CIRCULATOR</v>
      </c>
      <c r="F847" s="44">
        <f>COUNTIF(Tabelle7[EnuValue],Tabelle7[[#This Row],[EnuValue]])</f>
        <v>1</v>
      </c>
      <c r="G847" s="44" t="str">
        <f xml:space="preserve"> "  " &amp; Tabelle7[[#This Row],[EnuValue]] &amp; " = " &amp; Tabelle7[[#This Row],[Wert]]</f>
        <v xml:space="preserve">  hvacPT_CIRCULATOR = 1</v>
      </c>
      <c r="H847" s="44" t="str">
        <f>"  If Wert = " &amp; Tabelle7[[#This Row],[EnuValue]] &amp; " then Res = ""." &amp; Tabelle7[[#This Row],[EnuRohValue]] &amp; "."""</f>
        <v xml:space="preserve">  If Wert = hvacPT_CIRCULATOR then Res = ".CIRCULATOR."</v>
      </c>
      <c r="I847" s="44" t="str">
        <f>"  If wert = ""." &amp; Tabelle7[[#This Row],[EnuRohValue]] &amp; "."" Then Res = " &amp; Tabelle7[[#This Row],[EnuValue]]</f>
        <v xml:space="preserve">  If wert = ".CIRCULATOR." Then Res = hvacPT_CIRCULATOR</v>
      </c>
    </row>
    <row r="848" spans="2:9" x14ac:dyDescent="0.25">
      <c r="B848" s="44">
        <v>2</v>
      </c>
      <c r="C848" s="45" t="s">
        <v>1612</v>
      </c>
      <c r="D848" s="44" t="s">
        <v>4339</v>
      </c>
      <c r="E848" s="44" t="str">
        <f>VLOOKUP(Tabelle7[[#This Row],[EnumName]],Enum[[IFC-Name]:[Präfix]],5,FALSE)&amp;Tabelle7[[#This Row],[EnuRohValue]]</f>
        <v>hvacPT_ENDSUCTION</v>
      </c>
      <c r="F848" s="44">
        <f>COUNTIF(Tabelle7[EnuValue],Tabelle7[[#This Row],[EnuValue]])</f>
        <v>1</v>
      </c>
      <c r="G848" s="44" t="str">
        <f xml:space="preserve"> "  " &amp; Tabelle7[[#This Row],[EnuValue]] &amp; " = " &amp; Tabelle7[[#This Row],[Wert]]</f>
        <v xml:space="preserve">  hvacPT_ENDSUCTION = 2</v>
      </c>
      <c r="H848" s="44" t="str">
        <f>"  If Wert = " &amp; Tabelle7[[#This Row],[EnuValue]] &amp; " then Res = ""." &amp; Tabelle7[[#This Row],[EnuRohValue]] &amp; "."""</f>
        <v xml:space="preserve">  If Wert = hvacPT_ENDSUCTION then Res = ".ENDSUCTION."</v>
      </c>
      <c r="I848" s="44" t="str">
        <f>"  If wert = ""." &amp; Tabelle7[[#This Row],[EnuRohValue]] &amp; "."" Then Res = " &amp; Tabelle7[[#This Row],[EnuValue]]</f>
        <v xml:space="preserve">  If wert = ".ENDSUCTION." Then Res = hvacPT_ENDSUCTION</v>
      </c>
    </row>
    <row r="849" spans="2:9" x14ac:dyDescent="0.25">
      <c r="B849" s="44">
        <v>3</v>
      </c>
      <c r="C849" s="45" t="s">
        <v>1612</v>
      </c>
      <c r="D849" s="44" t="s">
        <v>4340</v>
      </c>
      <c r="E849" s="44" t="str">
        <f>VLOOKUP(Tabelle7[[#This Row],[EnumName]],Enum[[IFC-Name]:[Präfix]],5,FALSE)&amp;Tabelle7[[#This Row],[EnuRohValue]]</f>
        <v>hvacPT_SPLITCASE</v>
      </c>
      <c r="F849" s="44">
        <f>COUNTIF(Tabelle7[EnuValue],Tabelle7[[#This Row],[EnuValue]])</f>
        <v>1</v>
      </c>
      <c r="G849" s="44" t="str">
        <f xml:space="preserve"> "  " &amp; Tabelle7[[#This Row],[EnuValue]] &amp; " = " &amp; Tabelle7[[#This Row],[Wert]]</f>
        <v xml:space="preserve">  hvacPT_SPLITCASE = 3</v>
      </c>
      <c r="H849" s="44" t="str">
        <f>"  If Wert = " &amp; Tabelle7[[#This Row],[EnuValue]] &amp; " then Res = ""." &amp; Tabelle7[[#This Row],[EnuRohValue]] &amp; "."""</f>
        <v xml:space="preserve">  If Wert = hvacPT_SPLITCASE then Res = ".SPLITCASE."</v>
      </c>
      <c r="I849" s="44" t="str">
        <f>"  If wert = ""." &amp; Tabelle7[[#This Row],[EnuRohValue]] &amp; "."" Then Res = " &amp; Tabelle7[[#This Row],[EnuValue]]</f>
        <v xml:space="preserve">  If wert = ".SPLITCASE." Then Res = hvacPT_SPLITCASE</v>
      </c>
    </row>
    <row r="850" spans="2:9" x14ac:dyDescent="0.25">
      <c r="B850" s="44">
        <v>4</v>
      </c>
      <c r="C850" s="45" t="s">
        <v>1612</v>
      </c>
      <c r="D850" s="44" t="s">
        <v>4341</v>
      </c>
      <c r="E850" s="44" t="str">
        <f>VLOOKUP(Tabelle7[[#This Row],[EnumName]],Enum[[IFC-Name]:[Präfix]],5,FALSE)&amp;Tabelle7[[#This Row],[EnuRohValue]]</f>
        <v>hvacPT_VERTICALINLINE</v>
      </c>
      <c r="F850" s="44">
        <f>COUNTIF(Tabelle7[EnuValue],Tabelle7[[#This Row],[EnuValue]])</f>
        <v>1</v>
      </c>
      <c r="G850" s="44" t="str">
        <f xml:space="preserve"> "  " &amp; Tabelle7[[#This Row],[EnuValue]] &amp; " = " &amp; Tabelle7[[#This Row],[Wert]]</f>
        <v xml:space="preserve">  hvacPT_VERTICALINLINE = 4</v>
      </c>
      <c r="H850" s="44" t="str">
        <f>"  If Wert = " &amp; Tabelle7[[#This Row],[EnuValue]] &amp; " then Res = ""." &amp; Tabelle7[[#This Row],[EnuRohValue]] &amp; "."""</f>
        <v xml:space="preserve">  If Wert = hvacPT_VERTICALINLINE then Res = ".VERTICALINLINE."</v>
      </c>
      <c r="I850" s="44" t="str">
        <f>"  If wert = ""." &amp; Tabelle7[[#This Row],[EnuRohValue]] &amp; "."" Then Res = " &amp; Tabelle7[[#This Row],[EnuValue]]</f>
        <v xml:space="preserve">  If wert = ".VERTICALINLINE." Then Res = hvacPT_VERTICALINLINE</v>
      </c>
    </row>
    <row r="851" spans="2:9" x14ac:dyDescent="0.25">
      <c r="B851" s="44">
        <v>5</v>
      </c>
      <c r="C851" s="45" t="s">
        <v>1612</v>
      </c>
      <c r="D851" s="44" t="s">
        <v>4342</v>
      </c>
      <c r="E851" s="44" t="str">
        <f>VLOOKUP(Tabelle7[[#This Row],[EnumName]],Enum[[IFC-Name]:[Präfix]],5,FALSE)&amp;Tabelle7[[#This Row],[EnuRohValue]]</f>
        <v>hvacPT_VERTICALTURBINE</v>
      </c>
      <c r="F851" s="44">
        <f>COUNTIF(Tabelle7[EnuValue],Tabelle7[[#This Row],[EnuValue]])</f>
        <v>1</v>
      </c>
      <c r="G851" s="44" t="str">
        <f xml:space="preserve"> "  " &amp; Tabelle7[[#This Row],[EnuValue]] &amp; " = " &amp; Tabelle7[[#This Row],[Wert]]</f>
        <v xml:space="preserve">  hvacPT_VERTICALTURBINE = 5</v>
      </c>
      <c r="H851" s="44" t="str">
        <f>"  If Wert = " &amp; Tabelle7[[#This Row],[EnuValue]] &amp; " then Res = ""." &amp; Tabelle7[[#This Row],[EnuRohValue]] &amp; "."""</f>
        <v xml:space="preserve">  If Wert = hvacPT_VERTICALTURBINE then Res = ".VERTICALTURBINE."</v>
      </c>
      <c r="I851" s="44" t="str">
        <f>"  If wert = ""." &amp; Tabelle7[[#This Row],[EnuRohValue]] &amp; "."" Then Res = " &amp; Tabelle7[[#This Row],[EnuValue]]</f>
        <v xml:space="preserve">  If wert = ".VERTICALTURBINE." Then Res = hvacPT_VERTICALTURBINE</v>
      </c>
    </row>
    <row r="852" spans="2:9" x14ac:dyDescent="0.25">
      <c r="B852" s="44">
        <v>6</v>
      </c>
      <c r="C852" s="45" t="s">
        <v>1612</v>
      </c>
      <c r="D852" s="44" t="s">
        <v>3682</v>
      </c>
      <c r="E852" s="44" t="str">
        <f>VLOOKUP(Tabelle7[[#This Row],[EnumName]],Enum[[IFC-Name]:[Präfix]],5,FALSE)&amp;Tabelle7[[#This Row],[EnuRohValue]]</f>
        <v>hvacPT_USERDEFINED</v>
      </c>
      <c r="F852" s="44">
        <f>COUNTIF(Tabelle7[EnuValue],Tabelle7[[#This Row],[EnuValue]])</f>
        <v>1</v>
      </c>
      <c r="G852" s="44" t="str">
        <f xml:space="preserve"> "  " &amp; Tabelle7[[#This Row],[EnuValue]] &amp; " = " &amp; Tabelle7[[#This Row],[Wert]]</f>
        <v xml:space="preserve">  hvacPT_USERDEFINED = 6</v>
      </c>
      <c r="H852" s="44" t="str">
        <f>"  If Wert = " &amp; Tabelle7[[#This Row],[EnuValue]] &amp; " then Res = ""." &amp; Tabelle7[[#This Row],[EnuRohValue]] &amp; "."""</f>
        <v xml:space="preserve">  If Wert = hvacPT_USERDEFINED then Res = ".USERDEFINED."</v>
      </c>
      <c r="I852" s="44" t="str">
        <f>"  If wert = ""." &amp; Tabelle7[[#This Row],[EnuRohValue]] &amp; "."" Then Res = " &amp; Tabelle7[[#This Row],[EnuValue]]</f>
        <v xml:space="preserve">  If wert = ".USERDEFINED." Then Res = hvacPT_USERDEFINED</v>
      </c>
    </row>
    <row r="853" spans="2:9" x14ac:dyDescent="0.25">
      <c r="B853" s="44">
        <v>7</v>
      </c>
      <c r="C853" s="45" t="s">
        <v>1612</v>
      </c>
      <c r="D853" s="44" t="s">
        <v>3683</v>
      </c>
      <c r="E853" s="44" t="str">
        <f>VLOOKUP(Tabelle7[[#This Row],[EnumName]],Enum[[IFC-Name]:[Präfix]],5,FALSE)&amp;Tabelle7[[#This Row],[EnuRohValue]]</f>
        <v>hvacPT_NOTDEFINED</v>
      </c>
      <c r="F853" s="44">
        <f>COUNTIF(Tabelle7[EnuValue],Tabelle7[[#This Row],[EnuValue]])</f>
        <v>1</v>
      </c>
      <c r="G853" s="44" t="str">
        <f xml:space="preserve"> "  " &amp; Tabelle7[[#This Row],[EnuValue]] &amp; " = " &amp; Tabelle7[[#This Row],[Wert]]</f>
        <v xml:space="preserve">  hvacPT_NOTDEFINED = 7</v>
      </c>
      <c r="H853" s="44" t="str">
        <f>"  If Wert = " &amp; Tabelle7[[#This Row],[EnuValue]] &amp; " then Res = ""." &amp; Tabelle7[[#This Row],[EnuRohValue]] &amp; "."""</f>
        <v xml:space="preserve">  If Wert = hvacPT_NOTDEFINED then Res = ".NOTDEFINED."</v>
      </c>
      <c r="I853" s="44" t="str">
        <f>"  If wert = ""." &amp; Tabelle7[[#This Row],[EnuRohValue]] &amp; "."" Then Res = " &amp; Tabelle7[[#This Row],[EnuValue]]</f>
        <v xml:space="preserve">  If wert = ".NOTDEFINED." Then Res = hvacPT_NOTDEFINED</v>
      </c>
    </row>
    <row r="854" spans="2:9" x14ac:dyDescent="0.25">
      <c r="B854" s="44">
        <v>1</v>
      </c>
      <c r="C854" s="45" t="s">
        <v>1613</v>
      </c>
      <c r="D854" s="44" t="s">
        <v>4343</v>
      </c>
      <c r="E854" s="44" t="str">
        <f>VLOOKUP(Tabelle7[[#This Row],[EnumName]],Enum[[IFC-Name]:[Präfix]],5,FALSE)&amp;Tabelle7[[#This Row],[EnuRohValue]]</f>
        <v>sbeRT_HANDRAIL</v>
      </c>
      <c r="F854" s="44">
        <f>COUNTIF(Tabelle7[EnuValue],Tabelle7[[#This Row],[EnuValue]])</f>
        <v>1</v>
      </c>
      <c r="G854" s="44" t="str">
        <f xml:space="preserve"> "  " &amp; Tabelle7[[#This Row],[EnuValue]] &amp; " = " &amp; Tabelle7[[#This Row],[Wert]]</f>
        <v xml:space="preserve">  sbeRT_HANDRAIL = 1</v>
      </c>
      <c r="H854" s="44" t="str">
        <f>"  If Wert = " &amp; Tabelle7[[#This Row],[EnuValue]] &amp; " then Res = ""." &amp; Tabelle7[[#This Row],[EnuRohValue]] &amp; "."""</f>
        <v xml:space="preserve">  If Wert = sbeRT_HANDRAIL then Res = ".HANDRAIL."</v>
      </c>
      <c r="I854" s="44" t="str">
        <f>"  If wert = ""." &amp; Tabelle7[[#This Row],[EnuRohValue]] &amp; "."" Then Res = " &amp; Tabelle7[[#This Row],[EnuValue]]</f>
        <v xml:space="preserve">  If wert = ".HANDRAIL." Then Res = sbeRT_HANDRAIL</v>
      </c>
    </row>
    <row r="855" spans="2:9" x14ac:dyDescent="0.25">
      <c r="B855" s="44">
        <v>2</v>
      </c>
      <c r="C855" s="45" t="s">
        <v>1613</v>
      </c>
      <c r="D855" s="44" t="s">
        <v>4344</v>
      </c>
      <c r="E855" s="44" t="str">
        <f>VLOOKUP(Tabelle7[[#This Row],[EnumName]],Enum[[IFC-Name]:[Präfix]],5,FALSE)&amp;Tabelle7[[#This Row],[EnuRohValue]]</f>
        <v>sbeRT_GUARDRAIL</v>
      </c>
      <c r="F855" s="44">
        <f>COUNTIF(Tabelle7[EnuValue],Tabelle7[[#This Row],[EnuValue]])</f>
        <v>1</v>
      </c>
      <c r="G855" s="44" t="str">
        <f xml:space="preserve"> "  " &amp; Tabelle7[[#This Row],[EnuValue]] &amp; " = " &amp; Tabelle7[[#This Row],[Wert]]</f>
        <v xml:space="preserve">  sbeRT_GUARDRAIL = 2</v>
      </c>
      <c r="H855" s="44" t="str">
        <f>"  If Wert = " &amp; Tabelle7[[#This Row],[EnuValue]] &amp; " then Res = ""." &amp; Tabelle7[[#This Row],[EnuRohValue]] &amp; "."""</f>
        <v xml:space="preserve">  If Wert = sbeRT_GUARDRAIL then Res = ".GUARDRAIL."</v>
      </c>
      <c r="I855" s="44" t="str">
        <f>"  If wert = ""." &amp; Tabelle7[[#This Row],[EnuRohValue]] &amp; "."" Then Res = " &amp; Tabelle7[[#This Row],[EnuValue]]</f>
        <v xml:space="preserve">  If wert = ".GUARDRAIL." Then Res = sbeRT_GUARDRAIL</v>
      </c>
    </row>
    <row r="856" spans="2:9" x14ac:dyDescent="0.25">
      <c r="B856" s="44">
        <v>3</v>
      </c>
      <c r="C856" s="45" t="s">
        <v>1613</v>
      </c>
      <c r="D856" s="44" t="s">
        <v>4345</v>
      </c>
      <c r="E856" s="44" t="str">
        <f>VLOOKUP(Tabelle7[[#This Row],[EnumName]],Enum[[IFC-Name]:[Präfix]],5,FALSE)&amp;Tabelle7[[#This Row],[EnuRohValue]]</f>
        <v>sbeRT_BALUSTRADE</v>
      </c>
      <c r="F856" s="44">
        <f>COUNTIF(Tabelle7[EnuValue],Tabelle7[[#This Row],[EnuValue]])</f>
        <v>1</v>
      </c>
      <c r="G856" s="44" t="str">
        <f xml:space="preserve"> "  " &amp; Tabelle7[[#This Row],[EnuValue]] &amp; " = " &amp; Tabelle7[[#This Row],[Wert]]</f>
        <v xml:space="preserve">  sbeRT_BALUSTRADE = 3</v>
      </c>
      <c r="H856" s="44" t="str">
        <f>"  If Wert = " &amp; Tabelle7[[#This Row],[EnuValue]] &amp; " then Res = ""." &amp; Tabelle7[[#This Row],[EnuRohValue]] &amp; "."""</f>
        <v xml:space="preserve">  If Wert = sbeRT_BALUSTRADE then Res = ".BALUSTRADE."</v>
      </c>
      <c r="I856" s="44" t="str">
        <f>"  If wert = ""." &amp; Tabelle7[[#This Row],[EnuRohValue]] &amp; "."" Then Res = " &amp; Tabelle7[[#This Row],[EnuValue]]</f>
        <v xml:space="preserve">  If wert = ".BALUSTRADE." Then Res = sbeRT_BALUSTRADE</v>
      </c>
    </row>
    <row r="857" spans="2:9" x14ac:dyDescent="0.25">
      <c r="B857" s="44">
        <v>4</v>
      </c>
      <c r="C857" s="45" t="s">
        <v>1613</v>
      </c>
      <c r="D857" s="44" t="s">
        <v>3682</v>
      </c>
      <c r="E857" s="44" t="str">
        <f>VLOOKUP(Tabelle7[[#This Row],[EnumName]],Enum[[IFC-Name]:[Präfix]],5,FALSE)&amp;Tabelle7[[#This Row],[EnuRohValue]]</f>
        <v>sbeRT_USERDEFINED</v>
      </c>
      <c r="F857" s="44">
        <f>COUNTIF(Tabelle7[EnuValue],Tabelle7[[#This Row],[EnuValue]])</f>
        <v>2</v>
      </c>
      <c r="G857" s="44" t="str">
        <f xml:space="preserve"> "  " &amp; Tabelle7[[#This Row],[EnuValue]] &amp; " = " &amp; Tabelle7[[#This Row],[Wert]]</f>
        <v xml:space="preserve">  sbeRT_USERDEFINED = 4</v>
      </c>
      <c r="H857" s="44" t="str">
        <f>"  If Wert = " &amp; Tabelle7[[#This Row],[EnuValue]] &amp; " then Res = ""." &amp; Tabelle7[[#This Row],[EnuRohValue]] &amp; "."""</f>
        <v xml:space="preserve">  If Wert = sbeRT_USERDEFINED then Res = ".USERDEFINED."</v>
      </c>
      <c r="I857" s="44" t="str">
        <f>"  If wert = ""." &amp; Tabelle7[[#This Row],[EnuRohValue]] &amp; "."" Then Res = " &amp; Tabelle7[[#This Row],[EnuValue]]</f>
        <v xml:space="preserve">  If wert = ".USERDEFINED." Then Res = sbeRT_USERDEFINED</v>
      </c>
    </row>
    <row r="858" spans="2:9" x14ac:dyDescent="0.25">
      <c r="B858" s="44">
        <v>5</v>
      </c>
      <c r="C858" s="45" t="s">
        <v>1613</v>
      </c>
      <c r="D858" s="44" t="s">
        <v>3683</v>
      </c>
      <c r="E858" s="44" t="str">
        <f>VLOOKUP(Tabelle7[[#This Row],[EnumName]],Enum[[IFC-Name]:[Präfix]],5,FALSE)&amp;Tabelle7[[#This Row],[EnuRohValue]]</f>
        <v>sbeRT_NOTDEFINED</v>
      </c>
      <c r="F858" s="44">
        <f>COUNTIF(Tabelle7[EnuValue],Tabelle7[[#This Row],[EnuValue]])</f>
        <v>3</v>
      </c>
      <c r="G858" s="44" t="str">
        <f xml:space="preserve"> "  " &amp; Tabelle7[[#This Row],[EnuValue]] &amp; " = " &amp; Tabelle7[[#This Row],[Wert]]</f>
        <v xml:space="preserve">  sbeRT_NOTDEFINED = 5</v>
      </c>
      <c r="H858" s="44" t="str">
        <f>"  If Wert = " &amp; Tabelle7[[#This Row],[EnuValue]] &amp; " then Res = ""." &amp; Tabelle7[[#This Row],[EnuRohValue]] &amp; "."""</f>
        <v xml:space="preserve">  If Wert = sbeRT_NOTDEFINED then Res = ".NOTDEFINED."</v>
      </c>
      <c r="I858" s="44" t="str">
        <f>"  If wert = ""." &amp; Tabelle7[[#This Row],[EnuRohValue]] &amp; "."" Then Res = " &amp; Tabelle7[[#This Row],[EnuValue]]</f>
        <v xml:space="preserve">  If wert = ".NOTDEFINED." Then Res = sbeRT_NOTDEFINED</v>
      </c>
    </row>
    <row r="859" spans="2:9" x14ac:dyDescent="0.25">
      <c r="B859" s="44">
        <v>1</v>
      </c>
      <c r="C859" s="45" t="s">
        <v>1614</v>
      </c>
      <c r="D859" s="44" t="s">
        <v>4346</v>
      </c>
      <c r="E859" s="44" t="str">
        <f>VLOOKUP(Tabelle7[[#This Row],[EnumName]],Enum[[IFC-Name]:[Präfix]],5,FALSE)&amp;Tabelle7[[#This Row],[EnuRohValue]]</f>
        <v>sbeRFT_STRAIGHT</v>
      </c>
      <c r="F859" s="44">
        <f>COUNTIF(Tabelle7[EnuValue],Tabelle7[[#This Row],[EnuValue]])</f>
        <v>1</v>
      </c>
      <c r="G859" s="44" t="str">
        <f xml:space="preserve"> "  " &amp; Tabelle7[[#This Row],[EnuValue]] &amp; " = " &amp; Tabelle7[[#This Row],[Wert]]</f>
        <v xml:space="preserve">  sbeRFT_STRAIGHT = 1</v>
      </c>
      <c r="H859" s="44" t="str">
        <f>"  If Wert = " &amp; Tabelle7[[#This Row],[EnuValue]] &amp; " then Res = ""." &amp; Tabelle7[[#This Row],[EnuRohValue]] &amp; "."""</f>
        <v xml:space="preserve">  If Wert = sbeRFT_STRAIGHT then Res = ".STRAIGHT."</v>
      </c>
      <c r="I859" s="44" t="str">
        <f>"  If wert = ""." &amp; Tabelle7[[#This Row],[EnuRohValue]] &amp; "."" Then Res = " &amp; Tabelle7[[#This Row],[EnuValue]]</f>
        <v xml:space="preserve">  If wert = ".STRAIGHT." Then Res = sbeRFT_STRAIGHT</v>
      </c>
    </row>
    <row r="860" spans="2:9" x14ac:dyDescent="0.25">
      <c r="B860" s="44">
        <v>2</v>
      </c>
      <c r="C860" s="45" t="s">
        <v>1614</v>
      </c>
      <c r="D860" s="44" t="s">
        <v>4347</v>
      </c>
      <c r="E860" s="44" t="str">
        <f>VLOOKUP(Tabelle7[[#This Row],[EnumName]],Enum[[IFC-Name]:[Präfix]],5,FALSE)&amp;Tabelle7[[#This Row],[EnuRohValue]]</f>
        <v>sbeRFT_SPIRAL</v>
      </c>
      <c r="F860" s="44">
        <f>COUNTIF(Tabelle7[EnuValue],Tabelle7[[#This Row],[EnuValue]])</f>
        <v>1</v>
      </c>
      <c r="G860" s="44" t="str">
        <f xml:space="preserve"> "  " &amp; Tabelle7[[#This Row],[EnuValue]] &amp; " = " &amp; Tabelle7[[#This Row],[Wert]]</f>
        <v xml:space="preserve">  sbeRFT_SPIRAL = 2</v>
      </c>
      <c r="H860" s="44" t="str">
        <f>"  If Wert = " &amp; Tabelle7[[#This Row],[EnuValue]] &amp; " then Res = ""." &amp; Tabelle7[[#This Row],[EnuRohValue]] &amp; "."""</f>
        <v xml:space="preserve">  If Wert = sbeRFT_SPIRAL then Res = ".SPIRAL."</v>
      </c>
      <c r="I860" s="44" t="str">
        <f>"  If wert = ""." &amp; Tabelle7[[#This Row],[EnuRohValue]] &amp; "."" Then Res = " &amp; Tabelle7[[#This Row],[EnuValue]]</f>
        <v xml:space="preserve">  If wert = ".SPIRAL." Then Res = sbeRFT_SPIRAL</v>
      </c>
    </row>
    <row r="861" spans="2:9" x14ac:dyDescent="0.25">
      <c r="B861" s="44">
        <v>3</v>
      </c>
      <c r="C861" s="45" t="s">
        <v>1614</v>
      </c>
      <c r="D861" s="44" t="s">
        <v>3682</v>
      </c>
      <c r="E861" s="44" t="str">
        <f>VLOOKUP(Tabelle7[[#This Row],[EnumName]],Enum[[IFC-Name]:[Präfix]],5,FALSE)&amp;Tabelle7[[#This Row],[EnuRohValue]]</f>
        <v>sbeRFT_USERDEFINED</v>
      </c>
      <c r="F861" s="44">
        <f>COUNTIF(Tabelle7[EnuValue],Tabelle7[[#This Row],[EnuValue]])</f>
        <v>1</v>
      </c>
      <c r="G861" s="44" t="str">
        <f xml:space="preserve"> "  " &amp; Tabelle7[[#This Row],[EnuValue]] &amp; " = " &amp; Tabelle7[[#This Row],[Wert]]</f>
        <v xml:space="preserve">  sbeRFT_USERDEFINED = 3</v>
      </c>
      <c r="H861" s="44" t="str">
        <f>"  If Wert = " &amp; Tabelle7[[#This Row],[EnuValue]] &amp; " then Res = ""." &amp; Tabelle7[[#This Row],[EnuRohValue]] &amp; "."""</f>
        <v xml:space="preserve">  If Wert = sbeRFT_USERDEFINED then Res = ".USERDEFINED."</v>
      </c>
      <c r="I861" s="44" t="str">
        <f>"  If wert = ""." &amp; Tabelle7[[#This Row],[EnuRohValue]] &amp; "."" Then Res = " &amp; Tabelle7[[#This Row],[EnuValue]]</f>
        <v xml:space="preserve">  If wert = ".USERDEFINED." Then Res = sbeRFT_USERDEFINED</v>
      </c>
    </row>
    <row r="862" spans="2:9" x14ac:dyDescent="0.25">
      <c r="B862" s="44">
        <v>4</v>
      </c>
      <c r="C862" s="45" t="s">
        <v>1614</v>
      </c>
      <c r="D862" s="44" t="s">
        <v>3683</v>
      </c>
      <c r="E862" s="44" t="str">
        <f>VLOOKUP(Tabelle7[[#This Row],[EnumName]],Enum[[IFC-Name]:[Präfix]],5,FALSE)&amp;Tabelle7[[#This Row],[EnuRohValue]]</f>
        <v>sbeRFT_NOTDEFINED</v>
      </c>
      <c r="F862" s="44">
        <f>COUNTIF(Tabelle7[EnuValue],Tabelle7[[#This Row],[EnuValue]])</f>
        <v>1</v>
      </c>
      <c r="G862" s="44" t="str">
        <f xml:space="preserve"> "  " &amp; Tabelle7[[#This Row],[EnuValue]] &amp; " = " &amp; Tabelle7[[#This Row],[Wert]]</f>
        <v xml:space="preserve">  sbeRFT_NOTDEFINED = 4</v>
      </c>
      <c r="H862" s="44" t="str">
        <f>"  If Wert = " &amp; Tabelle7[[#This Row],[EnuValue]] &amp; " then Res = ""." &amp; Tabelle7[[#This Row],[EnuRohValue]] &amp; "."""</f>
        <v xml:space="preserve">  If Wert = sbeRFT_NOTDEFINED then Res = ".NOTDEFINED."</v>
      </c>
      <c r="I862" s="44" t="str">
        <f>"  If wert = ""." &amp; Tabelle7[[#This Row],[EnuRohValue]] &amp; "."" Then Res = " &amp; Tabelle7[[#This Row],[EnuValue]]</f>
        <v xml:space="preserve">  If wert = ".NOTDEFINED." Then Res = sbeRFT_NOTDEFINED</v>
      </c>
    </row>
    <row r="863" spans="2:9" x14ac:dyDescent="0.25">
      <c r="B863" s="44">
        <v>1</v>
      </c>
      <c r="C863" s="45" t="s">
        <v>1615</v>
      </c>
      <c r="D863" s="44" t="s">
        <v>4348</v>
      </c>
      <c r="E863" s="44" t="str">
        <f>VLOOKUP(Tabelle7[[#This Row],[EnumName]],Enum[[IFC-Name]:[Präfix]],5,FALSE)&amp;Tabelle7[[#This Row],[EnuRohValue]]</f>
        <v>sbeRT_STRAIGHT_RUN_RAMP</v>
      </c>
      <c r="F863" s="44">
        <f>COUNTIF(Tabelle7[EnuValue],Tabelle7[[#This Row],[EnuValue]])</f>
        <v>1</v>
      </c>
      <c r="G863" s="44" t="str">
        <f xml:space="preserve"> "  " &amp; Tabelle7[[#This Row],[EnuValue]] &amp; " = " &amp; Tabelle7[[#This Row],[Wert]]</f>
        <v xml:space="preserve">  sbeRT_STRAIGHT_RUN_RAMP = 1</v>
      </c>
      <c r="H863" s="44" t="str">
        <f>"  If Wert = " &amp; Tabelle7[[#This Row],[EnuValue]] &amp; " then Res = ""." &amp; Tabelle7[[#This Row],[EnuRohValue]] &amp; "."""</f>
        <v xml:space="preserve">  If Wert = sbeRT_STRAIGHT_RUN_RAMP then Res = ".STRAIGHT_RUN_RAMP."</v>
      </c>
      <c r="I863" s="44" t="str">
        <f>"  If wert = ""." &amp; Tabelle7[[#This Row],[EnuRohValue]] &amp; "."" Then Res = " &amp; Tabelle7[[#This Row],[EnuValue]]</f>
        <v xml:space="preserve">  If wert = ".STRAIGHT_RUN_RAMP." Then Res = sbeRT_STRAIGHT_RUN_RAMP</v>
      </c>
    </row>
    <row r="864" spans="2:9" x14ac:dyDescent="0.25">
      <c r="B864" s="44">
        <v>2</v>
      </c>
      <c r="C864" s="45" t="s">
        <v>1615</v>
      </c>
      <c r="D864" s="44" t="s">
        <v>4349</v>
      </c>
      <c r="E864" s="44" t="str">
        <f>VLOOKUP(Tabelle7[[#This Row],[EnumName]],Enum[[IFC-Name]:[Präfix]],5,FALSE)&amp;Tabelle7[[#This Row],[EnuRohValue]]</f>
        <v>sbeRT_TWO_STRAIGHT_RUN_RAMP</v>
      </c>
      <c r="F864" s="44">
        <f>COUNTIF(Tabelle7[EnuValue],Tabelle7[[#This Row],[EnuValue]])</f>
        <v>1</v>
      </c>
      <c r="G864" s="44" t="str">
        <f xml:space="preserve"> "  " &amp; Tabelle7[[#This Row],[EnuValue]] &amp; " = " &amp; Tabelle7[[#This Row],[Wert]]</f>
        <v xml:space="preserve">  sbeRT_TWO_STRAIGHT_RUN_RAMP = 2</v>
      </c>
      <c r="H864" s="44" t="str">
        <f>"  If Wert = " &amp; Tabelle7[[#This Row],[EnuValue]] &amp; " then Res = ""." &amp; Tabelle7[[#This Row],[EnuRohValue]] &amp; "."""</f>
        <v xml:space="preserve">  If Wert = sbeRT_TWO_STRAIGHT_RUN_RAMP then Res = ".TWO_STRAIGHT_RUN_RAMP."</v>
      </c>
      <c r="I864" s="44" t="str">
        <f>"  If wert = ""." &amp; Tabelle7[[#This Row],[EnuRohValue]] &amp; "."" Then Res = " &amp; Tabelle7[[#This Row],[EnuValue]]</f>
        <v xml:space="preserve">  If wert = ".TWO_STRAIGHT_RUN_RAMP." Then Res = sbeRT_TWO_STRAIGHT_RUN_RAMP</v>
      </c>
    </row>
    <row r="865" spans="2:9" x14ac:dyDescent="0.25">
      <c r="B865" s="44">
        <v>3</v>
      </c>
      <c r="C865" s="45" t="s">
        <v>1615</v>
      </c>
      <c r="D865" s="44" t="s">
        <v>4350</v>
      </c>
      <c r="E865" s="44" t="str">
        <f>VLOOKUP(Tabelle7[[#This Row],[EnumName]],Enum[[IFC-Name]:[Präfix]],5,FALSE)&amp;Tabelle7[[#This Row],[EnuRohValue]]</f>
        <v>sbeRT_QUARTER_TURN_RAMP</v>
      </c>
      <c r="F865" s="44">
        <f>COUNTIF(Tabelle7[EnuValue],Tabelle7[[#This Row],[EnuValue]])</f>
        <v>1</v>
      </c>
      <c r="G865" s="44" t="str">
        <f xml:space="preserve"> "  " &amp; Tabelle7[[#This Row],[EnuValue]] &amp; " = " &amp; Tabelle7[[#This Row],[Wert]]</f>
        <v xml:space="preserve">  sbeRT_QUARTER_TURN_RAMP = 3</v>
      </c>
      <c r="H865" s="44" t="str">
        <f>"  If Wert = " &amp; Tabelle7[[#This Row],[EnuValue]] &amp; " then Res = ""." &amp; Tabelle7[[#This Row],[EnuRohValue]] &amp; "."""</f>
        <v xml:space="preserve">  If Wert = sbeRT_QUARTER_TURN_RAMP then Res = ".QUARTER_TURN_RAMP."</v>
      </c>
      <c r="I865" s="44" t="str">
        <f>"  If wert = ""." &amp; Tabelle7[[#This Row],[EnuRohValue]] &amp; "."" Then Res = " &amp; Tabelle7[[#This Row],[EnuValue]]</f>
        <v xml:space="preserve">  If wert = ".QUARTER_TURN_RAMP." Then Res = sbeRT_QUARTER_TURN_RAMP</v>
      </c>
    </row>
    <row r="866" spans="2:9" x14ac:dyDescent="0.25">
      <c r="B866" s="44">
        <v>4</v>
      </c>
      <c r="C866" s="45" t="s">
        <v>1615</v>
      </c>
      <c r="D866" s="44" t="s">
        <v>4351</v>
      </c>
      <c r="E866" s="44" t="str">
        <f>VLOOKUP(Tabelle7[[#This Row],[EnumName]],Enum[[IFC-Name]:[Präfix]],5,FALSE)&amp;Tabelle7[[#This Row],[EnuRohValue]]</f>
        <v>sbeRT_TWO_QUARTER_TURN_RAMP</v>
      </c>
      <c r="F866" s="44">
        <f>COUNTIF(Tabelle7[EnuValue],Tabelle7[[#This Row],[EnuValue]])</f>
        <v>1</v>
      </c>
      <c r="G866" s="44" t="str">
        <f xml:space="preserve"> "  " &amp; Tabelle7[[#This Row],[EnuValue]] &amp; " = " &amp; Tabelle7[[#This Row],[Wert]]</f>
        <v xml:space="preserve">  sbeRT_TWO_QUARTER_TURN_RAMP = 4</v>
      </c>
      <c r="H866" s="44" t="str">
        <f>"  If Wert = " &amp; Tabelle7[[#This Row],[EnuValue]] &amp; " then Res = ""." &amp; Tabelle7[[#This Row],[EnuRohValue]] &amp; "."""</f>
        <v xml:space="preserve">  If Wert = sbeRT_TWO_QUARTER_TURN_RAMP then Res = ".TWO_QUARTER_TURN_RAMP."</v>
      </c>
      <c r="I866" s="44" t="str">
        <f>"  If wert = ""." &amp; Tabelle7[[#This Row],[EnuRohValue]] &amp; "."" Then Res = " &amp; Tabelle7[[#This Row],[EnuValue]]</f>
        <v xml:space="preserve">  If wert = ".TWO_QUARTER_TURN_RAMP." Then Res = sbeRT_TWO_QUARTER_TURN_RAMP</v>
      </c>
    </row>
    <row r="867" spans="2:9" x14ac:dyDescent="0.25">
      <c r="B867" s="44">
        <v>5</v>
      </c>
      <c r="C867" s="45" t="s">
        <v>1615</v>
      </c>
      <c r="D867" s="44" t="s">
        <v>4352</v>
      </c>
      <c r="E867" s="44" t="str">
        <f>VLOOKUP(Tabelle7[[#This Row],[EnumName]],Enum[[IFC-Name]:[Präfix]],5,FALSE)&amp;Tabelle7[[#This Row],[EnuRohValue]]</f>
        <v>sbeRT_HALF_TURN_RAMP</v>
      </c>
      <c r="F867" s="44">
        <f>COUNTIF(Tabelle7[EnuValue],Tabelle7[[#This Row],[EnuValue]])</f>
        <v>1</v>
      </c>
      <c r="G867" s="44" t="str">
        <f xml:space="preserve"> "  " &amp; Tabelle7[[#This Row],[EnuValue]] &amp; " = " &amp; Tabelle7[[#This Row],[Wert]]</f>
        <v xml:space="preserve">  sbeRT_HALF_TURN_RAMP = 5</v>
      </c>
      <c r="H867" s="44" t="str">
        <f>"  If Wert = " &amp; Tabelle7[[#This Row],[EnuValue]] &amp; " then Res = ""." &amp; Tabelle7[[#This Row],[EnuRohValue]] &amp; "."""</f>
        <v xml:space="preserve">  If Wert = sbeRT_HALF_TURN_RAMP then Res = ".HALF_TURN_RAMP."</v>
      </c>
      <c r="I867" s="44" t="str">
        <f>"  If wert = ""." &amp; Tabelle7[[#This Row],[EnuRohValue]] &amp; "."" Then Res = " &amp; Tabelle7[[#This Row],[EnuValue]]</f>
        <v xml:space="preserve">  If wert = ".HALF_TURN_RAMP." Then Res = sbeRT_HALF_TURN_RAMP</v>
      </c>
    </row>
    <row r="868" spans="2:9" x14ac:dyDescent="0.25">
      <c r="B868" s="44">
        <v>6</v>
      </c>
      <c r="C868" s="45" t="s">
        <v>1615</v>
      </c>
      <c r="D868" s="44" t="s">
        <v>4353</v>
      </c>
      <c r="E868" s="44" t="str">
        <f>VLOOKUP(Tabelle7[[#This Row],[EnumName]],Enum[[IFC-Name]:[Präfix]],5,FALSE)&amp;Tabelle7[[#This Row],[EnuRohValue]]</f>
        <v>sbeRT_SPIRAL_RAMP</v>
      </c>
      <c r="F868" s="44">
        <f>COUNTIF(Tabelle7[EnuValue],Tabelle7[[#This Row],[EnuValue]])</f>
        <v>1</v>
      </c>
      <c r="G868" s="44" t="str">
        <f xml:space="preserve"> "  " &amp; Tabelle7[[#This Row],[EnuValue]] &amp; " = " &amp; Tabelle7[[#This Row],[Wert]]</f>
        <v xml:space="preserve">  sbeRT_SPIRAL_RAMP = 6</v>
      </c>
      <c r="H868" s="44" t="str">
        <f>"  If Wert = " &amp; Tabelle7[[#This Row],[EnuValue]] &amp; " then Res = ""." &amp; Tabelle7[[#This Row],[EnuRohValue]] &amp; "."""</f>
        <v xml:space="preserve">  If Wert = sbeRT_SPIRAL_RAMP then Res = ".SPIRAL_RAMP."</v>
      </c>
      <c r="I868" s="44" t="str">
        <f>"  If wert = ""." &amp; Tabelle7[[#This Row],[EnuRohValue]] &amp; "."" Then Res = " &amp; Tabelle7[[#This Row],[EnuValue]]</f>
        <v xml:space="preserve">  If wert = ".SPIRAL_RAMP." Then Res = sbeRT_SPIRAL_RAMP</v>
      </c>
    </row>
    <row r="869" spans="2:9" x14ac:dyDescent="0.25">
      <c r="B869" s="44">
        <v>7</v>
      </c>
      <c r="C869" s="45" t="s">
        <v>1615</v>
      </c>
      <c r="D869" s="44" t="s">
        <v>3682</v>
      </c>
      <c r="E869" s="44" t="str">
        <f>VLOOKUP(Tabelle7[[#This Row],[EnumName]],Enum[[IFC-Name]:[Präfix]],5,FALSE)&amp;Tabelle7[[#This Row],[EnuRohValue]]</f>
        <v>sbeRT_USERDEFINED</v>
      </c>
      <c r="F869" s="44">
        <f>COUNTIF(Tabelle7[EnuValue],Tabelle7[[#This Row],[EnuValue]])</f>
        <v>2</v>
      </c>
      <c r="G869" s="44" t="str">
        <f xml:space="preserve"> "  " &amp; Tabelle7[[#This Row],[EnuValue]] &amp; " = " &amp; Tabelle7[[#This Row],[Wert]]</f>
        <v xml:space="preserve">  sbeRT_USERDEFINED = 7</v>
      </c>
      <c r="H869" s="44" t="str">
        <f>"  If Wert = " &amp; Tabelle7[[#This Row],[EnuValue]] &amp; " then Res = ""." &amp; Tabelle7[[#This Row],[EnuRohValue]] &amp; "."""</f>
        <v xml:space="preserve">  If Wert = sbeRT_USERDEFINED then Res = ".USERDEFINED."</v>
      </c>
      <c r="I869" s="44" t="str">
        <f>"  If wert = ""." &amp; Tabelle7[[#This Row],[EnuRohValue]] &amp; "."" Then Res = " &amp; Tabelle7[[#This Row],[EnuValue]]</f>
        <v xml:space="preserve">  If wert = ".USERDEFINED." Then Res = sbeRT_USERDEFINED</v>
      </c>
    </row>
    <row r="870" spans="2:9" x14ac:dyDescent="0.25">
      <c r="B870" s="44">
        <v>8</v>
      </c>
      <c r="C870" s="45" t="s">
        <v>1615</v>
      </c>
      <c r="D870" s="44" t="s">
        <v>3683</v>
      </c>
      <c r="E870" s="44" t="str">
        <f>VLOOKUP(Tabelle7[[#This Row],[EnumName]],Enum[[IFC-Name]:[Präfix]],5,FALSE)&amp;Tabelle7[[#This Row],[EnuRohValue]]</f>
        <v>sbeRT_NOTDEFINED</v>
      </c>
      <c r="F870" s="44">
        <f>COUNTIF(Tabelle7[EnuValue],Tabelle7[[#This Row],[EnuValue]])</f>
        <v>3</v>
      </c>
      <c r="G870" s="44" t="str">
        <f xml:space="preserve"> "  " &amp; Tabelle7[[#This Row],[EnuValue]] &amp; " = " &amp; Tabelle7[[#This Row],[Wert]]</f>
        <v xml:space="preserve">  sbeRT_NOTDEFINED = 8</v>
      </c>
      <c r="H870" s="44" t="str">
        <f>"  If Wert = " &amp; Tabelle7[[#This Row],[EnuValue]] &amp; " then Res = ""." &amp; Tabelle7[[#This Row],[EnuRohValue]] &amp; "."""</f>
        <v xml:space="preserve">  If Wert = sbeRT_NOTDEFINED then Res = ".NOTDEFINED."</v>
      </c>
      <c r="I870" s="44" t="str">
        <f>"  If wert = ""." &amp; Tabelle7[[#This Row],[EnuRohValue]] &amp; "."" Then Res = " &amp; Tabelle7[[#This Row],[EnuValue]]</f>
        <v xml:space="preserve">  If wert = ".NOTDEFINED." Then Res = sbeRT_NOTDEFINED</v>
      </c>
    </row>
    <row r="871" spans="2:9" x14ac:dyDescent="0.25">
      <c r="B871" s="44">
        <v>1</v>
      </c>
      <c r="C871" s="45" t="s">
        <v>1616</v>
      </c>
      <c r="D871" s="44" t="s">
        <v>4354</v>
      </c>
      <c r="E871" s="44" t="str">
        <f>VLOOKUP(Tabelle7[[#This Row],[EnumName]],Enum[[IFC-Name]:[Präfix]],5,FALSE)&amp;Tabelle7[[#This Row],[EnuRohValue]]</f>
        <v>repRM_BLINN</v>
      </c>
      <c r="F871" s="44">
        <f>COUNTIF(Tabelle7[EnuValue],Tabelle7[[#This Row],[EnuValue]])</f>
        <v>1</v>
      </c>
      <c r="G871" s="44" t="str">
        <f xml:space="preserve"> "  " &amp; Tabelle7[[#This Row],[EnuValue]] &amp; " = " &amp; Tabelle7[[#This Row],[Wert]]</f>
        <v xml:space="preserve">  repRM_BLINN = 1</v>
      </c>
      <c r="H871" s="44" t="str">
        <f>"  If Wert = " &amp; Tabelle7[[#This Row],[EnuValue]] &amp; " then Res = ""." &amp; Tabelle7[[#This Row],[EnuRohValue]] &amp; "."""</f>
        <v xml:space="preserve">  If Wert = repRM_BLINN then Res = ".BLINN."</v>
      </c>
      <c r="I871" s="44" t="str">
        <f>"  If wert = ""." &amp; Tabelle7[[#This Row],[EnuRohValue]] &amp; "."" Then Res = " &amp; Tabelle7[[#This Row],[EnuValue]]</f>
        <v xml:space="preserve">  If wert = ".BLINN." Then Res = repRM_BLINN</v>
      </c>
    </row>
    <row r="872" spans="2:9" x14ac:dyDescent="0.25">
      <c r="B872" s="44">
        <v>2</v>
      </c>
      <c r="C872" s="45" t="s">
        <v>1616</v>
      </c>
      <c r="D872" s="44" t="s">
        <v>4355</v>
      </c>
      <c r="E872" s="44" t="str">
        <f>VLOOKUP(Tabelle7[[#This Row],[EnumName]],Enum[[IFC-Name]:[Präfix]],5,FALSE)&amp;Tabelle7[[#This Row],[EnuRohValue]]</f>
        <v>repRM_FLAT</v>
      </c>
      <c r="F872" s="44">
        <f>COUNTIF(Tabelle7[EnuValue],Tabelle7[[#This Row],[EnuValue]])</f>
        <v>1</v>
      </c>
      <c r="G872" s="44" t="str">
        <f xml:space="preserve"> "  " &amp; Tabelle7[[#This Row],[EnuValue]] &amp; " = " &amp; Tabelle7[[#This Row],[Wert]]</f>
        <v xml:space="preserve">  repRM_FLAT = 2</v>
      </c>
      <c r="H872" s="44" t="str">
        <f>"  If Wert = " &amp; Tabelle7[[#This Row],[EnuValue]] &amp; " then Res = ""." &amp; Tabelle7[[#This Row],[EnuRohValue]] &amp; "."""</f>
        <v xml:space="preserve">  If Wert = repRM_FLAT then Res = ".FLAT."</v>
      </c>
      <c r="I872" s="44" t="str">
        <f>"  If wert = ""." &amp; Tabelle7[[#This Row],[EnuRohValue]] &amp; "."" Then Res = " &amp; Tabelle7[[#This Row],[EnuValue]]</f>
        <v xml:space="preserve">  If wert = ".FLAT." Then Res = repRM_FLAT</v>
      </c>
    </row>
    <row r="873" spans="2:9" x14ac:dyDescent="0.25">
      <c r="B873" s="44">
        <v>3</v>
      </c>
      <c r="C873" s="45" t="s">
        <v>1616</v>
      </c>
      <c r="D873" s="44" t="s">
        <v>4356</v>
      </c>
      <c r="E873" s="44" t="str">
        <f>VLOOKUP(Tabelle7[[#This Row],[EnumName]],Enum[[IFC-Name]:[Präfix]],5,FALSE)&amp;Tabelle7[[#This Row],[EnuRohValue]]</f>
        <v>repRM_GLASS</v>
      </c>
      <c r="F873" s="44">
        <f>COUNTIF(Tabelle7[EnuValue],Tabelle7[[#This Row],[EnuValue]])</f>
        <v>1</v>
      </c>
      <c r="G873" s="44" t="str">
        <f xml:space="preserve"> "  " &amp; Tabelle7[[#This Row],[EnuValue]] &amp; " = " &amp; Tabelle7[[#This Row],[Wert]]</f>
        <v xml:space="preserve">  repRM_GLASS = 3</v>
      </c>
      <c r="H873" s="44" t="str">
        <f>"  If Wert = " &amp; Tabelle7[[#This Row],[EnuValue]] &amp; " then Res = ""." &amp; Tabelle7[[#This Row],[EnuRohValue]] &amp; "."""</f>
        <v xml:space="preserve">  If Wert = repRM_GLASS then Res = ".GLASS."</v>
      </c>
      <c r="I873" s="44" t="str">
        <f>"  If wert = ""." &amp; Tabelle7[[#This Row],[EnuRohValue]] &amp; "."" Then Res = " &amp; Tabelle7[[#This Row],[EnuValue]]</f>
        <v xml:space="preserve">  If wert = ".GLASS." Then Res = repRM_GLASS</v>
      </c>
    </row>
    <row r="874" spans="2:9" x14ac:dyDescent="0.25">
      <c r="B874" s="44">
        <v>4</v>
      </c>
      <c r="C874" s="45" t="s">
        <v>1616</v>
      </c>
      <c r="D874" s="44" t="s">
        <v>4357</v>
      </c>
      <c r="E874" s="44" t="str">
        <f>VLOOKUP(Tabelle7[[#This Row],[EnumName]],Enum[[IFC-Name]:[Präfix]],5,FALSE)&amp;Tabelle7[[#This Row],[EnuRohValue]]</f>
        <v>repRM_MATT</v>
      </c>
      <c r="F874" s="44">
        <f>COUNTIF(Tabelle7[EnuValue],Tabelle7[[#This Row],[EnuValue]])</f>
        <v>1</v>
      </c>
      <c r="G874" s="44" t="str">
        <f xml:space="preserve"> "  " &amp; Tabelle7[[#This Row],[EnuValue]] &amp; " = " &amp; Tabelle7[[#This Row],[Wert]]</f>
        <v xml:space="preserve">  repRM_MATT = 4</v>
      </c>
      <c r="H874" s="44" t="str">
        <f>"  If Wert = " &amp; Tabelle7[[#This Row],[EnuValue]] &amp; " then Res = ""." &amp; Tabelle7[[#This Row],[EnuRohValue]] &amp; "."""</f>
        <v xml:space="preserve">  If Wert = repRM_MATT then Res = ".MATT."</v>
      </c>
      <c r="I874" s="44" t="str">
        <f>"  If wert = ""." &amp; Tabelle7[[#This Row],[EnuRohValue]] &amp; "."" Then Res = " &amp; Tabelle7[[#This Row],[EnuValue]]</f>
        <v xml:space="preserve">  If wert = ".MATT." Then Res = repRM_MATT</v>
      </c>
    </row>
    <row r="875" spans="2:9" x14ac:dyDescent="0.25">
      <c r="B875" s="44">
        <v>5</v>
      </c>
      <c r="C875" s="45" t="s">
        <v>1616</v>
      </c>
      <c r="D875" s="44" t="s">
        <v>4358</v>
      </c>
      <c r="E875" s="44" t="str">
        <f>VLOOKUP(Tabelle7[[#This Row],[EnumName]],Enum[[IFC-Name]:[Präfix]],5,FALSE)&amp;Tabelle7[[#This Row],[EnuRohValue]]</f>
        <v>repRM_METAL</v>
      </c>
      <c r="F875" s="44">
        <f>COUNTIF(Tabelle7[EnuValue],Tabelle7[[#This Row],[EnuValue]])</f>
        <v>1</v>
      </c>
      <c r="G875" s="44" t="str">
        <f xml:space="preserve"> "  " &amp; Tabelle7[[#This Row],[EnuValue]] &amp; " = " &amp; Tabelle7[[#This Row],[Wert]]</f>
        <v xml:space="preserve">  repRM_METAL = 5</v>
      </c>
      <c r="H875" s="44" t="str">
        <f>"  If Wert = " &amp; Tabelle7[[#This Row],[EnuValue]] &amp; " then Res = ""." &amp; Tabelle7[[#This Row],[EnuRohValue]] &amp; "."""</f>
        <v xml:space="preserve">  If Wert = repRM_METAL then Res = ".METAL."</v>
      </c>
      <c r="I875" s="44" t="str">
        <f>"  If wert = ""." &amp; Tabelle7[[#This Row],[EnuRohValue]] &amp; "."" Then Res = " &amp; Tabelle7[[#This Row],[EnuValue]]</f>
        <v xml:space="preserve">  If wert = ".METAL." Then Res = repRM_METAL</v>
      </c>
    </row>
    <row r="876" spans="2:9" x14ac:dyDescent="0.25">
      <c r="B876" s="44">
        <v>6</v>
      </c>
      <c r="C876" s="45" t="s">
        <v>1616</v>
      </c>
      <c r="D876" s="44" t="s">
        <v>4359</v>
      </c>
      <c r="E876" s="44" t="str">
        <f>VLOOKUP(Tabelle7[[#This Row],[EnumName]],Enum[[IFC-Name]:[Präfix]],5,FALSE)&amp;Tabelle7[[#This Row],[EnuRohValue]]</f>
        <v>repRM_MIRROR</v>
      </c>
      <c r="F876" s="44">
        <f>COUNTIF(Tabelle7[EnuValue],Tabelle7[[#This Row],[EnuValue]])</f>
        <v>1</v>
      </c>
      <c r="G876" s="44" t="str">
        <f xml:space="preserve"> "  " &amp; Tabelle7[[#This Row],[EnuValue]] &amp; " = " &amp; Tabelle7[[#This Row],[Wert]]</f>
        <v xml:space="preserve">  repRM_MIRROR = 6</v>
      </c>
      <c r="H876" s="44" t="str">
        <f>"  If Wert = " &amp; Tabelle7[[#This Row],[EnuValue]] &amp; " then Res = ""." &amp; Tabelle7[[#This Row],[EnuRohValue]] &amp; "."""</f>
        <v xml:space="preserve">  If Wert = repRM_MIRROR then Res = ".MIRROR."</v>
      </c>
      <c r="I876" s="44" t="str">
        <f>"  If wert = ""." &amp; Tabelle7[[#This Row],[EnuRohValue]] &amp; "."" Then Res = " &amp; Tabelle7[[#This Row],[EnuValue]]</f>
        <v xml:space="preserve">  If wert = ".MIRROR." Then Res = repRM_MIRROR</v>
      </c>
    </row>
    <row r="877" spans="2:9" x14ac:dyDescent="0.25">
      <c r="B877" s="44">
        <v>7</v>
      </c>
      <c r="C877" s="45" t="s">
        <v>1616</v>
      </c>
      <c r="D877" s="44" t="s">
        <v>4360</v>
      </c>
      <c r="E877" s="44" t="str">
        <f>VLOOKUP(Tabelle7[[#This Row],[EnumName]],Enum[[IFC-Name]:[Präfix]],5,FALSE)&amp;Tabelle7[[#This Row],[EnuRohValue]]</f>
        <v>repRM_PHONG</v>
      </c>
      <c r="F877" s="44">
        <f>COUNTIF(Tabelle7[EnuValue],Tabelle7[[#This Row],[EnuValue]])</f>
        <v>1</v>
      </c>
      <c r="G877" s="44" t="str">
        <f xml:space="preserve"> "  " &amp; Tabelle7[[#This Row],[EnuValue]] &amp; " = " &amp; Tabelle7[[#This Row],[Wert]]</f>
        <v xml:space="preserve">  repRM_PHONG = 7</v>
      </c>
      <c r="H877" s="44" t="str">
        <f>"  If Wert = " &amp; Tabelle7[[#This Row],[EnuValue]] &amp; " then Res = ""." &amp; Tabelle7[[#This Row],[EnuRohValue]] &amp; "."""</f>
        <v xml:space="preserve">  If Wert = repRM_PHONG then Res = ".PHONG."</v>
      </c>
      <c r="I877" s="44" t="str">
        <f>"  If wert = ""." &amp; Tabelle7[[#This Row],[EnuRohValue]] &amp; "."" Then Res = " &amp; Tabelle7[[#This Row],[EnuValue]]</f>
        <v xml:space="preserve">  If wert = ".PHONG." Then Res = repRM_PHONG</v>
      </c>
    </row>
    <row r="878" spans="2:9" x14ac:dyDescent="0.25">
      <c r="B878" s="44">
        <v>8</v>
      </c>
      <c r="C878" s="45" t="s">
        <v>1616</v>
      </c>
      <c r="D878" s="44" t="s">
        <v>4044</v>
      </c>
      <c r="E878" s="44" t="str">
        <f>VLOOKUP(Tabelle7[[#This Row],[EnumName]],Enum[[IFC-Name]:[Präfix]],5,FALSE)&amp;Tabelle7[[#This Row],[EnuRohValue]]</f>
        <v>repRM_PLASTIC</v>
      </c>
      <c r="F878" s="44">
        <f>COUNTIF(Tabelle7[EnuValue],Tabelle7[[#This Row],[EnuValue]])</f>
        <v>1</v>
      </c>
      <c r="G878" s="44" t="str">
        <f xml:space="preserve"> "  " &amp; Tabelle7[[#This Row],[EnuValue]] &amp; " = " &amp; Tabelle7[[#This Row],[Wert]]</f>
        <v xml:space="preserve">  repRM_PLASTIC = 8</v>
      </c>
      <c r="H878" s="44" t="str">
        <f>"  If Wert = " &amp; Tabelle7[[#This Row],[EnuValue]] &amp; " then Res = ""." &amp; Tabelle7[[#This Row],[EnuRohValue]] &amp; "."""</f>
        <v xml:space="preserve">  If Wert = repRM_PLASTIC then Res = ".PLASTIC."</v>
      </c>
      <c r="I878" s="44" t="str">
        <f>"  If wert = ""." &amp; Tabelle7[[#This Row],[EnuRohValue]] &amp; "."" Then Res = " &amp; Tabelle7[[#This Row],[EnuValue]]</f>
        <v xml:space="preserve">  If wert = ".PLASTIC." Then Res = repRM_PLASTIC</v>
      </c>
    </row>
    <row r="879" spans="2:9" x14ac:dyDescent="0.25">
      <c r="B879" s="44">
        <v>9</v>
      </c>
      <c r="C879" s="45" t="s">
        <v>1616</v>
      </c>
      <c r="D879" s="44" t="s">
        <v>4361</v>
      </c>
      <c r="E879" s="44" t="str">
        <f>VLOOKUP(Tabelle7[[#This Row],[EnumName]],Enum[[IFC-Name]:[Präfix]],5,FALSE)&amp;Tabelle7[[#This Row],[EnuRohValue]]</f>
        <v>repRM_STRAUSS</v>
      </c>
      <c r="F879" s="44">
        <f>COUNTIF(Tabelle7[EnuValue],Tabelle7[[#This Row],[EnuValue]])</f>
        <v>1</v>
      </c>
      <c r="G879" s="44" t="str">
        <f xml:space="preserve"> "  " &amp; Tabelle7[[#This Row],[EnuValue]] &amp; " = " &amp; Tabelle7[[#This Row],[Wert]]</f>
        <v xml:space="preserve">  repRM_STRAUSS = 9</v>
      </c>
      <c r="H879" s="44" t="str">
        <f>"  If Wert = " &amp; Tabelle7[[#This Row],[EnuValue]] &amp; " then Res = ""." &amp; Tabelle7[[#This Row],[EnuRohValue]] &amp; "."""</f>
        <v xml:space="preserve">  If Wert = repRM_STRAUSS then Res = ".STRAUSS."</v>
      </c>
      <c r="I879" s="44" t="str">
        <f>"  If wert = ""." &amp; Tabelle7[[#This Row],[EnuRohValue]] &amp; "."" Then Res = " &amp; Tabelle7[[#This Row],[EnuValue]]</f>
        <v xml:space="preserve">  If wert = ".STRAUSS." Then Res = repRM_STRAUSS</v>
      </c>
    </row>
    <row r="880" spans="2:9" x14ac:dyDescent="0.25">
      <c r="B880" s="44">
        <v>10</v>
      </c>
      <c r="C880" s="45" t="s">
        <v>1616</v>
      </c>
      <c r="D880" s="44" t="s">
        <v>3683</v>
      </c>
      <c r="E880" s="44" t="str">
        <f>VLOOKUP(Tabelle7[[#This Row],[EnumName]],Enum[[IFC-Name]:[Präfix]],5,FALSE)&amp;Tabelle7[[#This Row],[EnuRohValue]]</f>
        <v>repRM_NOTDEFINED</v>
      </c>
      <c r="F880" s="44">
        <f>COUNTIF(Tabelle7[EnuValue],Tabelle7[[#This Row],[EnuValue]])</f>
        <v>1</v>
      </c>
      <c r="G880" s="44" t="str">
        <f xml:space="preserve"> "  " &amp; Tabelle7[[#This Row],[EnuValue]] &amp; " = " &amp; Tabelle7[[#This Row],[Wert]]</f>
        <v xml:space="preserve">  repRM_NOTDEFINED = 10</v>
      </c>
      <c r="H880" s="44" t="str">
        <f>"  If Wert = " &amp; Tabelle7[[#This Row],[EnuValue]] &amp; " then Res = ""." &amp; Tabelle7[[#This Row],[EnuRohValue]] &amp; "."""</f>
        <v xml:space="preserve">  If Wert = repRM_NOTDEFINED then Res = ".NOTDEFINED."</v>
      </c>
      <c r="I880" s="44" t="str">
        <f>"  If wert = ""." &amp; Tabelle7[[#This Row],[EnuRohValue]] &amp; "."" Then Res = " &amp; Tabelle7[[#This Row],[EnuValue]]</f>
        <v xml:space="preserve">  If wert = ".NOTDEFINED." Then Res = repRM_NOTDEFINED</v>
      </c>
    </row>
    <row r="881" spans="2:9" x14ac:dyDescent="0.25">
      <c r="B881" s="44">
        <v>1</v>
      </c>
      <c r="C881" s="45" t="s">
        <v>1617</v>
      </c>
      <c r="D881" s="44" t="s">
        <v>4362</v>
      </c>
      <c r="E881" s="44" t="str">
        <f>VLOOKUP(Tabelle7[[#This Row],[EnumName]],Enum[[IFC-Name]:[Präfix]],5,FALSE)&amp;Tabelle7[[#This Row],[EnuRohValue]]</f>
        <v>fpsRBR_MAIN</v>
      </c>
      <c r="F881" s="44">
        <f>COUNTIF(Tabelle7[EnuValue],Tabelle7[[#This Row],[EnuValue]])</f>
        <v>1</v>
      </c>
      <c r="G881" s="44" t="str">
        <f xml:space="preserve"> "  " &amp; Tabelle7[[#This Row],[EnuValue]] &amp; " = " &amp; Tabelle7[[#This Row],[Wert]]</f>
        <v xml:space="preserve">  fpsRBR_MAIN = 1</v>
      </c>
      <c r="H881" s="44" t="str">
        <f>"  If Wert = " &amp; Tabelle7[[#This Row],[EnuValue]] &amp; " then Res = ""." &amp; Tabelle7[[#This Row],[EnuRohValue]] &amp; "."""</f>
        <v xml:space="preserve">  If Wert = fpsRBR_MAIN then Res = ".MAIN."</v>
      </c>
      <c r="I881" s="44" t="str">
        <f>"  If wert = ""." &amp; Tabelle7[[#This Row],[EnuRohValue]] &amp; "."" Then Res = " &amp; Tabelle7[[#This Row],[EnuValue]]</f>
        <v xml:space="preserve">  If wert = ".MAIN." Then Res = fpsRBR_MAIN</v>
      </c>
    </row>
    <row r="882" spans="2:9" x14ac:dyDescent="0.25">
      <c r="B882" s="44">
        <v>2</v>
      </c>
      <c r="C882" s="45" t="s">
        <v>1617</v>
      </c>
      <c r="D882" s="44" t="s">
        <v>4363</v>
      </c>
      <c r="E882" s="44" t="str">
        <f>VLOOKUP(Tabelle7[[#This Row],[EnumName]],Enum[[IFC-Name]:[Präfix]],5,FALSE)&amp;Tabelle7[[#This Row],[EnuRohValue]]</f>
        <v>fpsRBR_SHEAR</v>
      </c>
      <c r="F882" s="44">
        <f>COUNTIF(Tabelle7[EnuValue],Tabelle7[[#This Row],[EnuValue]])</f>
        <v>1</v>
      </c>
      <c r="G882" s="44" t="str">
        <f xml:space="preserve"> "  " &amp; Tabelle7[[#This Row],[EnuValue]] &amp; " = " &amp; Tabelle7[[#This Row],[Wert]]</f>
        <v xml:space="preserve">  fpsRBR_SHEAR = 2</v>
      </c>
      <c r="H882" s="44" t="str">
        <f>"  If Wert = " &amp; Tabelle7[[#This Row],[EnuValue]] &amp; " then Res = ""." &amp; Tabelle7[[#This Row],[EnuRohValue]] &amp; "."""</f>
        <v xml:space="preserve">  If Wert = fpsRBR_SHEAR then Res = ".SHEAR."</v>
      </c>
      <c r="I882" s="44" t="str">
        <f>"  If wert = ""." &amp; Tabelle7[[#This Row],[EnuRohValue]] &amp; "."" Then Res = " &amp; Tabelle7[[#This Row],[EnuValue]]</f>
        <v xml:space="preserve">  If wert = ".SHEAR." Then Res = fpsRBR_SHEAR</v>
      </c>
    </row>
    <row r="883" spans="2:9" x14ac:dyDescent="0.25">
      <c r="B883" s="44">
        <v>3</v>
      </c>
      <c r="C883" s="45" t="s">
        <v>1617</v>
      </c>
      <c r="D883" s="44" t="s">
        <v>4364</v>
      </c>
      <c r="E883" s="44" t="str">
        <f>VLOOKUP(Tabelle7[[#This Row],[EnumName]],Enum[[IFC-Name]:[Präfix]],5,FALSE)&amp;Tabelle7[[#This Row],[EnuRohValue]]</f>
        <v>fpsRBR_LIGATURE</v>
      </c>
      <c r="F883" s="44">
        <f>COUNTIF(Tabelle7[EnuValue],Tabelle7[[#This Row],[EnuValue]])</f>
        <v>1</v>
      </c>
      <c r="G883" s="44" t="str">
        <f xml:space="preserve"> "  " &amp; Tabelle7[[#This Row],[EnuValue]] &amp; " = " &amp; Tabelle7[[#This Row],[Wert]]</f>
        <v xml:space="preserve">  fpsRBR_LIGATURE = 3</v>
      </c>
      <c r="H883" s="44" t="str">
        <f>"  If Wert = " &amp; Tabelle7[[#This Row],[EnuValue]] &amp; " then Res = ""." &amp; Tabelle7[[#This Row],[EnuRohValue]] &amp; "."""</f>
        <v xml:space="preserve">  If Wert = fpsRBR_LIGATURE then Res = ".LIGATURE."</v>
      </c>
      <c r="I883" s="44" t="str">
        <f>"  If wert = ""." &amp; Tabelle7[[#This Row],[EnuRohValue]] &amp; "."" Then Res = " &amp; Tabelle7[[#This Row],[EnuValue]]</f>
        <v xml:space="preserve">  If wert = ".LIGATURE." Then Res = fpsRBR_LIGATURE</v>
      </c>
    </row>
    <row r="884" spans="2:9" x14ac:dyDescent="0.25">
      <c r="B884" s="44">
        <v>4</v>
      </c>
      <c r="C884" s="45" t="s">
        <v>1617</v>
      </c>
      <c r="D884" s="44" t="s">
        <v>4261</v>
      </c>
      <c r="E884" s="44" t="str">
        <f>VLOOKUP(Tabelle7[[#This Row],[EnumName]],Enum[[IFC-Name]:[Präfix]],5,FALSE)&amp;Tabelle7[[#This Row],[EnuRohValue]]</f>
        <v>fpsRBR_STUD</v>
      </c>
      <c r="F884" s="44">
        <f>COUNTIF(Tabelle7[EnuValue],Tabelle7[[#This Row],[EnuValue]])</f>
        <v>1</v>
      </c>
      <c r="G884" s="44" t="str">
        <f xml:space="preserve"> "  " &amp; Tabelle7[[#This Row],[EnuValue]] &amp; " = " &amp; Tabelle7[[#This Row],[Wert]]</f>
        <v xml:space="preserve">  fpsRBR_STUD = 4</v>
      </c>
      <c r="H884" s="44" t="str">
        <f>"  If Wert = " &amp; Tabelle7[[#This Row],[EnuValue]] &amp; " then Res = ""." &amp; Tabelle7[[#This Row],[EnuRohValue]] &amp; "."""</f>
        <v xml:space="preserve">  If Wert = fpsRBR_STUD then Res = ".STUD."</v>
      </c>
      <c r="I884" s="44" t="str">
        <f>"  If wert = ""." &amp; Tabelle7[[#This Row],[EnuRohValue]] &amp; "."" Then Res = " &amp; Tabelle7[[#This Row],[EnuValue]]</f>
        <v xml:space="preserve">  If wert = ".STUD." Then Res = fpsRBR_STUD</v>
      </c>
    </row>
    <row r="885" spans="2:9" x14ac:dyDescent="0.25">
      <c r="B885" s="44">
        <v>5</v>
      </c>
      <c r="C885" s="45" t="s">
        <v>1617</v>
      </c>
      <c r="D885" s="44" t="s">
        <v>4365</v>
      </c>
      <c r="E885" s="44" t="str">
        <f>VLOOKUP(Tabelle7[[#This Row],[EnumName]],Enum[[IFC-Name]:[Präfix]],5,FALSE)&amp;Tabelle7[[#This Row],[EnuRohValue]]</f>
        <v>fpsRBR_PUNCHING</v>
      </c>
      <c r="F885" s="44">
        <f>COUNTIF(Tabelle7[EnuValue],Tabelle7[[#This Row],[EnuValue]])</f>
        <v>1</v>
      </c>
      <c r="G885" s="44" t="str">
        <f xml:space="preserve"> "  " &amp; Tabelle7[[#This Row],[EnuValue]] &amp; " = " &amp; Tabelle7[[#This Row],[Wert]]</f>
        <v xml:space="preserve">  fpsRBR_PUNCHING = 5</v>
      </c>
      <c r="H885" s="44" t="str">
        <f>"  If Wert = " &amp; Tabelle7[[#This Row],[EnuValue]] &amp; " then Res = ""." &amp; Tabelle7[[#This Row],[EnuRohValue]] &amp; "."""</f>
        <v xml:space="preserve">  If Wert = fpsRBR_PUNCHING then Res = ".PUNCHING."</v>
      </c>
      <c r="I885" s="44" t="str">
        <f>"  If wert = ""." &amp; Tabelle7[[#This Row],[EnuRohValue]] &amp; "."" Then Res = " &amp; Tabelle7[[#This Row],[EnuValue]]</f>
        <v xml:space="preserve">  If wert = ".PUNCHING." Then Res = fpsRBR_PUNCHING</v>
      </c>
    </row>
    <row r="886" spans="2:9" x14ac:dyDescent="0.25">
      <c r="B886" s="44">
        <v>6</v>
      </c>
      <c r="C886" s="45" t="s">
        <v>1617</v>
      </c>
      <c r="D886" s="44" t="s">
        <v>4366</v>
      </c>
      <c r="E886" s="44" t="str">
        <f>VLOOKUP(Tabelle7[[#This Row],[EnumName]],Enum[[IFC-Name]:[Präfix]],5,FALSE)&amp;Tabelle7[[#This Row],[EnuRohValue]]</f>
        <v>fpsRBR_EDGE</v>
      </c>
      <c r="F886" s="44">
        <f>COUNTIF(Tabelle7[EnuValue],Tabelle7[[#This Row],[EnuValue]])</f>
        <v>1</v>
      </c>
      <c r="G886" s="44" t="str">
        <f xml:space="preserve"> "  " &amp; Tabelle7[[#This Row],[EnuValue]] &amp; " = " &amp; Tabelle7[[#This Row],[Wert]]</f>
        <v xml:space="preserve">  fpsRBR_EDGE = 6</v>
      </c>
      <c r="H886" s="44" t="str">
        <f>"  If Wert = " &amp; Tabelle7[[#This Row],[EnuValue]] &amp; " then Res = ""." &amp; Tabelle7[[#This Row],[EnuRohValue]] &amp; "."""</f>
        <v xml:space="preserve">  If Wert = fpsRBR_EDGE then Res = ".EDGE."</v>
      </c>
      <c r="I886" s="44" t="str">
        <f>"  If wert = ""." &amp; Tabelle7[[#This Row],[EnuRohValue]] &amp; "."" Then Res = " &amp; Tabelle7[[#This Row],[EnuValue]]</f>
        <v xml:space="preserve">  If wert = ".EDGE." Then Res = fpsRBR_EDGE</v>
      </c>
    </row>
    <row r="887" spans="2:9" x14ac:dyDescent="0.25">
      <c r="B887" s="44">
        <v>7</v>
      </c>
      <c r="C887" s="45" t="s">
        <v>1617</v>
      </c>
      <c r="D887" s="44" t="s">
        <v>4367</v>
      </c>
      <c r="E887" s="44" t="str">
        <f>VLOOKUP(Tabelle7[[#This Row],[EnumName]],Enum[[IFC-Name]:[Präfix]],5,FALSE)&amp;Tabelle7[[#This Row],[EnuRohValue]]</f>
        <v>fpsRBR_RING</v>
      </c>
      <c r="F887" s="44">
        <f>COUNTIF(Tabelle7[EnuValue],Tabelle7[[#This Row],[EnuValue]])</f>
        <v>1</v>
      </c>
      <c r="G887" s="44" t="str">
        <f xml:space="preserve"> "  " &amp; Tabelle7[[#This Row],[EnuValue]] &amp; " = " &amp; Tabelle7[[#This Row],[Wert]]</f>
        <v xml:space="preserve">  fpsRBR_RING = 7</v>
      </c>
      <c r="H887" s="44" t="str">
        <f>"  If Wert = " &amp; Tabelle7[[#This Row],[EnuValue]] &amp; " then Res = ""." &amp; Tabelle7[[#This Row],[EnuRohValue]] &amp; "."""</f>
        <v xml:space="preserve">  If Wert = fpsRBR_RING then Res = ".RING."</v>
      </c>
      <c r="I887" s="44" t="str">
        <f>"  If wert = ""." &amp; Tabelle7[[#This Row],[EnuRohValue]] &amp; "."" Then Res = " &amp; Tabelle7[[#This Row],[EnuValue]]</f>
        <v xml:space="preserve">  If wert = ".RING." Then Res = fpsRBR_RING</v>
      </c>
    </row>
    <row r="888" spans="2:9" x14ac:dyDescent="0.25">
      <c r="B888" s="44">
        <v>8</v>
      </c>
      <c r="C888" s="45" t="s">
        <v>1617</v>
      </c>
      <c r="D888" s="44" t="s">
        <v>3682</v>
      </c>
      <c r="E888" s="44" t="str">
        <f>VLOOKUP(Tabelle7[[#This Row],[EnumName]],Enum[[IFC-Name]:[Präfix]],5,FALSE)&amp;Tabelle7[[#This Row],[EnuRohValue]]</f>
        <v>fpsRBR_USERDEFINED</v>
      </c>
      <c r="F888" s="44">
        <f>COUNTIF(Tabelle7[EnuValue],Tabelle7[[#This Row],[EnuValue]])</f>
        <v>1</v>
      </c>
      <c r="G888" s="44" t="str">
        <f xml:space="preserve"> "  " &amp; Tabelle7[[#This Row],[EnuValue]] &amp; " = " &amp; Tabelle7[[#This Row],[Wert]]</f>
        <v xml:space="preserve">  fpsRBR_USERDEFINED = 8</v>
      </c>
      <c r="H888" s="44" t="str">
        <f>"  If Wert = " &amp; Tabelle7[[#This Row],[EnuValue]] &amp; " then Res = ""." &amp; Tabelle7[[#This Row],[EnuRohValue]] &amp; "."""</f>
        <v xml:space="preserve">  If Wert = fpsRBR_USERDEFINED then Res = ".USERDEFINED."</v>
      </c>
      <c r="I888" s="44" t="str">
        <f>"  If wert = ""." &amp; Tabelle7[[#This Row],[EnuRohValue]] &amp; "."" Then Res = " &amp; Tabelle7[[#This Row],[EnuValue]]</f>
        <v xml:space="preserve">  If wert = ".USERDEFINED." Then Res = fpsRBR_USERDEFINED</v>
      </c>
    </row>
    <row r="889" spans="2:9" x14ac:dyDescent="0.25">
      <c r="B889" s="44">
        <v>9</v>
      </c>
      <c r="C889" s="45" t="s">
        <v>1617</v>
      </c>
      <c r="D889" s="44" t="s">
        <v>3683</v>
      </c>
      <c r="E889" s="44" t="str">
        <f>VLOOKUP(Tabelle7[[#This Row],[EnumName]],Enum[[IFC-Name]:[Präfix]],5,FALSE)&amp;Tabelle7[[#This Row],[EnuRohValue]]</f>
        <v>fpsRBR_NOTDEFINED</v>
      </c>
      <c r="F889" s="44">
        <f>COUNTIF(Tabelle7[EnuValue],Tabelle7[[#This Row],[EnuValue]])</f>
        <v>1</v>
      </c>
      <c r="G889" s="44" t="str">
        <f xml:space="preserve"> "  " &amp; Tabelle7[[#This Row],[EnuValue]] &amp; " = " &amp; Tabelle7[[#This Row],[Wert]]</f>
        <v xml:space="preserve">  fpsRBR_NOTDEFINED = 9</v>
      </c>
      <c r="H889" s="44" t="str">
        <f>"  If Wert = " &amp; Tabelle7[[#This Row],[EnuValue]] &amp; " then Res = ""." &amp; Tabelle7[[#This Row],[EnuRohValue]] &amp; "."""</f>
        <v xml:space="preserve">  If Wert = fpsRBR_NOTDEFINED then Res = ".NOTDEFINED."</v>
      </c>
      <c r="I889" s="44" t="str">
        <f>"  If wert = ""." &amp; Tabelle7[[#This Row],[EnuRohValue]] &amp; "."" Then Res = " &amp; Tabelle7[[#This Row],[EnuValue]]</f>
        <v xml:space="preserve">  If wert = ".NOTDEFINED." Then Res = fpsRBR_NOTDEFINED</v>
      </c>
    </row>
    <row r="890" spans="2:9" x14ac:dyDescent="0.25">
      <c r="B890" s="44">
        <v>1</v>
      </c>
      <c r="C890" s="45" t="s">
        <v>1618</v>
      </c>
      <c r="D890" s="44" t="s">
        <v>4368</v>
      </c>
      <c r="E890" s="44" t="str">
        <f>VLOOKUP(Tabelle7[[#This Row],[EnumName]],Enum[[IFC-Name]:[Präfix]],5,FALSE)&amp;Tabelle7[[#This Row],[EnuRohValue]]</f>
        <v>fpsRBS_PLAIN</v>
      </c>
      <c r="F890" s="44">
        <f>COUNTIF(Tabelle7[EnuValue],Tabelle7[[#This Row],[EnuValue]])</f>
        <v>1</v>
      </c>
      <c r="G890" s="44" t="str">
        <f xml:space="preserve"> "  " &amp; Tabelle7[[#This Row],[EnuValue]] &amp; " = " &amp; Tabelle7[[#This Row],[Wert]]</f>
        <v xml:space="preserve">  fpsRBS_PLAIN = 1</v>
      </c>
      <c r="H890" s="44" t="str">
        <f>"  If Wert = " &amp; Tabelle7[[#This Row],[EnuValue]] &amp; " then Res = ""." &amp; Tabelle7[[#This Row],[EnuRohValue]] &amp; "."""</f>
        <v xml:space="preserve">  If Wert = fpsRBS_PLAIN then Res = ".PLAIN."</v>
      </c>
      <c r="I890" s="44" t="str">
        <f>"  If wert = ""." &amp; Tabelle7[[#This Row],[EnuRohValue]] &amp; "."" Then Res = " &amp; Tabelle7[[#This Row],[EnuValue]]</f>
        <v xml:space="preserve">  If wert = ".PLAIN." Then Res = fpsRBS_PLAIN</v>
      </c>
    </row>
    <row r="891" spans="2:9" x14ac:dyDescent="0.25">
      <c r="B891" s="44">
        <v>2</v>
      </c>
      <c r="C891" s="45" t="s">
        <v>1618</v>
      </c>
      <c r="D891" s="44" t="s">
        <v>4369</v>
      </c>
      <c r="E891" s="44" t="str">
        <f>VLOOKUP(Tabelle7[[#This Row],[EnumName]],Enum[[IFC-Name]:[Präfix]],5,FALSE)&amp;Tabelle7[[#This Row],[EnuRohValue]]</f>
        <v>fpsRBS_TEXTURED</v>
      </c>
      <c r="F891" s="44">
        <f>COUNTIF(Tabelle7[EnuValue],Tabelle7[[#This Row],[EnuValue]])</f>
        <v>1</v>
      </c>
      <c r="G891" s="44" t="str">
        <f xml:space="preserve"> "  " &amp; Tabelle7[[#This Row],[EnuValue]] &amp; " = " &amp; Tabelle7[[#This Row],[Wert]]</f>
        <v xml:space="preserve">  fpsRBS_TEXTURED = 2</v>
      </c>
      <c r="H891" s="44" t="str">
        <f>"  If Wert = " &amp; Tabelle7[[#This Row],[EnuValue]] &amp; " then Res = ""." &amp; Tabelle7[[#This Row],[EnuRohValue]] &amp; "."""</f>
        <v xml:space="preserve">  If Wert = fpsRBS_TEXTURED then Res = ".TEXTURED."</v>
      </c>
      <c r="I891" s="44" t="str">
        <f>"  If wert = ""." &amp; Tabelle7[[#This Row],[EnuRohValue]] &amp; "."" Then Res = " &amp; Tabelle7[[#This Row],[EnuValue]]</f>
        <v xml:space="preserve">  If wert = ".TEXTURED." Then Res = fpsRBS_TEXTURED</v>
      </c>
    </row>
    <row r="892" spans="2:9" x14ac:dyDescent="0.25">
      <c r="B892" s="44">
        <v>1</v>
      </c>
      <c r="C892" s="45" t="s">
        <v>1619</v>
      </c>
      <c r="D892" s="44" t="s">
        <v>4370</v>
      </c>
      <c r="E892" s="44" t="str">
        <f>VLOOKUP(Tabelle7[[#This Row],[EnumName]],Enum[[IFC-Name]:[Präfix]],5,FALSE)&amp;Tabelle7[[#This Row],[EnuRohValue]]</f>
        <v>conRC_CONSUMED</v>
      </c>
      <c r="F892" s="44">
        <f>COUNTIF(Tabelle7[EnuValue],Tabelle7[[#This Row],[EnuValue]])</f>
        <v>1</v>
      </c>
      <c r="G892" s="44" t="str">
        <f xml:space="preserve"> "  " &amp; Tabelle7[[#This Row],[EnuValue]] &amp; " = " &amp; Tabelle7[[#This Row],[Wert]]</f>
        <v xml:space="preserve">  conRC_CONSUMED = 1</v>
      </c>
      <c r="H892" s="44" t="str">
        <f>"  If Wert = " &amp; Tabelle7[[#This Row],[EnuValue]] &amp; " then Res = ""." &amp; Tabelle7[[#This Row],[EnuRohValue]] &amp; "."""</f>
        <v xml:space="preserve">  If Wert = conRC_CONSUMED then Res = ".CONSUMED."</v>
      </c>
      <c r="I892" s="44" t="str">
        <f>"  If wert = ""." &amp; Tabelle7[[#This Row],[EnuRohValue]] &amp; "."" Then Res = " &amp; Tabelle7[[#This Row],[EnuValue]]</f>
        <v xml:space="preserve">  If wert = ".CONSUMED." Then Res = conRC_CONSUMED</v>
      </c>
    </row>
    <row r="893" spans="2:9" x14ac:dyDescent="0.25">
      <c r="B893" s="44">
        <v>2</v>
      </c>
      <c r="C893" s="45" t="s">
        <v>1619</v>
      </c>
      <c r="D893" s="44" t="s">
        <v>4371</v>
      </c>
      <c r="E893" s="44" t="str">
        <f>VLOOKUP(Tabelle7[[#This Row],[EnumName]],Enum[[IFC-Name]:[Präfix]],5,FALSE)&amp;Tabelle7[[#This Row],[EnuRohValue]]</f>
        <v>conRC_PARTIALLYCONSUMED</v>
      </c>
      <c r="F893" s="44">
        <f>COUNTIF(Tabelle7[EnuValue],Tabelle7[[#This Row],[EnuValue]])</f>
        <v>1</v>
      </c>
      <c r="G893" s="44" t="str">
        <f xml:space="preserve"> "  " &amp; Tabelle7[[#This Row],[EnuValue]] &amp; " = " &amp; Tabelle7[[#This Row],[Wert]]</f>
        <v xml:space="preserve">  conRC_PARTIALLYCONSUMED = 2</v>
      </c>
      <c r="H893" s="44" t="str">
        <f>"  If Wert = " &amp; Tabelle7[[#This Row],[EnuValue]] &amp; " then Res = ""." &amp; Tabelle7[[#This Row],[EnuRohValue]] &amp; "."""</f>
        <v xml:space="preserve">  If Wert = conRC_PARTIALLYCONSUMED then Res = ".PARTIALLYCONSUMED."</v>
      </c>
      <c r="I893" s="44" t="str">
        <f>"  If wert = ""." &amp; Tabelle7[[#This Row],[EnuRohValue]] &amp; "."" Then Res = " &amp; Tabelle7[[#This Row],[EnuValue]]</f>
        <v xml:space="preserve">  If wert = ".PARTIALLYCONSUMED." Then Res = conRC_PARTIALLYCONSUMED</v>
      </c>
    </row>
    <row r="894" spans="2:9" x14ac:dyDescent="0.25">
      <c r="B894" s="44">
        <v>3</v>
      </c>
      <c r="C894" s="45" t="s">
        <v>1619</v>
      </c>
      <c r="D894" s="44" t="s">
        <v>4372</v>
      </c>
      <c r="E894" s="44" t="str">
        <f>VLOOKUP(Tabelle7[[#This Row],[EnumName]],Enum[[IFC-Name]:[Präfix]],5,FALSE)&amp;Tabelle7[[#This Row],[EnuRohValue]]</f>
        <v>conRC_NOTCONSUMED</v>
      </c>
      <c r="F894" s="44">
        <f>COUNTIF(Tabelle7[EnuValue],Tabelle7[[#This Row],[EnuValue]])</f>
        <v>1</v>
      </c>
      <c r="G894" s="44" t="str">
        <f xml:space="preserve"> "  " &amp; Tabelle7[[#This Row],[EnuValue]] &amp; " = " &amp; Tabelle7[[#This Row],[Wert]]</f>
        <v xml:space="preserve">  conRC_NOTCONSUMED = 3</v>
      </c>
      <c r="H894" s="44" t="str">
        <f>"  If Wert = " &amp; Tabelle7[[#This Row],[EnuValue]] &amp; " then Res = ""." &amp; Tabelle7[[#This Row],[EnuRohValue]] &amp; "."""</f>
        <v xml:space="preserve">  If Wert = conRC_NOTCONSUMED then Res = ".NOTCONSUMED."</v>
      </c>
      <c r="I894" s="44" t="str">
        <f>"  If wert = ""." &amp; Tabelle7[[#This Row],[EnuRohValue]] &amp; "."" Then Res = " &amp; Tabelle7[[#This Row],[EnuValue]]</f>
        <v xml:space="preserve">  If wert = ".NOTCONSUMED." Then Res = conRC_NOTCONSUMED</v>
      </c>
    </row>
    <row r="895" spans="2:9" x14ac:dyDescent="0.25">
      <c r="B895" s="44">
        <v>4</v>
      </c>
      <c r="C895" s="45" t="s">
        <v>1619</v>
      </c>
      <c r="D895" s="44" t="s">
        <v>4373</v>
      </c>
      <c r="E895" s="44" t="str">
        <f>VLOOKUP(Tabelle7[[#This Row],[EnumName]],Enum[[IFC-Name]:[Präfix]],5,FALSE)&amp;Tabelle7[[#This Row],[EnuRohValue]]</f>
        <v>conRC_OCCUPIED</v>
      </c>
      <c r="F895" s="44">
        <f>COUNTIF(Tabelle7[EnuValue],Tabelle7[[#This Row],[EnuValue]])</f>
        <v>1</v>
      </c>
      <c r="G895" s="44" t="str">
        <f xml:space="preserve"> "  " &amp; Tabelle7[[#This Row],[EnuValue]] &amp; " = " &amp; Tabelle7[[#This Row],[Wert]]</f>
        <v xml:space="preserve">  conRC_OCCUPIED = 4</v>
      </c>
      <c r="H895" s="44" t="str">
        <f>"  If Wert = " &amp; Tabelle7[[#This Row],[EnuValue]] &amp; " then Res = ""." &amp; Tabelle7[[#This Row],[EnuRohValue]] &amp; "."""</f>
        <v xml:space="preserve">  If Wert = conRC_OCCUPIED then Res = ".OCCUPIED."</v>
      </c>
      <c r="I895" s="44" t="str">
        <f>"  If wert = ""." &amp; Tabelle7[[#This Row],[EnuRohValue]] &amp; "."" Then Res = " &amp; Tabelle7[[#This Row],[EnuValue]]</f>
        <v xml:space="preserve">  If wert = ".OCCUPIED." Then Res = conRC_OCCUPIED</v>
      </c>
    </row>
    <row r="896" spans="2:9" x14ac:dyDescent="0.25">
      <c r="B896" s="44">
        <v>5</v>
      </c>
      <c r="C896" s="45" t="s">
        <v>1619</v>
      </c>
      <c r="D896" s="44" t="s">
        <v>4374</v>
      </c>
      <c r="E896" s="44" t="str">
        <f>VLOOKUP(Tabelle7[[#This Row],[EnumName]],Enum[[IFC-Name]:[Präfix]],5,FALSE)&amp;Tabelle7[[#This Row],[EnuRohValue]]</f>
        <v>conRC_PARTIALLYOCCUPIED</v>
      </c>
      <c r="F896" s="44">
        <f>COUNTIF(Tabelle7[EnuValue],Tabelle7[[#This Row],[EnuValue]])</f>
        <v>1</v>
      </c>
      <c r="G896" s="44" t="str">
        <f xml:space="preserve"> "  " &amp; Tabelle7[[#This Row],[EnuValue]] &amp; " = " &amp; Tabelle7[[#This Row],[Wert]]</f>
        <v xml:space="preserve">  conRC_PARTIALLYOCCUPIED = 5</v>
      </c>
      <c r="H896" s="44" t="str">
        <f>"  If Wert = " &amp; Tabelle7[[#This Row],[EnuValue]] &amp; " then Res = ""." &amp; Tabelle7[[#This Row],[EnuRohValue]] &amp; "."""</f>
        <v xml:space="preserve">  If Wert = conRC_PARTIALLYOCCUPIED then Res = ".PARTIALLYOCCUPIED."</v>
      </c>
      <c r="I896" s="44" t="str">
        <f>"  If wert = ""." &amp; Tabelle7[[#This Row],[EnuRohValue]] &amp; "."" Then Res = " &amp; Tabelle7[[#This Row],[EnuValue]]</f>
        <v xml:space="preserve">  If wert = ".PARTIALLYOCCUPIED." Then Res = conRC_PARTIALLYOCCUPIED</v>
      </c>
    </row>
    <row r="897" spans="2:9" x14ac:dyDescent="0.25">
      <c r="B897" s="44">
        <v>6</v>
      </c>
      <c r="C897" s="45" t="s">
        <v>1619</v>
      </c>
      <c r="D897" s="44" t="s">
        <v>4375</v>
      </c>
      <c r="E897" s="44" t="str">
        <f>VLOOKUP(Tabelle7[[#This Row],[EnumName]],Enum[[IFC-Name]:[Präfix]],5,FALSE)&amp;Tabelle7[[#This Row],[EnuRohValue]]</f>
        <v>conRC_NOTOCCUPIED</v>
      </c>
      <c r="F897" s="44">
        <f>COUNTIF(Tabelle7[EnuValue],Tabelle7[[#This Row],[EnuValue]])</f>
        <v>1</v>
      </c>
      <c r="G897" s="44" t="str">
        <f xml:space="preserve"> "  " &amp; Tabelle7[[#This Row],[EnuValue]] &amp; " = " &amp; Tabelle7[[#This Row],[Wert]]</f>
        <v xml:space="preserve">  conRC_NOTOCCUPIED = 6</v>
      </c>
      <c r="H897" s="44" t="str">
        <f>"  If Wert = " &amp; Tabelle7[[#This Row],[EnuValue]] &amp; " then Res = ""." &amp; Tabelle7[[#This Row],[EnuRohValue]] &amp; "."""</f>
        <v xml:space="preserve">  If Wert = conRC_NOTOCCUPIED then Res = ".NOTOCCUPIED."</v>
      </c>
      <c r="I897" s="44" t="str">
        <f>"  If wert = ""." &amp; Tabelle7[[#This Row],[EnuRohValue]] &amp; "."" Then Res = " &amp; Tabelle7[[#This Row],[EnuValue]]</f>
        <v xml:space="preserve">  If wert = ".NOTOCCUPIED." Then Res = conRC_NOTOCCUPIED</v>
      </c>
    </row>
    <row r="898" spans="2:9" x14ac:dyDescent="0.25">
      <c r="B898" s="44">
        <v>7</v>
      </c>
      <c r="C898" s="45" t="s">
        <v>1619</v>
      </c>
      <c r="D898" s="44" t="s">
        <v>3682</v>
      </c>
      <c r="E898" s="44" t="str">
        <f>VLOOKUP(Tabelle7[[#This Row],[EnumName]],Enum[[IFC-Name]:[Präfix]],5,FALSE)&amp;Tabelle7[[#This Row],[EnuRohValue]]</f>
        <v>conRC_USERDEFINED</v>
      </c>
      <c r="F898" s="44">
        <f>COUNTIF(Tabelle7[EnuValue],Tabelle7[[#This Row],[EnuValue]])</f>
        <v>1</v>
      </c>
      <c r="G898" s="44" t="str">
        <f xml:space="preserve"> "  " &amp; Tabelle7[[#This Row],[EnuValue]] &amp; " = " &amp; Tabelle7[[#This Row],[Wert]]</f>
        <v xml:space="preserve">  conRC_USERDEFINED = 7</v>
      </c>
      <c r="H898" s="44" t="str">
        <f>"  If Wert = " &amp; Tabelle7[[#This Row],[EnuValue]] &amp; " then Res = ""." &amp; Tabelle7[[#This Row],[EnuRohValue]] &amp; "."""</f>
        <v xml:space="preserve">  If Wert = conRC_USERDEFINED then Res = ".USERDEFINED."</v>
      </c>
      <c r="I898" s="44" t="str">
        <f>"  If wert = ""." &amp; Tabelle7[[#This Row],[EnuRohValue]] &amp; "."" Then Res = " &amp; Tabelle7[[#This Row],[EnuValue]]</f>
        <v xml:space="preserve">  If wert = ".USERDEFINED." Then Res = conRC_USERDEFINED</v>
      </c>
    </row>
    <row r="899" spans="2:9" x14ac:dyDescent="0.25">
      <c r="B899" s="44">
        <v>8</v>
      </c>
      <c r="C899" s="45" t="s">
        <v>1619</v>
      </c>
      <c r="D899" s="44" t="s">
        <v>3683</v>
      </c>
      <c r="E899" s="44" t="str">
        <f>VLOOKUP(Tabelle7[[#This Row],[EnumName]],Enum[[IFC-Name]:[Präfix]],5,FALSE)&amp;Tabelle7[[#This Row],[EnuRohValue]]</f>
        <v>conRC_NOTDEFINED</v>
      </c>
      <c r="F899" s="44">
        <f>COUNTIF(Tabelle7[EnuValue],Tabelle7[[#This Row],[EnuValue]])</f>
        <v>1</v>
      </c>
      <c r="G899" s="44" t="str">
        <f xml:space="preserve"> "  " &amp; Tabelle7[[#This Row],[EnuValue]] &amp; " = " &amp; Tabelle7[[#This Row],[Wert]]</f>
        <v xml:space="preserve">  conRC_NOTDEFINED = 8</v>
      </c>
      <c r="H899" s="44" t="str">
        <f>"  If Wert = " &amp; Tabelle7[[#This Row],[EnuValue]] &amp; " then Res = ""." &amp; Tabelle7[[#This Row],[EnuRohValue]] &amp; "."""</f>
        <v xml:space="preserve">  If Wert = conRC_NOTDEFINED then Res = ".NOTDEFINED."</v>
      </c>
      <c r="I899" s="44" t="str">
        <f>"  If wert = ""." &amp; Tabelle7[[#This Row],[EnuRohValue]] &amp; "."" Then Res = " &amp; Tabelle7[[#This Row],[EnuValue]]</f>
        <v xml:space="preserve">  If wert = ".NOTDEFINED." Then Res = conRC_NOTDEFINED</v>
      </c>
    </row>
    <row r="900" spans="2:9" x14ac:dyDescent="0.25">
      <c r="B900" s="44">
        <v>1</v>
      </c>
      <c r="C900" s="45" t="s">
        <v>1620</v>
      </c>
      <c r="D900" s="44" t="s">
        <v>4376</v>
      </c>
      <c r="E900" s="44" t="str">
        <f>VLOOKUP(Tabelle7[[#This Row],[EnumName]],Enum[[IFC-Name]:[Präfix]],5,FALSE)&amp;Tabelle7[[#This Row],[EnuRohValue]]</f>
        <v>fpsRPD_DIRECTION_X</v>
      </c>
      <c r="F900" s="44">
        <f>COUNTIF(Tabelle7[EnuValue],Tabelle7[[#This Row],[EnuValue]])</f>
        <v>1</v>
      </c>
      <c r="G900" s="44" t="str">
        <f xml:space="preserve"> "  " &amp; Tabelle7[[#This Row],[EnuValue]] &amp; " = " &amp; Tabelle7[[#This Row],[Wert]]</f>
        <v xml:space="preserve">  fpsRPD_DIRECTION_X = 1</v>
      </c>
      <c r="H900" s="44" t="str">
        <f>"  If Wert = " &amp; Tabelle7[[#This Row],[EnuValue]] &amp; " then Res = ""." &amp; Tabelle7[[#This Row],[EnuRohValue]] &amp; "."""</f>
        <v xml:space="preserve">  If Wert = fpsRPD_DIRECTION_X then Res = ".DIRECTION_X."</v>
      </c>
      <c r="I900" s="44" t="str">
        <f>"  If wert = ""." &amp; Tabelle7[[#This Row],[EnuRohValue]] &amp; "."" Then Res = " &amp; Tabelle7[[#This Row],[EnuValue]]</f>
        <v xml:space="preserve">  If wert = ".DIRECTION_X." Then Res = fpsRPD_DIRECTION_X</v>
      </c>
    </row>
    <row r="901" spans="2:9" x14ac:dyDescent="0.25">
      <c r="B901" s="44">
        <v>2</v>
      </c>
      <c r="C901" s="45" t="s">
        <v>1620</v>
      </c>
      <c r="D901" s="44" t="s">
        <v>4377</v>
      </c>
      <c r="E901" s="44" t="str">
        <f>VLOOKUP(Tabelle7[[#This Row],[EnumName]],Enum[[IFC-Name]:[Präfix]],5,FALSE)&amp;Tabelle7[[#This Row],[EnuRohValue]]</f>
        <v>fpsRPD_DIRECTION_Y</v>
      </c>
      <c r="F901" s="44">
        <f>COUNTIF(Tabelle7[EnuValue],Tabelle7[[#This Row],[EnuValue]])</f>
        <v>1</v>
      </c>
      <c r="G901" s="44" t="str">
        <f xml:space="preserve"> "  " &amp; Tabelle7[[#This Row],[EnuValue]] &amp; " = " &amp; Tabelle7[[#This Row],[Wert]]</f>
        <v xml:space="preserve">  fpsRPD_DIRECTION_Y = 2</v>
      </c>
      <c r="H901" s="44" t="str">
        <f>"  If Wert = " &amp; Tabelle7[[#This Row],[EnuValue]] &amp; " then Res = ""." &amp; Tabelle7[[#This Row],[EnuRohValue]] &amp; "."""</f>
        <v xml:space="preserve">  If Wert = fpsRPD_DIRECTION_Y then Res = ".DIRECTION_Y."</v>
      </c>
      <c r="I901" s="44" t="str">
        <f>"  If wert = ""." &amp; Tabelle7[[#This Row],[EnuRohValue]] &amp; "."" Then Res = " &amp; Tabelle7[[#This Row],[EnuValue]]</f>
        <v xml:space="preserve">  If wert = ".DIRECTION_Y." Then Res = fpsRPD_DIRECTION_Y</v>
      </c>
    </row>
    <row r="902" spans="2:9" x14ac:dyDescent="0.25">
      <c r="B902" s="44">
        <v>1</v>
      </c>
      <c r="C902" s="45" t="s">
        <v>1621</v>
      </c>
      <c r="D902" s="44" t="s">
        <v>4378</v>
      </c>
      <c r="E902" s="44" t="str">
        <f>VLOOKUP(Tabelle7[[#This Row],[EnumName]],Enum[[IFC-Name]:[Präfix]],5,FALSE)&amp;Tabelle7[[#This Row],[EnuRohValue]]</f>
        <v>actRE_SUPPLIER</v>
      </c>
      <c r="F902" s="44">
        <f>COUNTIF(Tabelle7[EnuValue],Tabelle7[[#This Row],[EnuValue]])</f>
        <v>1</v>
      </c>
      <c r="G902" s="44" t="str">
        <f xml:space="preserve"> "  " &amp; Tabelle7[[#This Row],[EnuValue]] &amp; " = " &amp; Tabelle7[[#This Row],[Wert]]</f>
        <v xml:space="preserve">  actRE_SUPPLIER = 1</v>
      </c>
      <c r="H902" s="44" t="str">
        <f>"  If Wert = " &amp; Tabelle7[[#This Row],[EnuValue]] &amp; " then Res = ""." &amp; Tabelle7[[#This Row],[EnuRohValue]] &amp; "."""</f>
        <v xml:space="preserve">  If Wert = actRE_SUPPLIER then Res = ".SUPPLIER."</v>
      </c>
      <c r="I902" s="44" t="str">
        <f>"  If wert = ""." &amp; Tabelle7[[#This Row],[EnuRohValue]] &amp; "."" Then Res = " &amp; Tabelle7[[#This Row],[EnuValue]]</f>
        <v xml:space="preserve">  If wert = ".SUPPLIER." Then Res = actRE_SUPPLIER</v>
      </c>
    </row>
    <row r="903" spans="2:9" x14ac:dyDescent="0.25">
      <c r="B903" s="44">
        <v>2</v>
      </c>
      <c r="C903" s="45" t="s">
        <v>1621</v>
      </c>
      <c r="D903" s="44" t="s">
        <v>4379</v>
      </c>
      <c r="E903" s="44" t="str">
        <f>VLOOKUP(Tabelle7[[#This Row],[EnumName]],Enum[[IFC-Name]:[Präfix]],5,FALSE)&amp;Tabelle7[[#This Row],[EnuRohValue]]</f>
        <v>actRE_MANUFACTURER</v>
      </c>
      <c r="F903" s="44">
        <f>COUNTIF(Tabelle7[EnuValue],Tabelle7[[#This Row],[EnuValue]])</f>
        <v>1</v>
      </c>
      <c r="G903" s="44" t="str">
        <f xml:space="preserve"> "  " &amp; Tabelle7[[#This Row],[EnuValue]] &amp; " = " &amp; Tabelle7[[#This Row],[Wert]]</f>
        <v xml:space="preserve">  actRE_MANUFACTURER = 2</v>
      </c>
      <c r="H903" s="44" t="str">
        <f>"  If Wert = " &amp; Tabelle7[[#This Row],[EnuValue]] &amp; " then Res = ""." &amp; Tabelle7[[#This Row],[EnuRohValue]] &amp; "."""</f>
        <v xml:space="preserve">  If Wert = actRE_MANUFACTURER then Res = ".MANUFACTURER."</v>
      </c>
      <c r="I903" s="44" t="str">
        <f>"  If wert = ""." &amp; Tabelle7[[#This Row],[EnuRohValue]] &amp; "."" Then Res = " &amp; Tabelle7[[#This Row],[EnuValue]]</f>
        <v xml:space="preserve">  If wert = ".MANUFACTURER." Then Res = actRE_MANUFACTURER</v>
      </c>
    </row>
    <row r="904" spans="2:9" x14ac:dyDescent="0.25">
      <c r="B904" s="44">
        <v>3</v>
      </c>
      <c r="C904" s="45" t="s">
        <v>1621</v>
      </c>
      <c r="D904" s="44" t="s">
        <v>4380</v>
      </c>
      <c r="E904" s="44" t="str">
        <f>VLOOKUP(Tabelle7[[#This Row],[EnumName]],Enum[[IFC-Name]:[Präfix]],5,FALSE)&amp;Tabelle7[[#This Row],[EnuRohValue]]</f>
        <v>actRE_CONTRACTOR</v>
      </c>
      <c r="F904" s="44">
        <f>COUNTIF(Tabelle7[EnuValue],Tabelle7[[#This Row],[EnuValue]])</f>
        <v>1</v>
      </c>
      <c r="G904" s="44" t="str">
        <f xml:space="preserve"> "  " &amp; Tabelle7[[#This Row],[EnuValue]] &amp; " = " &amp; Tabelle7[[#This Row],[Wert]]</f>
        <v xml:space="preserve">  actRE_CONTRACTOR = 3</v>
      </c>
      <c r="H904" s="44" t="str">
        <f>"  If Wert = " &amp; Tabelle7[[#This Row],[EnuValue]] &amp; " then Res = ""." &amp; Tabelle7[[#This Row],[EnuRohValue]] &amp; "."""</f>
        <v xml:space="preserve">  If Wert = actRE_CONTRACTOR then Res = ".CONTRACTOR."</v>
      </c>
      <c r="I904" s="44" t="str">
        <f>"  If wert = ""." &amp; Tabelle7[[#This Row],[EnuRohValue]] &amp; "."" Then Res = " &amp; Tabelle7[[#This Row],[EnuValue]]</f>
        <v xml:space="preserve">  If wert = ".CONTRACTOR." Then Res = actRE_CONTRACTOR</v>
      </c>
    </row>
    <row r="905" spans="2:9" x14ac:dyDescent="0.25">
      <c r="B905" s="44">
        <v>4</v>
      </c>
      <c r="C905" s="45" t="s">
        <v>1621</v>
      </c>
      <c r="D905" s="44" t="s">
        <v>4381</v>
      </c>
      <c r="E905" s="44" t="str">
        <f>VLOOKUP(Tabelle7[[#This Row],[EnumName]],Enum[[IFC-Name]:[Präfix]],5,FALSE)&amp;Tabelle7[[#This Row],[EnuRohValue]]</f>
        <v>actRE_SUBCONTRACTOR</v>
      </c>
      <c r="F905" s="44">
        <f>COUNTIF(Tabelle7[EnuValue],Tabelle7[[#This Row],[EnuValue]])</f>
        <v>1</v>
      </c>
      <c r="G905" s="44" t="str">
        <f xml:space="preserve"> "  " &amp; Tabelle7[[#This Row],[EnuValue]] &amp; " = " &amp; Tabelle7[[#This Row],[Wert]]</f>
        <v xml:space="preserve">  actRE_SUBCONTRACTOR = 4</v>
      </c>
      <c r="H905" s="44" t="str">
        <f>"  If Wert = " &amp; Tabelle7[[#This Row],[EnuValue]] &amp; " then Res = ""." &amp; Tabelle7[[#This Row],[EnuRohValue]] &amp; "."""</f>
        <v xml:space="preserve">  If Wert = actRE_SUBCONTRACTOR then Res = ".SUBCONTRACTOR."</v>
      </c>
      <c r="I905" s="44" t="str">
        <f>"  If wert = ""." &amp; Tabelle7[[#This Row],[EnuRohValue]] &amp; "."" Then Res = " &amp; Tabelle7[[#This Row],[EnuValue]]</f>
        <v xml:space="preserve">  If wert = ".SUBCONTRACTOR." Then Res = actRE_SUBCONTRACTOR</v>
      </c>
    </row>
    <row r="906" spans="2:9" x14ac:dyDescent="0.25">
      <c r="B906" s="44">
        <v>5</v>
      </c>
      <c r="C906" s="45" t="s">
        <v>1621</v>
      </c>
      <c r="D906" s="44" t="s">
        <v>4382</v>
      </c>
      <c r="E906" s="44" t="str">
        <f>VLOOKUP(Tabelle7[[#This Row],[EnumName]],Enum[[IFC-Name]:[Präfix]],5,FALSE)&amp;Tabelle7[[#This Row],[EnuRohValue]]</f>
        <v>actRE_ARCHITECT</v>
      </c>
      <c r="F906" s="44">
        <f>COUNTIF(Tabelle7[EnuValue],Tabelle7[[#This Row],[EnuValue]])</f>
        <v>1</v>
      </c>
      <c r="G906" s="44" t="str">
        <f xml:space="preserve"> "  " &amp; Tabelle7[[#This Row],[EnuValue]] &amp; " = " &amp; Tabelle7[[#This Row],[Wert]]</f>
        <v xml:space="preserve">  actRE_ARCHITECT = 5</v>
      </c>
      <c r="H906" s="44" t="str">
        <f>"  If Wert = " &amp; Tabelle7[[#This Row],[EnuValue]] &amp; " then Res = ""." &amp; Tabelle7[[#This Row],[EnuRohValue]] &amp; "."""</f>
        <v xml:space="preserve">  If Wert = actRE_ARCHITECT then Res = ".ARCHITECT."</v>
      </c>
      <c r="I906" s="44" t="str">
        <f>"  If wert = ""." &amp; Tabelle7[[#This Row],[EnuRohValue]] &amp; "."" Then Res = " &amp; Tabelle7[[#This Row],[EnuValue]]</f>
        <v xml:space="preserve">  If wert = ".ARCHITECT." Then Res = actRE_ARCHITECT</v>
      </c>
    </row>
    <row r="907" spans="2:9" x14ac:dyDescent="0.25">
      <c r="B907" s="44">
        <v>6</v>
      </c>
      <c r="C907" s="45" t="s">
        <v>1621</v>
      </c>
      <c r="D907" s="44" t="s">
        <v>4383</v>
      </c>
      <c r="E907" s="44" t="str">
        <f>VLOOKUP(Tabelle7[[#This Row],[EnumName]],Enum[[IFC-Name]:[Präfix]],5,FALSE)&amp;Tabelle7[[#This Row],[EnuRohValue]]</f>
        <v>actRE_STRUCTURALENGINEER</v>
      </c>
      <c r="F907" s="44">
        <f>COUNTIF(Tabelle7[EnuValue],Tabelle7[[#This Row],[EnuValue]])</f>
        <v>1</v>
      </c>
      <c r="G907" s="44" t="str">
        <f xml:space="preserve"> "  " &amp; Tabelle7[[#This Row],[EnuValue]] &amp; " = " &amp; Tabelle7[[#This Row],[Wert]]</f>
        <v xml:space="preserve">  actRE_STRUCTURALENGINEER = 6</v>
      </c>
      <c r="H907" s="44" t="str">
        <f>"  If Wert = " &amp; Tabelle7[[#This Row],[EnuValue]] &amp; " then Res = ""." &amp; Tabelle7[[#This Row],[EnuRohValue]] &amp; "."""</f>
        <v xml:space="preserve">  If Wert = actRE_STRUCTURALENGINEER then Res = ".STRUCTURALENGINEER."</v>
      </c>
      <c r="I907" s="44" t="str">
        <f>"  If wert = ""." &amp; Tabelle7[[#This Row],[EnuRohValue]] &amp; "."" Then Res = " &amp; Tabelle7[[#This Row],[EnuValue]]</f>
        <v xml:space="preserve">  If wert = ".STRUCTURALENGINEER." Then Res = actRE_STRUCTURALENGINEER</v>
      </c>
    </row>
    <row r="908" spans="2:9" x14ac:dyDescent="0.25">
      <c r="B908" s="44">
        <v>7</v>
      </c>
      <c r="C908" s="45" t="s">
        <v>1621</v>
      </c>
      <c r="D908" s="44" t="s">
        <v>4384</v>
      </c>
      <c r="E908" s="44" t="str">
        <f>VLOOKUP(Tabelle7[[#This Row],[EnumName]],Enum[[IFC-Name]:[Präfix]],5,FALSE)&amp;Tabelle7[[#This Row],[EnuRohValue]]</f>
        <v>actRE_COSTENGINEER</v>
      </c>
      <c r="F908" s="44">
        <f>COUNTIF(Tabelle7[EnuValue],Tabelle7[[#This Row],[EnuValue]])</f>
        <v>1</v>
      </c>
      <c r="G908" s="44" t="str">
        <f xml:space="preserve"> "  " &amp; Tabelle7[[#This Row],[EnuValue]] &amp; " = " &amp; Tabelle7[[#This Row],[Wert]]</f>
        <v xml:space="preserve">  actRE_COSTENGINEER = 7</v>
      </c>
      <c r="H908" s="44" t="str">
        <f>"  If Wert = " &amp; Tabelle7[[#This Row],[EnuValue]] &amp; " then Res = ""." &amp; Tabelle7[[#This Row],[EnuRohValue]] &amp; "."""</f>
        <v xml:space="preserve">  If Wert = actRE_COSTENGINEER then Res = ".COSTENGINEER."</v>
      </c>
      <c r="I908" s="44" t="str">
        <f>"  If wert = ""." &amp; Tabelle7[[#This Row],[EnuRohValue]] &amp; "."" Then Res = " &amp; Tabelle7[[#This Row],[EnuValue]]</f>
        <v xml:space="preserve">  If wert = ".COSTENGINEER." Then Res = actRE_COSTENGINEER</v>
      </c>
    </row>
    <row r="909" spans="2:9" x14ac:dyDescent="0.25">
      <c r="B909" s="44">
        <v>8</v>
      </c>
      <c r="C909" s="45" t="s">
        <v>1621</v>
      </c>
      <c r="D909" s="44" t="s">
        <v>4385</v>
      </c>
      <c r="E909" s="44" t="str">
        <f>VLOOKUP(Tabelle7[[#This Row],[EnumName]],Enum[[IFC-Name]:[Präfix]],5,FALSE)&amp;Tabelle7[[#This Row],[EnuRohValue]]</f>
        <v>actRE_CLIENT</v>
      </c>
      <c r="F909" s="44">
        <f>COUNTIF(Tabelle7[EnuValue],Tabelle7[[#This Row],[EnuValue]])</f>
        <v>1</v>
      </c>
      <c r="G909" s="44" t="str">
        <f xml:space="preserve"> "  " &amp; Tabelle7[[#This Row],[EnuValue]] &amp; " = " &amp; Tabelle7[[#This Row],[Wert]]</f>
        <v xml:space="preserve">  actRE_CLIENT = 8</v>
      </c>
      <c r="H909" s="44" t="str">
        <f>"  If Wert = " &amp; Tabelle7[[#This Row],[EnuValue]] &amp; " then Res = ""." &amp; Tabelle7[[#This Row],[EnuRohValue]] &amp; "."""</f>
        <v xml:space="preserve">  If Wert = actRE_CLIENT then Res = ".CLIENT."</v>
      </c>
      <c r="I909" s="44" t="str">
        <f>"  If wert = ""." &amp; Tabelle7[[#This Row],[EnuRohValue]] &amp; "."" Then Res = " &amp; Tabelle7[[#This Row],[EnuValue]]</f>
        <v xml:space="preserve">  If wert = ".CLIENT." Then Res = actRE_CLIENT</v>
      </c>
    </row>
    <row r="910" spans="2:9" x14ac:dyDescent="0.25">
      <c r="B910" s="44">
        <v>9</v>
      </c>
      <c r="C910" s="45" t="s">
        <v>1621</v>
      </c>
      <c r="D910" s="44" t="s">
        <v>4386</v>
      </c>
      <c r="E910" s="44" t="str">
        <f>VLOOKUP(Tabelle7[[#This Row],[EnumName]],Enum[[IFC-Name]:[Präfix]],5,FALSE)&amp;Tabelle7[[#This Row],[EnuRohValue]]</f>
        <v>actRE_BUILDINGOWNER</v>
      </c>
      <c r="F910" s="44">
        <f>COUNTIF(Tabelle7[EnuValue],Tabelle7[[#This Row],[EnuValue]])</f>
        <v>1</v>
      </c>
      <c r="G910" s="44" t="str">
        <f xml:space="preserve"> "  " &amp; Tabelle7[[#This Row],[EnuValue]] &amp; " = " &amp; Tabelle7[[#This Row],[Wert]]</f>
        <v xml:space="preserve">  actRE_BUILDINGOWNER = 9</v>
      </c>
      <c r="H910" s="44" t="str">
        <f>"  If Wert = " &amp; Tabelle7[[#This Row],[EnuValue]] &amp; " then Res = ""." &amp; Tabelle7[[#This Row],[EnuRohValue]] &amp; "."""</f>
        <v xml:space="preserve">  If Wert = actRE_BUILDINGOWNER then Res = ".BUILDINGOWNER."</v>
      </c>
      <c r="I910" s="44" t="str">
        <f>"  If wert = ""." &amp; Tabelle7[[#This Row],[EnuRohValue]] &amp; "."" Then Res = " &amp; Tabelle7[[#This Row],[EnuValue]]</f>
        <v xml:space="preserve">  If wert = ".BUILDINGOWNER." Then Res = actRE_BUILDINGOWNER</v>
      </c>
    </row>
    <row r="911" spans="2:9" x14ac:dyDescent="0.25">
      <c r="B911" s="44">
        <v>10</v>
      </c>
      <c r="C911" s="45" t="s">
        <v>1621</v>
      </c>
      <c r="D911" s="44" t="s">
        <v>4387</v>
      </c>
      <c r="E911" s="44" t="str">
        <f>VLOOKUP(Tabelle7[[#This Row],[EnumName]],Enum[[IFC-Name]:[Präfix]],5,FALSE)&amp;Tabelle7[[#This Row],[EnuRohValue]]</f>
        <v>actRE_BUILDINGOPERATOR</v>
      </c>
      <c r="F911" s="44">
        <f>COUNTIF(Tabelle7[EnuValue],Tabelle7[[#This Row],[EnuValue]])</f>
        <v>1</v>
      </c>
      <c r="G911" s="44" t="str">
        <f xml:space="preserve"> "  " &amp; Tabelle7[[#This Row],[EnuValue]] &amp; " = " &amp; Tabelle7[[#This Row],[Wert]]</f>
        <v xml:space="preserve">  actRE_BUILDINGOPERATOR = 10</v>
      </c>
      <c r="H911" s="44" t="str">
        <f>"  If Wert = " &amp; Tabelle7[[#This Row],[EnuValue]] &amp; " then Res = ""." &amp; Tabelle7[[#This Row],[EnuRohValue]] &amp; "."""</f>
        <v xml:space="preserve">  If Wert = actRE_BUILDINGOPERATOR then Res = ".BUILDINGOPERATOR."</v>
      </c>
      <c r="I911" s="44" t="str">
        <f>"  If wert = ""." &amp; Tabelle7[[#This Row],[EnuRohValue]] &amp; "."" Then Res = " &amp; Tabelle7[[#This Row],[EnuValue]]</f>
        <v xml:space="preserve">  If wert = ".BUILDINGOPERATOR." Then Res = actRE_BUILDINGOPERATOR</v>
      </c>
    </row>
    <row r="912" spans="2:9" x14ac:dyDescent="0.25">
      <c r="B912" s="44">
        <v>11</v>
      </c>
      <c r="C912" s="45" t="s">
        <v>1621</v>
      </c>
      <c r="D912" s="44" t="s">
        <v>4388</v>
      </c>
      <c r="E912" s="44" t="str">
        <f>VLOOKUP(Tabelle7[[#This Row],[EnumName]],Enum[[IFC-Name]:[Präfix]],5,FALSE)&amp;Tabelle7[[#This Row],[EnuRohValue]]</f>
        <v>actRE_MECHANICALENGINEER</v>
      </c>
      <c r="F912" s="44">
        <f>COUNTIF(Tabelle7[EnuValue],Tabelle7[[#This Row],[EnuValue]])</f>
        <v>1</v>
      </c>
      <c r="G912" s="44" t="str">
        <f xml:space="preserve"> "  " &amp; Tabelle7[[#This Row],[EnuValue]] &amp; " = " &amp; Tabelle7[[#This Row],[Wert]]</f>
        <v xml:space="preserve">  actRE_MECHANICALENGINEER = 11</v>
      </c>
      <c r="H912" s="44" t="str">
        <f>"  If Wert = " &amp; Tabelle7[[#This Row],[EnuValue]] &amp; " then Res = ""." &amp; Tabelle7[[#This Row],[EnuRohValue]] &amp; "."""</f>
        <v xml:space="preserve">  If Wert = actRE_MECHANICALENGINEER then Res = ".MECHANICALENGINEER."</v>
      </c>
      <c r="I912" s="44" t="str">
        <f>"  If wert = ""." &amp; Tabelle7[[#This Row],[EnuRohValue]] &amp; "."" Then Res = " &amp; Tabelle7[[#This Row],[EnuValue]]</f>
        <v xml:space="preserve">  If wert = ".MECHANICALENGINEER." Then Res = actRE_MECHANICALENGINEER</v>
      </c>
    </row>
    <row r="913" spans="2:9" x14ac:dyDescent="0.25">
      <c r="B913" s="44">
        <v>12</v>
      </c>
      <c r="C913" s="45" t="s">
        <v>1621</v>
      </c>
      <c r="D913" s="44" t="s">
        <v>4389</v>
      </c>
      <c r="E913" s="44" t="str">
        <f>VLOOKUP(Tabelle7[[#This Row],[EnumName]],Enum[[IFC-Name]:[Präfix]],5,FALSE)&amp;Tabelle7[[#This Row],[EnuRohValue]]</f>
        <v>actRE_ELECTRICALENGINEER</v>
      </c>
      <c r="F913" s="44">
        <f>COUNTIF(Tabelle7[EnuValue],Tabelle7[[#This Row],[EnuValue]])</f>
        <v>1</v>
      </c>
      <c r="G913" s="44" t="str">
        <f xml:space="preserve"> "  " &amp; Tabelle7[[#This Row],[EnuValue]] &amp; " = " &amp; Tabelle7[[#This Row],[Wert]]</f>
        <v xml:space="preserve">  actRE_ELECTRICALENGINEER = 12</v>
      </c>
      <c r="H913" s="44" t="str">
        <f>"  If Wert = " &amp; Tabelle7[[#This Row],[EnuValue]] &amp; " then Res = ""." &amp; Tabelle7[[#This Row],[EnuRohValue]] &amp; "."""</f>
        <v xml:space="preserve">  If Wert = actRE_ELECTRICALENGINEER then Res = ".ELECTRICALENGINEER."</v>
      </c>
      <c r="I913" s="44" t="str">
        <f>"  If wert = ""." &amp; Tabelle7[[#This Row],[EnuRohValue]] &amp; "."" Then Res = " &amp; Tabelle7[[#This Row],[EnuValue]]</f>
        <v xml:space="preserve">  If wert = ".ELECTRICALENGINEER." Then Res = actRE_ELECTRICALENGINEER</v>
      </c>
    </row>
    <row r="914" spans="2:9" x14ac:dyDescent="0.25">
      <c r="B914" s="44">
        <v>13</v>
      </c>
      <c r="C914" s="45" t="s">
        <v>1621</v>
      </c>
      <c r="D914" s="44" t="s">
        <v>4390</v>
      </c>
      <c r="E914" s="44" t="str">
        <f>VLOOKUP(Tabelle7[[#This Row],[EnumName]],Enum[[IFC-Name]:[Präfix]],5,FALSE)&amp;Tabelle7[[#This Row],[EnuRohValue]]</f>
        <v>actRE_PROJECTMANAGER</v>
      </c>
      <c r="F914" s="44">
        <f>COUNTIF(Tabelle7[EnuValue],Tabelle7[[#This Row],[EnuValue]])</f>
        <v>1</v>
      </c>
      <c r="G914" s="44" t="str">
        <f xml:space="preserve"> "  " &amp; Tabelle7[[#This Row],[EnuValue]] &amp; " = " &amp; Tabelle7[[#This Row],[Wert]]</f>
        <v xml:space="preserve">  actRE_PROJECTMANAGER = 13</v>
      </c>
      <c r="H914" s="44" t="str">
        <f>"  If Wert = " &amp; Tabelle7[[#This Row],[EnuValue]] &amp; " then Res = ""." &amp; Tabelle7[[#This Row],[EnuRohValue]] &amp; "."""</f>
        <v xml:space="preserve">  If Wert = actRE_PROJECTMANAGER then Res = ".PROJECTMANAGER."</v>
      </c>
      <c r="I914" s="44" t="str">
        <f>"  If wert = ""." &amp; Tabelle7[[#This Row],[EnuRohValue]] &amp; "."" Then Res = " &amp; Tabelle7[[#This Row],[EnuValue]]</f>
        <v xml:space="preserve">  If wert = ".PROJECTMANAGER." Then Res = actRE_PROJECTMANAGER</v>
      </c>
    </row>
    <row r="915" spans="2:9" x14ac:dyDescent="0.25">
      <c r="B915" s="44">
        <v>14</v>
      </c>
      <c r="C915" s="45" t="s">
        <v>1621</v>
      </c>
      <c r="D915" s="44" t="s">
        <v>4391</v>
      </c>
      <c r="E915" s="44" t="str">
        <f>VLOOKUP(Tabelle7[[#This Row],[EnumName]],Enum[[IFC-Name]:[Präfix]],5,FALSE)&amp;Tabelle7[[#This Row],[EnuRohValue]]</f>
        <v>actRE_FACILITIESMANAGER</v>
      </c>
      <c r="F915" s="44">
        <f>COUNTIF(Tabelle7[EnuValue],Tabelle7[[#This Row],[EnuValue]])</f>
        <v>1</v>
      </c>
      <c r="G915" s="44" t="str">
        <f xml:space="preserve"> "  " &amp; Tabelle7[[#This Row],[EnuValue]] &amp; " = " &amp; Tabelle7[[#This Row],[Wert]]</f>
        <v xml:space="preserve">  actRE_FACILITIESMANAGER = 14</v>
      </c>
      <c r="H915" s="44" t="str">
        <f>"  If Wert = " &amp; Tabelle7[[#This Row],[EnuValue]] &amp; " then Res = ""." &amp; Tabelle7[[#This Row],[EnuRohValue]] &amp; "."""</f>
        <v xml:space="preserve">  If Wert = actRE_FACILITIESMANAGER then Res = ".FACILITIESMANAGER."</v>
      </c>
      <c r="I915" s="44" t="str">
        <f>"  If wert = ""." &amp; Tabelle7[[#This Row],[EnuRohValue]] &amp; "."" Then Res = " &amp; Tabelle7[[#This Row],[EnuValue]]</f>
        <v xml:space="preserve">  If wert = ".FACILITIESMANAGER." Then Res = actRE_FACILITIESMANAGER</v>
      </c>
    </row>
    <row r="916" spans="2:9" x14ac:dyDescent="0.25">
      <c r="B916" s="44">
        <v>15</v>
      </c>
      <c r="C916" s="45" t="s">
        <v>1621</v>
      </c>
      <c r="D916" s="44" t="s">
        <v>4392</v>
      </c>
      <c r="E916" s="44" t="str">
        <f>VLOOKUP(Tabelle7[[#This Row],[EnumName]],Enum[[IFC-Name]:[Präfix]],5,FALSE)&amp;Tabelle7[[#This Row],[EnuRohValue]]</f>
        <v>actRE_CIVILENGINEER</v>
      </c>
      <c r="F916" s="44">
        <f>COUNTIF(Tabelle7[EnuValue],Tabelle7[[#This Row],[EnuValue]])</f>
        <v>1</v>
      </c>
      <c r="G916" s="44" t="str">
        <f xml:space="preserve"> "  " &amp; Tabelle7[[#This Row],[EnuValue]] &amp; " = " &amp; Tabelle7[[#This Row],[Wert]]</f>
        <v xml:space="preserve">  actRE_CIVILENGINEER = 15</v>
      </c>
      <c r="H916" s="44" t="str">
        <f>"  If Wert = " &amp; Tabelle7[[#This Row],[EnuValue]] &amp; " then Res = ""." &amp; Tabelle7[[#This Row],[EnuRohValue]] &amp; "."""</f>
        <v xml:space="preserve">  If Wert = actRE_CIVILENGINEER then Res = ".CIVILENGINEER."</v>
      </c>
      <c r="I916" s="44" t="str">
        <f>"  If wert = ""." &amp; Tabelle7[[#This Row],[EnuRohValue]] &amp; "."" Then Res = " &amp; Tabelle7[[#This Row],[EnuValue]]</f>
        <v xml:space="preserve">  If wert = ".CIVILENGINEER." Then Res = actRE_CIVILENGINEER</v>
      </c>
    </row>
    <row r="917" spans="2:9" x14ac:dyDescent="0.25">
      <c r="B917" s="44">
        <v>16</v>
      </c>
      <c r="C917" s="45" t="s">
        <v>1621</v>
      </c>
      <c r="D917" s="44" t="s">
        <v>4393</v>
      </c>
      <c r="E917" s="44" t="str">
        <f>VLOOKUP(Tabelle7[[#This Row],[EnumName]],Enum[[IFC-Name]:[Präfix]],5,FALSE)&amp;Tabelle7[[#This Row],[EnuRohValue]]</f>
        <v>actRE_COMISSIONINGENGINEER</v>
      </c>
      <c r="F917" s="44">
        <f>COUNTIF(Tabelle7[EnuValue],Tabelle7[[#This Row],[EnuValue]])</f>
        <v>1</v>
      </c>
      <c r="G917" s="44" t="str">
        <f xml:space="preserve"> "  " &amp; Tabelle7[[#This Row],[EnuValue]] &amp; " = " &amp; Tabelle7[[#This Row],[Wert]]</f>
        <v xml:space="preserve">  actRE_COMISSIONINGENGINEER = 16</v>
      </c>
      <c r="H917" s="44" t="str">
        <f>"  If Wert = " &amp; Tabelle7[[#This Row],[EnuValue]] &amp; " then Res = ""." &amp; Tabelle7[[#This Row],[EnuRohValue]] &amp; "."""</f>
        <v xml:space="preserve">  If Wert = actRE_COMISSIONINGENGINEER then Res = ".COMISSIONINGENGINEER."</v>
      </c>
      <c r="I917" s="44" t="str">
        <f>"  If wert = ""." &amp; Tabelle7[[#This Row],[EnuRohValue]] &amp; "."" Then Res = " &amp; Tabelle7[[#This Row],[EnuValue]]</f>
        <v xml:space="preserve">  If wert = ".COMISSIONINGENGINEER." Then Res = actRE_COMISSIONINGENGINEER</v>
      </c>
    </row>
    <row r="918" spans="2:9" x14ac:dyDescent="0.25">
      <c r="B918" s="44">
        <v>17</v>
      </c>
      <c r="C918" s="45" t="s">
        <v>1621</v>
      </c>
      <c r="D918" s="44" t="s">
        <v>4394</v>
      </c>
      <c r="E918" s="44" t="str">
        <f>VLOOKUP(Tabelle7[[#This Row],[EnumName]],Enum[[IFC-Name]:[Präfix]],5,FALSE)&amp;Tabelle7[[#This Row],[EnuRohValue]]</f>
        <v>actRE_ENGINEER</v>
      </c>
      <c r="F918" s="44">
        <f>COUNTIF(Tabelle7[EnuValue],Tabelle7[[#This Row],[EnuValue]])</f>
        <v>1</v>
      </c>
      <c r="G918" s="44" t="str">
        <f xml:space="preserve"> "  " &amp; Tabelle7[[#This Row],[EnuValue]] &amp; " = " &amp; Tabelle7[[#This Row],[Wert]]</f>
        <v xml:space="preserve">  actRE_ENGINEER = 17</v>
      </c>
      <c r="H918" s="44" t="str">
        <f>"  If Wert = " &amp; Tabelle7[[#This Row],[EnuValue]] &amp; " then Res = ""." &amp; Tabelle7[[#This Row],[EnuRohValue]] &amp; "."""</f>
        <v xml:space="preserve">  If Wert = actRE_ENGINEER then Res = ".ENGINEER."</v>
      </c>
      <c r="I918" s="44" t="str">
        <f>"  If wert = ""." &amp; Tabelle7[[#This Row],[EnuRohValue]] &amp; "."" Then Res = " &amp; Tabelle7[[#This Row],[EnuValue]]</f>
        <v xml:space="preserve">  If wert = ".ENGINEER." Then Res = actRE_ENGINEER</v>
      </c>
    </row>
    <row r="919" spans="2:9" x14ac:dyDescent="0.25">
      <c r="B919" s="44">
        <v>18</v>
      </c>
      <c r="C919" s="45" t="s">
        <v>1621</v>
      </c>
      <c r="D919" s="44" t="s">
        <v>4284</v>
      </c>
      <c r="E919" s="44" t="str">
        <f>VLOOKUP(Tabelle7[[#This Row],[EnumName]],Enum[[IFC-Name]:[Präfix]],5,FALSE)&amp;Tabelle7[[#This Row],[EnuRohValue]]</f>
        <v>actRE_OWNER</v>
      </c>
      <c r="F919" s="44">
        <f>COUNTIF(Tabelle7[EnuValue],Tabelle7[[#This Row],[EnuValue]])</f>
        <v>1</v>
      </c>
      <c r="G919" s="44" t="str">
        <f xml:space="preserve"> "  " &amp; Tabelle7[[#This Row],[EnuValue]] &amp; " = " &amp; Tabelle7[[#This Row],[Wert]]</f>
        <v xml:space="preserve">  actRE_OWNER = 18</v>
      </c>
      <c r="H919" s="44" t="str">
        <f>"  If Wert = " &amp; Tabelle7[[#This Row],[EnuValue]] &amp; " then Res = ""." &amp; Tabelle7[[#This Row],[EnuRohValue]] &amp; "."""</f>
        <v xml:space="preserve">  If Wert = actRE_OWNER then Res = ".OWNER."</v>
      </c>
      <c r="I919" s="44" t="str">
        <f>"  If wert = ""." &amp; Tabelle7[[#This Row],[EnuRohValue]] &amp; "."" Then Res = " &amp; Tabelle7[[#This Row],[EnuValue]]</f>
        <v xml:space="preserve">  If wert = ".OWNER." Then Res = actRE_OWNER</v>
      </c>
    </row>
    <row r="920" spans="2:9" x14ac:dyDescent="0.25">
      <c r="B920" s="44">
        <v>19</v>
      </c>
      <c r="C920" s="45" t="s">
        <v>1621</v>
      </c>
      <c r="D920" s="44" t="s">
        <v>4395</v>
      </c>
      <c r="E920" s="44" t="str">
        <f>VLOOKUP(Tabelle7[[#This Row],[EnumName]],Enum[[IFC-Name]:[Präfix]],5,FALSE)&amp;Tabelle7[[#This Row],[EnuRohValue]]</f>
        <v>actRE_CONSULTANT</v>
      </c>
      <c r="F920" s="44">
        <f>COUNTIF(Tabelle7[EnuValue],Tabelle7[[#This Row],[EnuValue]])</f>
        <v>1</v>
      </c>
      <c r="G920" s="44" t="str">
        <f xml:space="preserve"> "  " &amp; Tabelle7[[#This Row],[EnuValue]] &amp; " = " &amp; Tabelle7[[#This Row],[Wert]]</f>
        <v xml:space="preserve">  actRE_CONSULTANT = 19</v>
      </c>
      <c r="H920" s="44" t="str">
        <f>"  If Wert = " &amp; Tabelle7[[#This Row],[EnuValue]] &amp; " then Res = ""." &amp; Tabelle7[[#This Row],[EnuRohValue]] &amp; "."""</f>
        <v xml:space="preserve">  If Wert = actRE_CONSULTANT then Res = ".CONSULTANT."</v>
      </c>
      <c r="I920" s="44" t="str">
        <f>"  If wert = ""." &amp; Tabelle7[[#This Row],[EnuRohValue]] &amp; "."" Then Res = " &amp; Tabelle7[[#This Row],[EnuValue]]</f>
        <v xml:space="preserve">  If wert = ".CONSULTANT." Then Res = actRE_CONSULTANT</v>
      </c>
    </row>
    <row r="921" spans="2:9" x14ac:dyDescent="0.25">
      <c r="B921" s="44">
        <v>20</v>
      </c>
      <c r="C921" s="45" t="s">
        <v>1621</v>
      </c>
      <c r="D921" s="44" t="s">
        <v>4396</v>
      </c>
      <c r="E921" s="44" t="str">
        <f>VLOOKUP(Tabelle7[[#This Row],[EnumName]],Enum[[IFC-Name]:[Präfix]],5,FALSE)&amp;Tabelle7[[#This Row],[EnuRohValue]]</f>
        <v>actRE_CONSTRUCTIONMANAGER</v>
      </c>
      <c r="F921" s="44">
        <f>COUNTIF(Tabelle7[EnuValue],Tabelle7[[#This Row],[EnuValue]])</f>
        <v>1</v>
      </c>
      <c r="G921" s="44" t="str">
        <f xml:space="preserve"> "  " &amp; Tabelle7[[#This Row],[EnuValue]] &amp; " = " &amp; Tabelle7[[#This Row],[Wert]]</f>
        <v xml:space="preserve">  actRE_CONSTRUCTIONMANAGER = 20</v>
      </c>
      <c r="H921" s="44" t="str">
        <f>"  If Wert = " &amp; Tabelle7[[#This Row],[EnuValue]] &amp; " then Res = ""." &amp; Tabelle7[[#This Row],[EnuRohValue]] &amp; "."""</f>
        <v xml:space="preserve">  If Wert = actRE_CONSTRUCTIONMANAGER then Res = ".CONSTRUCTIONMANAGER."</v>
      </c>
      <c r="I921" s="44" t="str">
        <f>"  If wert = ""." &amp; Tabelle7[[#This Row],[EnuRohValue]] &amp; "."" Then Res = " &amp; Tabelle7[[#This Row],[EnuValue]]</f>
        <v xml:space="preserve">  If wert = ".CONSTRUCTIONMANAGER." Then Res = actRE_CONSTRUCTIONMANAGER</v>
      </c>
    </row>
    <row r="922" spans="2:9" x14ac:dyDescent="0.25">
      <c r="B922" s="44">
        <v>21</v>
      </c>
      <c r="C922" s="45" t="s">
        <v>1621</v>
      </c>
      <c r="D922" s="44" t="s">
        <v>4397</v>
      </c>
      <c r="E922" s="44" t="str">
        <f>VLOOKUP(Tabelle7[[#This Row],[EnumName]],Enum[[IFC-Name]:[Präfix]],5,FALSE)&amp;Tabelle7[[#This Row],[EnuRohValue]]</f>
        <v>actRE_FIELDCONSTRUCTIONMANAGER</v>
      </c>
      <c r="F922" s="44">
        <f>COUNTIF(Tabelle7[EnuValue],Tabelle7[[#This Row],[EnuValue]])</f>
        <v>1</v>
      </c>
      <c r="G922" s="44" t="str">
        <f xml:space="preserve"> "  " &amp; Tabelle7[[#This Row],[EnuValue]] &amp; " = " &amp; Tabelle7[[#This Row],[Wert]]</f>
        <v xml:space="preserve">  actRE_FIELDCONSTRUCTIONMANAGER = 21</v>
      </c>
      <c r="H922" s="44" t="str">
        <f>"  If Wert = " &amp; Tabelle7[[#This Row],[EnuValue]] &amp; " then Res = ""." &amp; Tabelle7[[#This Row],[EnuRohValue]] &amp; "."""</f>
        <v xml:space="preserve">  If Wert = actRE_FIELDCONSTRUCTIONMANAGER then Res = ".FIELDCONSTRUCTIONMANAGER."</v>
      </c>
      <c r="I922" s="44" t="str">
        <f>"  If wert = ""." &amp; Tabelle7[[#This Row],[EnuRohValue]] &amp; "."" Then Res = " &amp; Tabelle7[[#This Row],[EnuValue]]</f>
        <v xml:space="preserve">  If wert = ".FIELDCONSTRUCTIONMANAGER." Then Res = actRE_FIELDCONSTRUCTIONMANAGER</v>
      </c>
    </row>
    <row r="923" spans="2:9" x14ac:dyDescent="0.25">
      <c r="B923" s="44">
        <v>22</v>
      </c>
      <c r="C923" s="45" t="s">
        <v>1621</v>
      </c>
      <c r="D923" s="44" t="s">
        <v>4398</v>
      </c>
      <c r="E923" s="44" t="str">
        <f>VLOOKUP(Tabelle7[[#This Row],[EnumName]],Enum[[IFC-Name]:[Präfix]],5,FALSE)&amp;Tabelle7[[#This Row],[EnuRohValue]]</f>
        <v>actRE_RESELLER</v>
      </c>
      <c r="F923" s="44">
        <f>COUNTIF(Tabelle7[EnuValue],Tabelle7[[#This Row],[EnuValue]])</f>
        <v>1</v>
      </c>
      <c r="G923" s="44" t="str">
        <f xml:space="preserve"> "  " &amp; Tabelle7[[#This Row],[EnuValue]] &amp; " = " &amp; Tabelle7[[#This Row],[Wert]]</f>
        <v xml:space="preserve">  actRE_RESELLER = 22</v>
      </c>
      <c r="H923" s="44" t="str">
        <f>"  If Wert = " &amp; Tabelle7[[#This Row],[EnuValue]] &amp; " then Res = ""." &amp; Tabelle7[[#This Row],[EnuRohValue]] &amp; "."""</f>
        <v xml:space="preserve">  If Wert = actRE_RESELLER then Res = ".RESELLER."</v>
      </c>
      <c r="I923" s="44" t="str">
        <f>"  If wert = ""." &amp; Tabelle7[[#This Row],[EnuRohValue]] &amp; "."" Then Res = " &amp; Tabelle7[[#This Row],[EnuValue]]</f>
        <v xml:space="preserve">  If wert = ".RESELLER." Then Res = actRE_RESELLER</v>
      </c>
    </row>
    <row r="924" spans="2:9" x14ac:dyDescent="0.25">
      <c r="B924" s="44">
        <v>23</v>
      </c>
      <c r="C924" s="45" t="s">
        <v>1621</v>
      </c>
      <c r="D924" s="44" t="s">
        <v>3682</v>
      </c>
      <c r="E924" s="44" t="str">
        <f>VLOOKUP(Tabelle7[[#This Row],[EnumName]],Enum[[IFC-Name]:[Präfix]],5,FALSE)&amp;Tabelle7[[#This Row],[EnuRohValue]]</f>
        <v>actRE_USERDEFINED</v>
      </c>
      <c r="F924" s="44">
        <f>COUNTIF(Tabelle7[EnuValue],Tabelle7[[#This Row],[EnuValue]])</f>
        <v>1</v>
      </c>
      <c r="G924" s="44" t="str">
        <f xml:space="preserve"> "  " &amp; Tabelle7[[#This Row],[EnuValue]] &amp; " = " &amp; Tabelle7[[#This Row],[Wert]]</f>
        <v xml:space="preserve">  actRE_USERDEFINED = 23</v>
      </c>
      <c r="H924" s="44" t="str">
        <f>"  If Wert = " &amp; Tabelle7[[#This Row],[EnuValue]] &amp; " then Res = ""." &amp; Tabelle7[[#This Row],[EnuRohValue]] &amp; "."""</f>
        <v xml:space="preserve">  If Wert = actRE_USERDEFINED then Res = ".USERDEFINED."</v>
      </c>
      <c r="I924" s="44" t="str">
        <f>"  If wert = ""." &amp; Tabelle7[[#This Row],[EnuRohValue]] &amp; "."" Then Res = " &amp; Tabelle7[[#This Row],[EnuValue]]</f>
        <v xml:space="preserve">  If wert = ".USERDEFINED." Then Res = actRE_USERDEFINED</v>
      </c>
    </row>
    <row r="925" spans="2:9" x14ac:dyDescent="0.25">
      <c r="B925" s="44">
        <v>1</v>
      </c>
      <c r="C925" s="45" t="s">
        <v>1622</v>
      </c>
      <c r="D925" s="44" t="s">
        <v>4399</v>
      </c>
      <c r="E925" s="44" t="str">
        <f>VLOOKUP(Tabelle7[[#This Row],[EnumName]],Enum[[IFC-Name]:[Präfix]],5,FALSE)&amp;Tabelle7[[#This Row],[EnuRohValue]]</f>
        <v>sbeRT_FLAT_ROOF</v>
      </c>
      <c r="F925" s="44">
        <f>COUNTIF(Tabelle7[EnuValue],Tabelle7[[#This Row],[EnuValue]])</f>
        <v>1</v>
      </c>
      <c r="G925" s="44" t="str">
        <f xml:space="preserve"> "  " &amp; Tabelle7[[#This Row],[EnuValue]] &amp; " = " &amp; Tabelle7[[#This Row],[Wert]]</f>
        <v xml:space="preserve">  sbeRT_FLAT_ROOF = 1</v>
      </c>
      <c r="H925" s="44" t="str">
        <f>"  If Wert = " &amp; Tabelle7[[#This Row],[EnuValue]] &amp; " then Res = ""." &amp; Tabelle7[[#This Row],[EnuRohValue]] &amp; "."""</f>
        <v xml:space="preserve">  If Wert = sbeRT_FLAT_ROOF then Res = ".FLAT_ROOF."</v>
      </c>
      <c r="I925" s="44" t="str">
        <f>"  If wert = ""." &amp; Tabelle7[[#This Row],[EnuRohValue]] &amp; "."" Then Res = " &amp; Tabelle7[[#This Row],[EnuValue]]</f>
        <v xml:space="preserve">  If wert = ".FLAT_ROOF." Then Res = sbeRT_FLAT_ROOF</v>
      </c>
    </row>
    <row r="926" spans="2:9" x14ac:dyDescent="0.25">
      <c r="B926" s="44">
        <v>2</v>
      </c>
      <c r="C926" s="45" t="s">
        <v>1622</v>
      </c>
      <c r="D926" s="44" t="s">
        <v>4400</v>
      </c>
      <c r="E926" s="44" t="str">
        <f>VLOOKUP(Tabelle7[[#This Row],[EnumName]],Enum[[IFC-Name]:[Präfix]],5,FALSE)&amp;Tabelle7[[#This Row],[EnuRohValue]]</f>
        <v>sbeRT_SHED_ROOF</v>
      </c>
      <c r="F926" s="44">
        <f>COUNTIF(Tabelle7[EnuValue],Tabelle7[[#This Row],[EnuValue]])</f>
        <v>1</v>
      </c>
      <c r="G926" s="44" t="str">
        <f xml:space="preserve"> "  " &amp; Tabelle7[[#This Row],[EnuValue]] &amp; " = " &amp; Tabelle7[[#This Row],[Wert]]</f>
        <v xml:space="preserve">  sbeRT_SHED_ROOF = 2</v>
      </c>
      <c r="H926" s="44" t="str">
        <f>"  If Wert = " &amp; Tabelle7[[#This Row],[EnuValue]] &amp; " then Res = ""." &amp; Tabelle7[[#This Row],[EnuRohValue]] &amp; "."""</f>
        <v xml:space="preserve">  If Wert = sbeRT_SHED_ROOF then Res = ".SHED_ROOF."</v>
      </c>
      <c r="I926" s="44" t="str">
        <f>"  If wert = ""." &amp; Tabelle7[[#This Row],[EnuRohValue]] &amp; "."" Then Res = " &amp; Tabelle7[[#This Row],[EnuValue]]</f>
        <v xml:space="preserve">  If wert = ".SHED_ROOF." Then Res = sbeRT_SHED_ROOF</v>
      </c>
    </row>
    <row r="927" spans="2:9" x14ac:dyDescent="0.25">
      <c r="B927" s="44">
        <v>3</v>
      </c>
      <c r="C927" s="45" t="s">
        <v>1622</v>
      </c>
      <c r="D927" s="44" t="s">
        <v>4401</v>
      </c>
      <c r="E927" s="44" t="str">
        <f>VLOOKUP(Tabelle7[[#This Row],[EnumName]],Enum[[IFC-Name]:[Präfix]],5,FALSE)&amp;Tabelle7[[#This Row],[EnuRohValue]]</f>
        <v>sbeRT_GABLE_ROOF</v>
      </c>
      <c r="F927" s="44">
        <f>COUNTIF(Tabelle7[EnuValue],Tabelle7[[#This Row],[EnuValue]])</f>
        <v>1</v>
      </c>
      <c r="G927" s="44" t="str">
        <f xml:space="preserve"> "  " &amp; Tabelle7[[#This Row],[EnuValue]] &amp; " = " &amp; Tabelle7[[#This Row],[Wert]]</f>
        <v xml:space="preserve">  sbeRT_GABLE_ROOF = 3</v>
      </c>
      <c r="H927" s="44" t="str">
        <f>"  If Wert = " &amp; Tabelle7[[#This Row],[EnuValue]] &amp; " then Res = ""." &amp; Tabelle7[[#This Row],[EnuRohValue]] &amp; "."""</f>
        <v xml:space="preserve">  If Wert = sbeRT_GABLE_ROOF then Res = ".GABLE_ROOF."</v>
      </c>
      <c r="I927" s="44" t="str">
        <f>"  If wert = ""." &amp; Tabelle7[[#This Row],[EnuRohValue]] &amp; "."" Then Res = " &amp; Tabelle7[[#This Row],[EnuValue]]</f>
        <v xml:space="preserve">  If wert = ".GABLE_ROOF." Then Res = sbeRT_GABLE_ROOF</v>
      </c>
    </row>
    <row r="928" spans="2:9" x14ac:dyDescent="0.25">
      <c r="B928" s="44">
        <v>4</v>
      </c>
      <c r="C928" s="45" t="s">
        <v>1622</v>
      </c>
      <c r="D928" s="44" t="s">
        <v>4402</v>
      </c>
      <c r="E928" s="44" t="str">
        <f>VLOOKUP(Tabelle7[[#This Row],[EnumName]],Enum[[IFC-Name]:[Präfix]],5,FALSE)&amp;Tabelle7[[#This Row],[EnuRohValue]]</f>
        <v>sbeRT_HIP_ROOF</v>
      </c>
      <c r="F928" s="44">
        <f>COUNTIF(Tabelle7[EnuValue],Tabelle7[[#This Row],[EnuValue]])</f>
        <v>1</v>
      </c>
      <c r="G928" s="44" t="str">
        <f xml:space="preserve"> "  " &amp; Tabelle7[[#This Row],[EnuValue]] &amp; " = " &amp; Tabelle7[[#This Row],[Wert]]</f>
        <v xml:space="preserve">  sbeRT_HIP_ROOF = 4</v>
      </c>
      <c r="H928" s="44" t="str">
        <f>"  If Wert = " &amp; Tabelle7[[#This Row],[EnuValue]] &amp; " then Res = ""." &amp; Tabelle7[[#This Row],[EnuRohValue]] &amp; "."""</f>
        <v xml:space="preserve">  If Wert = sbeRT_HIP_ROOF then Res = ".HIP_ROOF."</v>
      </c>
      <c r="I928" s="44" t="str">
        <f>"  If wert = ""." &amp; Tabelle7[[#This Row],[EnuRohValue]] &amp; "."" Then Res = " &amp; Tabelle7[[#This Row],[EnuValue]]</f>
        <v xml:space="preserve">  If wert = ".HIP_ROOF." Then Res = sbeRT_HIP_ROOF</v>
      </c>
    </row>
    <row r="929" spans="2:9" x14ac:dyDescent="0.25">
      <c r="B929" s="44">
        <v>5</v>
      </c>
      <c r="C929" s="45" t="s">
        <v>1622</v>
      </c>
      <c r="D929" s="44" t="s">
        <v>4403</v>
      </c>
      <c r="E929" s="44" t="str">
        <f>VLOOKUP(Tabelle7[[#This Row],[EnumName]],Enum[[IFC-Name]:[Präfix]],5,FALSE)&amp;Tabelle7[[#This Row],[EnuRohValue]]</f>
        <v>sbeRT_HIPPED_GABLE_ROOF</v>
      </c>
      <c r="F929" s="44">
        <f>COUNTIF(Tabelle7[EnuValue],Tabelle7[[#This Row],[EnuValue]])</f>
        <v>1</v>
      </c>
      <c r="G929" s="44" t="str">
        <f xml:space="preserve"> "  " &amp; Tabelle7[[#This Row],[EnuValue]] &amp; " = " &amp; Tabelle7[[#This Row],[Wert]]</f>
        <v xml:space="preserve">  sbeRT_HIPPED_GABLE_ROOF = 5</v>
      </c>
      <c r="H929" s="44" t="str">
        <f>"  If Wert = " &amp; Tabelle7[[#This Row],[EnuValue]] &amp; " then Res = ""." &amp; Tabelle7[[#This Row],[EnuRohValue]] &amp; "."""</f>
        <v xml:space="preserve">  If Wert = sbeRT_HIPPED_GABLE_ROOF then Res = ".HIPPED_GABLE_ROOF."</v>
      </c>
      <c r="I929" s="44" t="str">
        <f>"  If wert = ""." &amp; Tabelle7[[#This Row],[EnuRohValue]] &amp; "."" Then Res = " &amp; Tabelle7[[#This Row],[EnuValue]]</f>
        <v xml:space="preserve">  If wert = ".HIPPED_GABLE_ROOF." Then Res = sbeRT_HIPPED_GABLE_ROOF</v>
      </c>
    </row>
    <row r="930" spans="2:9" x14ac:dyDescent="0.25">
      <c r="B930" s="44">
        <v>6</v>
      </c>
      <c r="C930" s="45" t="s">
        <v>1622</v>
      </c>
      <c r="D930" s="44" t="s">
        <v>4404</v>
      </c>
      <c r="E930" s="44" t="str">
        <f>VLOOKUP(Tabelle7[[#This Row],[EnumName]],Enum[[IFC-Name]:[Präfix]],5,FALSE)&amp;Tabelle7[[#This Row],[EnuRohValue]]</f>
        <v>sbeRT_GAMBREL_ROOF</v>
      </c>
      <c r="F930" s="44">
        <f>COUNTIF(Tabelle7[EnuValue],Tabelle7[[#This Row],[EnuValue]])</f>
        <v>1</v>
      </c>
      <c r="G930" s="44" t="str">
        <f xml:space="preserve"> "  " &amp; Tabelle7[[#This Row],[EnuValue]] &amp; " = " &amp; Tabelle7[[#This Row],[Wert]]</f>
        <v xml:space="preserve">  sbeRT_GAMBREL_ROOF = 6</v>
      </c>
      <c r="H930" s="44" t="str">
        <f>"  If Wert = " &amp; Tabelle7[[#This Row],[EnuValue]] &amp; " then Res = ""." &amp; Tabelle7[[#This Row],[EnuRohValue]] &amp; "."""</f>
        <v xml:space="preserve">  If Wert = sbeRT_GAMBREL_ROOF then Res = ".GAMBREL_ROOF."</v>
      </c>
      <c r="I930" s="44" t="str">
        <f>"  If wert = ""." &amp; Tabelle7[[#This Row],[EnuRohValue]] &amp; "."" Then Res = " &amp; Tabelle7[[#This Row],[EnuValue]]</f>
        <v xml:space="preserve">  If wert = ".GAMBREL_ROOF." Then Res = sbeRT_GAMBREL_ROOF</v>
      </c>
    </row>
    <row r="931" spans="2:9" x14ac:dyDescent="0.25">
      <c r="B931" s="44">
        <v>7</v>
      </c>
      <c r="C931" s="45" t="s">
        <v>1622</v>
      </c>
      <c r="D931" s="44" t="s">
        <v>4405</v>
      </c>
      <c r="E931" s="44" t="str">
        <f>VLOOKUP(Tabelle7[[#This Row],[EnumName]],Enum[[IFC-Name]:[Präfix]],5,FALSE)&amp;Tabelle7[[#This Row],[EnuRohValue]]</f>
        <v>sbeRT_MANSARD_ROOF</v>
      </c>
      <c r="F931" s="44">
        <f>COUNTIF(Tabelle7[EnuValue],Tabelle7[[#This Row],[EnuValue]])</f>
        <v>1</v>
      </c>
      <c r="G931" s="44" t="str">
        <f xml:space="preserve"> "  " &amp; Tabelle7[[#This Row],[EnuValue]] &amp; " = " &amp; Tabelle7[[#This Row],[Wert]]</f>
        <v xml:space="preserve">  sbeRT_MANSARD_ROOF = 7</v>
      </c>
      <c r="H931" s="44" t="str">
        <f>"  If Wert = " &amp; Tabelle7[[#This Row],[EnuValue]] &amp; " then Res = ""." &amp; Tabelle7[[#This Row],[EnuRohValue]] &amp; "."""</f>
        <v xml:space="preserve">  If Wert = sbeRT_MANSARD_ROOF then Res = ".MANSARD_ROOF."</v>
      </c>
      <c r="I931" s="44" t="str">
        <f>"  If wert = ""." &amp; Tabelle7[[#This Row],[EnuRohValue]] &amp; "."" Then Res = " &amp; Tabelle7[[#This Row],[EnuValue]]</f>
        <v xml:space="preserve">  If wert = ".MANSARD_ROOF." Then Res = sbeRT_MANSARD_ROOF</v>
      </c>
    </row>
    <row r="932" spans="2:9" x14ac:dyDescent="0.25">
      <c r="B932" s="44">
        <v>8</v>
      </c>
      <c r="C932" s="45" t="s">
        <v>1622</v>
      </c>
      <c r="D932" s="44" t="s">
        <v>4406</v>
      </c>
      <c r="E932" s="44" t="str">
        <f>VLOOKUP(Tabelle7[[#This Row],[EnumName]],Enum[[IFC-Name]:[Präfix]],5,FALSE)&amp;Tabelle7[[#This Row],[EnuRohValue]]</f>
        <v>sbeRT_BARREL_ROOF</v>
      </c>
      <c r="F932" s="44">
        <f>COUNTIF(Tabelle7[EnuValue],Tabelle7[[#This Row],[EnuValue]])</f>
        <v>1</v>
      </c>
      <c r="G932" s="44" t="str">
        <f xml:space="preserve"> "  " &amp; Tabelle7[[#This Row],[EnuValue]] &amp; " = " &amp; Tabelle7[[#This Row],[Wert]]</f>
        <v xml:space="preserve">  sbeRT_BARREL_ROOF = 8</v>
      </c>
      <c r="H932" s="44" t="str">
        <f>"  If Wert = " &amp; Tabelle7[[#This Row],[EnuValue]] &amp; " then Res = ""." &amp; Tabelle7[[#This Row],[EnuRohValue]] &amp; "."""</f>
        <v xml:space="preserve">  If Wert = sbeRT_BARREL_ROOF then Res = ".BARREL_ROOF."</v>
      </c>
      <c r="I932" s="44" t="str">
        <f>"  If wert = ""." &amp; Tabelle7[[#This Row],[EnuRohValue]] &amp; "."" Then Res = " &amp; Tabelle7[[#This Row],[EnuValue]]</f>
        <v xml:space="preserve">  If wert = ".BARREL_ROOF." Then Res = sbeRT_BARREL_ROOF</v>
      </c>
    </row>
    <row r="933" spans="2:9" x14ac:dyDescent="0.25">
      <c r="B933" s="44">
        <v>9</v>
      </c>
      <c r="C933" s="45" t="s">
        <v>1622</v>
      </c>
      <c r="D933" s="44" t="s">
        <v>4407</v>
      </c>
      <c r="E933" s="44" t="str">
        <f>VLOOKUP(Tabelle7[[#This Row],[EnumName]],Enum[[IFC-Name]:[Präfix]],5,FALSE)&amp;Tabelle7[[#This Row],[EnuRohValue]]</f>
        <v>sbeRT_RAINBOW_ROOF</v>
      </c>
      <c r="F933" s="44">
        <f>COUNTIF(Tabelle7[EnuValue],Tabelle7[[#This Row],[EnuValue]])</f>
        <v>1</v>
      </c>
      <c r="G933" s="44" t="str">
        <f xml:space="preserve"> "  " &amp; Tabelle7[[#This Row],[EnuValue]] &amp; " = " &amp; Tabelle7[[#This Row],[Wert]]</f>
        <v xml:space="preserve">  sbeRT_RAINBOW_ROOF = 9</v>
      </c>
      <c r="H933" s="44" t="str">
        <f>"  If Wert = " &amp; Tabelle7[[#This Row],[EnuValue]] &amp; " then Res = ""." &amp; Tabelle7[[#This Row],[EnuRohValue]] &amp; "."""</f>
        <v xml:space="preserve">  If Wert = sbeRT_RAINBOW_ROOF then Res = ".RAINBOW_ROOF."</v>
      </c>
      <c r="I933" s="44" t="str">
        <f>"  If wert = ""." &amp; Tabelle7[[#This Row],[EnuRohValue]] &amp; "."" Then Res = " &amp; Tabelle7[[#This Row],[EnuValue]]</f>
        <v xml:space="preserve">  If wert = ".RAINBOW_ROOF." Then Res = sbeRT_RAINBOW_ROOF</v>
      </c>
    </row>
    <row r="934" spans="2:9" x14ac:dyDescent="0.25">
      <c r="B934" s="44">
        <v>10</v>
      </c>
      <c r="C934" s="45" t="s">
        <v>1622</v>
      </c>
      <c r="D934" s="44" t="s">
        <v>4408</v>
      </c>
      <c r="E934" s="44" t="str">
        <f>VLOOKUP(Tabelle7[[#This Row],[EnumName]],Enum[[IFC-Name]:[Präfix]],5,FALSE)&amp;Tabelle7[[#This Row],[EnuRohValue]]</f>
        <v>sbeRT_BUTTERFLY_ROOF</v>
      </c>
      <c r="F934" s="44">
        <f>COUNTIF(Tabelle7[EnuValue],Tabelle7[[#This Row],[EnuValue]])</f>
        <v>1</v>
      </c>
      <c r="G934" s="44" t="str">
        <f xml:space="preserve"> "  " &amp; Tabelle7[[#This Row],[EnuValue]] &amp; " = " &amp; Tabelle7[[#This Row],[Wert]]</f>
        <v xml:space="preserve">  sbeRT_BUTTERFLY_ROOF = 10</v>
      </c>
      <c r="H934" s="44" t="str">
        <f>"  If Wert = " &amp; Tabelle7[[#This Row],[EnuValue]] &amp; " then Res = ""." &amp; Tabelle7[[#This Row],[EnuRohValue]] &amp; "."""</f>
        <v xml:space="preserve">  If Wert = sbeRT_BUTTERFLY_ROOF then Res = ".BUTTERFLY_ROOF."</v>
      </c>
      <c r="I934" s="44" t="str">
        <f>"  If wert = ""." &amp; Tabelle7[[#This Row],[EnuRohValue]] &amp; "."" Then Res = " &amp; Tabelle7[[#This Row],[EnuValue]]</f>
        <v xml:space="preserve">  If wert = ".BUTTERFLY_ROOF." Then Res = sbeRT_BUTTERFLY_ROOF</v>
      </c>
    </row>
    <row r="935" spans="2:9" x14ac:dyDescent="0.25">
      <c r="B935" s="44">
        <v>11</v>
      </c>
      <c r="C935" s="45" t="s">
        <v>1622</v>
      </c>
      <c r="D935" s="44" t="s">
        <v>4409</v>
      </c>
      <c r="E935" s="44" t="str">
        <f>VLOOKUP(Tabelle7[[#This Row],[EnumName]],Enum[[IFC-Name]:[Präfix]],5,FALSE)&amp;Tabelle7[[#This Row],[EnuRohValue]]</f>
        <v>sbeRT_PAVILION_ROOF</v>
      </c>
      <c r="F935" s="44">
        <f>COUNTIF(Tabelle7[EnuValue],Tabelle7[[#This Row],[EnuValue]])</f>
        <v>1</v>
      </c>
      <c r="G935" s="44" t="str">
        <f xml:space="preserve"> "  " &amp; Tabelle7[[#This Row],[EnuValue]] &amp; " = " &amp; Tabelle7[[#This Row],[Wert]]</f>
        <v xml:space="preserve">  sbeRT_PAVILION_ROOF = 11</v>
      </c>
      <c r="H935" s="44" t="str">
        <f>"  If Wert = " &amp; Tabelle7[[#This Row],[EnuValue]] &amp; " then Res = ""." &amp; Tabelle7[[#This Row],[EnuRohValue]] &amp; "."""</f>
        <v xml:space="preserve">  If Wert = sbeRT_PAVILION_ROOF then Res = ".PAVILION_ROOF."</v>
      </c>
      <c r="I935" s="44" t="str">
        <f>"  If wert = ""." &amp; Tabelle7[[#This Row],[EnuRohValue]] &amp; "."" Then Res = " &amp; Tabelle7[[#This Row],[EnuValue]]</f>
        <v xml:space="preserve">  If wert = ".PAVILION_ROOF." Then Res = sbeRT_PAVILION_ROOF</v>
      </c>
    </row>
    <row r="936" spans="2:9" x14ac:dyDescent="0.25">
      <c r="B936" s="44">
        <v>12</v>
      </c>
      <c r="C936" s="45" t="s">
        <v>1622</v>
      </c>
      <c r="D936" s="44" t="s">
        <v>4410</v>
      </c>
      <c r="E936" s="44" t="str">
        <f>VLOOKUP(Tabelle7[[#This Row],[EnumName]],Enum[[IFC-Name]:[Präfix]],5,FALSE)&amp;Tabelle7[[#This Row],[EnuRohValue]]</f>
        <v>sbeRT_DOME_ROOF</v>
      </c>
      <c r="F936" s="44">
        <f>COUNTIF(Tabelle7[EnuValue],Tabelle7[[#This Row],[EnuValue]])</f>
        <v>1</v>
      </c>
      <c r="G936" s="44" t="str">
        <f xml:space="preserve"> "  " &amp; Tabelle7[[#This Row],[EnuValue]] &amp; " = " &amp; Tabelle7[[#This Row],[Wert]]</f>
        <v xml:space="preserve">  sbeRT_DOME_ROOF = 12</v>
      </c>
      <c r="H936" s="44" t="str">
        <f>"  If Wert = " &amp; Tabelle7[[#This Row],[EnuValue]] &amp; " then Res = ""." &amp; Tabelle7[[#This Row],[EnuRohValue]] &amp; "."""</f>
        <v xml:space="preserve">  If Wert = sbeRT_DOME_ROOF then Res = ".DOME_ROOF."</v>
      </c>
      <c r="I936" s="44" t="str">
        <f>"  If wert = ""." &amp; Tabelle7[[#This Row],[EnuRohValue]] &amp; "."" Then Res = " &amp; Tabelle7[[#This Row],[EnuValue]]</f>
        <v xml:space="preserve">  If wert = ".DOME_ROOF." Then Res = sbeRT_DOME_ROOF</v>
      </c>
    </row>
    <row r="937" spans="2:9" x14ac:dyDescent="0.25">
      <c r="B937" s="44">
        <v>13</v>
      </c>
      <c r="C937" s="45" t="s">
        <v>1622</v>
      </c>
      <c r="D937" s="44" t="s">
        <v>4411</v>
      </c>
      <c r="E937" s="44" t="str">
        <f>VLOOKUP(Tabelle7[[#This Row],[EnumName]],Enum[[IFC-Name]:[Präfix]],5,FALSE)&amp;Tabelle7[[#This Row],[EnuRohValue]]</f>
        <v>sbeRT_FREEFORM</v>
      </c>
      <c r="F937" s="44">
        <f>COUNTIF(Tabelle7[EnuValue],Tabelle7[[#This Row],[EnuValue]])</f>
        <v>1</v>
      </c>
      <c r="G937" s="44" t="str">
        <f xml:space="preserve"> "  " &amp; Tabelle7[[#This Row],[EnuValue]] &amp; " = " &amp; Tabelle7[[#This Row],[Wert]]</f>
        <v xml:space="preserve">  sbeRT_FREEFORM = 13</v>
      </c>
      <c r="H937" s="44" t="str">
        <f>"  If Wert = " &amp; Tabelle7[[#This Row],[EnuValue]] &amp; " then Res = ""." &amp; Tabelle7[[#This Row],[EnuRohValue]] &amp; "."""</f>
        <v xml:space="preserve">  If Wert = sbeRT_FREEFORM then Res = ".FREEFORM."</v>
      </c>
      <c r="I937" s="44" t="str">
        <f>"  If wert = ""." &amp; Tabelle7[[#This Row],[EnuRohValue]] &amp; "."" Then Res = " &amp; Tabelle7[[#This Row],[EnuValue]]</f>
        <v xml:space="preserve">  If wert = ".FREEFORM." Then Res = sbeRT_FREEFORM</v>
      </c>
    </row>
    <row r="938" spans="2:9" x14ac:dyDescent="0.25">
      <c r="B938" s="44">
        <v>14</v>
      </c>
      <c r="C938" s="45" t="s">
        <v>1622</v>
      </c>
      <c r="D938" s="44" t="s">
        <v>3683</v>
      </c>
      <c r="E938" s="44" t="str">
        <f>VLOOKUP(Tabelle7[[#This Row],[EnumName]],Enum[[IFC-Name]:[Präfix]],5,FALSE)&amp;Tabelle7[[#This Row],[EnuRohValue]]</f>
        <v>sbeRT_NOTDEFINED</v>
      </c>
      <c r="F938" s="44">
        <f>COUNTIF(Tabelle7[EnuValue],Tabelle7[[#This Row],[EnuValue]])</f>
        <v>3</v>
      </c>
      <c r="G938" s="44" t="str">
        <f xml:space="preserve"> "  " &amp; Tabelle7[[#This Row],[EnuValue]] &amp; " = " &amp; Tabelle7[[#This Row],[Wert]]</f>
        <v xml:space="preserve">  sbeRT_NOTDEFINED = 14</v>
      </c>
      <c r="H938" s="44" t="str">
        <f>"  If Wert = " &amp; Tabelle7[[#This Row],[EnuValue]] &amp; " then Res = ""." &amp; Tabelle7[[#This Row],[EnuRohValue]] &amp; "."""</f>
        <v xml:space="preserve">  If Wert = sbeRT_NOTDEFINED then Res = ".NOTDEFINED."</v>
      </c>
      <c r="I938" s="44" t="str">
        <f>"  If wert = ""." &amp; Tabelle7[[#This Row],[EnuRohValue]] &amp; "."" Then Res = " &amp; Tabelle7[[#This Row],[EnuValue]]</f>
        <v xml:space="preserve">  If wert = ".NOTDEFINED." Then Res = sbeRT_NOTDEFINED</v>
      </c>
    </row>
    <row r="939" spans="2:9" x14ac:dyDescent="0.25">
      <c r="B939" s="44">
        <v>1</v>
      </c>
      <c r="C939" s="45" t="s">
        <v>1623</v>
      </c>
      <c r="D939" s="44" t="s">
        <v>4412</v>
      </c>
      <c r="E939" s="44" t="str">
        <f>VLOOKUP(Tabelle7[[#This Row],[EnumName]],Enum[[IFC-Name]:[Präfix]],5,FALSE)&amp;Tabelle7[[#This Row],[EnuRohValue]]</f>
        <v>mesSIP_EXA</v>
      </c>
      <c r="F939" s="44">
        <f>COUNTIF(Tabelle7[EnuValue],Tabelle7[[#This Row],[EnuValue]])</f>
        <v>1</v>
      </c>
      <c r="G939" s="44" t="str">
        <f xml:space="preserve"> "  " &amp; Tabelle7[[#This Row],[EnuValue]] &amp; " = " &amp; Tabelle7[[#This Row],[Wert]]</f>
        <v xml:space="preserve">  mesSIP_EXA = 1</v>
      </c>
      <c r="H939" s="44" t="str">
        <f>"  If Wert = " &amp; Tabelle7[[#This Row],[EnuValue]] &amp; " then Res = ""." &amp; Tabelle7[[#This Row],[EnuRohValue]] &amp; "."""</f>
        <v xml:space="preserve">  If Wert = mesSIP_EXA then Res = ".EXA."</v>
      </c>
      <c r="I939" s="44" t="str">
        <f>"  If wert = ""." &amp; Tabelle7[[#This Row],[EnuRohValue]] &amp; "."" Then Res = " &amp; Tabelle7[[#This Row],[EnuValue]]</f>
        <v xml:space="preserve">  If wert = ".EXA." Then Res = mesSIP_EXA</v>
      </c>
    </row>
    <row r="940" spans="2:9" x14ac:dyDescent="0.25">
      <c r="B940" s="44">
        <v>2</v>
      </c>
      <c r="C940" s="45" t="s">
        <v>1623</v>
      </c>
      <c r="D940" s="44" t="s">
        <v>4413</v>
      </c>
      <c r="E940" s="44" t="str">
        <f>VLOOKUP(Tabelle7[[#This Row],[EnumName]],Enum[[IFC-Name]:[Präfix]],5,FALSE)&amp;Tabelle7[[#This Row],[EnuRohValue]]</f>
        <v>mesSIP_PETA</v>
      </c>
      <c r="F940" s="44">
        <f>COUNTIF(Tabelle7[EnuValue],Tabelle7[[#This Row],[EnuValue]])</f>
        <v>1</v>
      </c>
      <c r="G940" s="44" t="str">
        <f xml:space="preserve"> "  " &amp; Tabelle7[[#This Row],[EnuValue]] &amp; " = " &amp; Tabelle7[[#This Row],[Wert]]</f>
        <v xml:space="preserve">  mesSIP_PETA = 2</v>
      </c>
      <c r="H940" s="44" t="str">
        <f>"  If Wert = " &amp; Tabelle7[[#This Row],[EnuValue]] &amp; " then Res = ""." &amp; Tabelle7[[#This Row],[EnuRohValue]] &amp; "."""</f>
        <v xml:space="preserve">  If Wert = mesSIP_PETA then Res = ".PETA."</v>
      </c>
      <c r="I940" s="44" t="str">
        <f>"  If wert = ""." &amp; Tabelle7[[#This Row],[EnuRohValue]] &amp; "."" Then Res = " &amp; Tabelle7[[#This Row],[EnuValue]]</f>
        <v xml:space="preserve">  If wert = ".PETA." Then Res = mesSIP_PETA</v>
      </c>
    </row>
    <row r="941" spans="2:9" x14ac:dyDescent="0.25">
      <c r="B941" s="44">
        <v>3</v>
      </c>
      <c r="C941" s="45" t="s">
        <v>1623</v>
      </c>
      <c r="D941" s="44" t="s">
        <v>4414</v>
      </c>
      <c r="E941" s="44" t="str">
        <f>VLOOKUP(Tabelle7[[#This Row],[EnumName]],Enum[[IFC-Name]:[Präfix]],5,FALSE)&amp;Tabelle7[[#This Row],[EnuRohValue]]</f>
        <v>mesSIP_TERA</v>
      </c>
      <c r="F941" s="44">
        <f>COUNTIF(Tabelle7[EnuValue],Tabelle7[[#This Row],[EnuValue]])</f>
        <v>1</v>
      </c>
      <c r="G941" s="44" t="str">
        <f xml:space="preserve"> "  " &amp; Tabelle7[[#This Row],[EnuValue]] &amp; " = " &amp; Tabelle7[[#This Row],[Wert]]</f>
        <v xml:space="preserve">  mesSIP_TERA = 3</v>
      </c>
      <c r="H941" s="44" t="str">
        <f>"  If Wert = " &amp; Tabelle7[[#This Row],[EnuValue]] &amp; " then Res = ""." &amp; Tabelle7[[#This Row],[EnuRohValue]] &amp; "."""</f>
        <v xml:space="preserve">  If Wert = mesSIP_TERA then Res = ".TERA."</v>
      </c>
      <c r="I941" s="44" t="str">
        <f>"  If wert = ""." &amp; Tabelle7[[#This Row],[EnuRohValue]] &amp; "."" Then Res = " &amp; Tabelle7[[#This Row],[EnuValue]]</f>
        <v xml:space="preserve">  If wert = ".TERA." Then Res = mesSIP_TERA</v>
      </c>
    </row>
    <row r="942" spans="2:9" x14ac:dyDescent="0.25">
      <c r="B942" s="44">
        <v>4</v>
      </c>
      <c r="C942" s="45" t="s">
        <v>1623</v>
      </c>
      <c r="D942" s="44" t="s">
        <v>4415</v>
      </c>
      <c r="E942" s="44" t="str">
        <f>VLOOKUP(Tabelle7[[#This Row],[EnumName]],Enum[[IFC-Name]:[Präfix]],5,FALSE)&amp;Tabelle7[[#This Row],[EnuRohValue]]</f>
        <v>mesSIP_GIGA</v>
      </c>
      <c r="F942" s="44">
        <f>COUNTIF(Tabelle7[EnuValue],Tabelle7[[#This Row],[EnuValue]])</f>
        <v>1</v>
      </c>
      <c r="G942" s="44" t="str">
        <f xml:space="preserve"> "  " &amp; Tabelle7[[#This Row],[EnuValue]] &amp; " = " &amp; Tabelle7[[#This Row],[Wert]]</f>
        <v xml:space="preserve">  mesSIP_GIGA = 4</v>
      </c>
      <c r="H942" s="44" t="str">
        <f>"  If Wert = " &amp; Tabelle7[[#This Row],[EnuValue]] &amp; " then Res = ""." &amp; Tabelle7[[#This Row],[EnuRohValue]] &amp; "."""</f>
        <v xml:space="preserve">  If Wert = mesSIP_GIGA then Res = ".GIGA."</v>
      </c>
      <c r="I942" s="44" t="str">
        <f>"  If wert = ""." &amp; Tabelle7[[#This Row],[EnuRohValue]] &amp; "."" Then Res = " &amp; Tabelle7[[#This Row],[EnuValue]]</f>
        <v xml:space="preserve">  If wert = ".GIGA." Then Res = mesSIP_GIGA</v>
      </c>
    </row>
    <row r="943" spans="2:9" x14ac:dyDescent="0.25">
      <c r="B943" s="44">
        <v>5</v>
      </c>
      <c r="C943" s="45" t="s">
        <v>1623</v>
      </c>
      <c r="D943" s="44" t="s">
        <v>4416</v>
      </c>
      <c r="E943" s="44" t="str">
        <f>VLOOKUP(Tabelle7[[#This Row],[EnumName]],Enum[[IFC-Name]:[Präfix]],5,FALSE)&amp;Tabelle7[[#This Row],[EnuRohValue]]</f>
        <v>mesSIP_MEGA</v>
      </c>
      <c r="F943" s="44">
        <f>COUNTIF(Tabelle7[EnuValue],Tabelle7[[#This Row],[EnuValue]])</f>
        <v>1</v>
      </c>
      <c r="G943" s="44" t="str">
        <f xml:space="preserve"> "  " &amp; Tabelle7[[#This Row],[EnuValue]] &amp; " = " &amp; Tabelle7[[#This Row],[Wert]]</f>
        <v xml:space="preserve">  mesSIP_MEGA = 5</v>
      </c>
      <c r="H943" s="44" t="str">
        <f>"  If Wert = " &amp; Tabelle7[[#This Row],[EnuValue]] &amp; " then Res = ""." &amp; Tabelle7[[#This Row],[EnuRohValue]] &amp; "."""</f>
        <v xml:space="preserve">  If Wert = mesSIP_MEGA then Res = ".MEGA."</v>
      </c>
      <c r="I943" s="44" t="str">
        <f>"  If wert = ""." &amp; Tabelle7[[#This Row],[EnuRohValue]] &amp; "."" Then Res = " &amp; Tabelle7[[#This Row],[EnuValue]]</f>
        <v xml:space="preserve">  If wert = ".MEGA." Then Res = mesSIP_MEGA</v>
      </c>
    </row>
    <row r="944" spans="2:9" x14ac:dyDescent="0.25">
      <c r="B944" s="44">
        <v>6</v>
      </c>
      <c r="C944" s="45" t="s">
        <v>1623</v>
      </c>
      <c r="D944" s="44" t="s">
        <v>4417</v>
      </c>
      <c r="E944" s="44" t="str">
        <f>VLOOKUP(Tabelle7[[#This Row],[EnumName]],Enum[[IFC-Name]:[Präfix]],5,FALSE)&amp;Tabelle7[[#This Row],[EnuRohValue]]</f>
        <v>mesSIP_KILO</v>
      </c>
      <c r="F944" s="44">
        <f>COUNTIF(Tabelle7[EnuValue],Tabelle7[[#This Row],[EnuValue]])</f>
        <v>1</v>
      </c>
      <c r="G944" s="44" t="str">
        <f xml:space="preserve"> "  " &amp; Tabelle7[[#This Row],[EnuValue]] &amp; " = " &amp; Tabelle7[[#This Row],[Wert]]</f>
        <v xml:space="preserve">  mesSIP_KILO = 6</v>
      </c>
      <c r="H944" s="44" t="str">
        <f>"  If Wert = " &amp; Tabelle7[[#This Row],[EnuValue]] &amp; " then Res = ""." &amp; Tabelle7[[#This Row],[EnuRohValue]] &amp; "."""</f>
        <v xml:space="preserve">  If Wert = mesSIP_KILO then Res = ".KILO."</v>
      </c>
      <c r="I944" s="44" t="str">
        <f>"  If wert = ""." &amp; Tabelle7[[#This Row],[EnuRohValue]] &amp; "."" Then Res = " &amp; Tabelle7[[#This Row],[EnuValue]]</f>
        <v xml:space="preserve">  If wert = ".KILO." Then Res = mesSIP_KILO</v>
      </c>
    </row>
    <row r="945" spans="2:9" x14ac:dyDescent="0.25">
      <c r="B945" s="44">
        <v>7</v>
      </c>
      <c r="C945" s="45" t="s">
        <v>1623</v>
      </c>
      <c r="D945" s="44" t="s">
        <v>4418</v>
      </c>
      <c r="E945" s="44" t="str">
        <f>VLOOKUP(Tabelle7[[#This Row],[EnumName]],Enum[[IFC-Name]:[Präfix]],5,FALSE)&amp;Tabelle7[[#This Row],[EnuRohValue]]</f>
        <v>mesSIP_HECTO</v>
      </c>
      <c r="F945" s="44">
        <f>COUNTIF(Tabelle7[EnuValue],Tabelle7[[#This Row],[EnuValue]])</f>
        <v>1</v>
      </c>
      <c r="G945" s="44" t="str">
        <f xml:space="preserve"> "  " &amp; Tabelle7[[#This Row],[EnuValue]] &amp; " = " &amp; Tabelle7[[#This Row],[Wert]]</f>
        <v xml:space="preserve">  mesSIP_HECTO = 7</v>
      </c>
      <c r="H945" s="44" t="str">
        <f>"  If Wert = " &amp; Tabelle7[[#This Row],[EnuValue]] &amp; " then Res = ""." &amp; Tabelle7[[#This Row],[EnuRohValue]] &amp; "."""</f>
        <v xml:space="preserve">  If Wert = mesSIP_HECTO then Res = ".HECTO."</v>
      </c>
      <c r="I945" s="44" t="str">
        <f>"  If wert = ""." &amp; Tabelle7[[#This Row],[EnuRohValue]] &amp; "."" Then Res = " &amp; Tabelle7[[#This Row],[EnuValue]]</f>
        <v xml:space="preserve">  If wert = ".HECTO." Then Res = mesSIP_HECTO</v>
      </c>
    </row>
    <row r="946" spans="2:9" x14ac:dyDescent="0.25">
      <c r="B946" s="44">
        <v>8</v>
      </c>
      <c r="C946" s="45" t="s">
        <v>1623</v>
      </c>
      <c r="D946" s="44" t="s">
        <v>4419</v>
      </c>
      <c r="E946" s="44" t="str">
        <f>VLOOKUP(Tabelle7[[#This Row],[EnumName]],Enum[[IFC-Name]:[Präfix]],5,FALSE)&amp;Tabelle7[[#This Row],[EnuRohValue]]</f>
        <v>mesSIP_DECA</v>
      </c>
      <c r="F946" s="44">
        <f>COUNTIF(Tabelle7[EnuValue],Tabelle7[[#This Row],[EnuValue]])</f>
        <v>1</v>
      </c>
      <c r="G946" s="44" t="str">
        <f xml:space="preserve"> "  " &amp; Tabelle7[[#This Row],[EnuValue]] &amp; " = " &amp; Tabelle7[[#This Row],[Wert]]</f>
        <v xml:space="preserve">  mesSIP_DECA = 8</v>
      </c>
      <c r="H946" s="44" t="str">
        <f>"  If Wert = " &amp; Tabelle7[[#This Row],[EnuValue]] &amp; " then Res = ""." &amp; Tabelle7[[#This Row],[EnuRohValue]] &amp; "."""</f>
        <v xml:space="preserve">  If Wert = mesSIP_DECA then Res = ".DECA."</v>
      </c>
      <c r="I946" s="44" t="str">
        <f>"  If wert = ""." &amp; Tabelle7[[#This Row],[EnuRohValue]] &amp; "."" Then Res = " &amp; Tabelle7[[#This Row],[EnuValue]]</f>
        <v xml:space="preserve">  If wert = ".DECA." Then Res = mesSIP_DECA</v>
      </c>
    </row>
    <row r="947" spans="2:9" x14ac:dyDescent="0.25">
      <c r="B947" s="44">
        <v>9</v>
      </c>
      <c r="C947" s="45" t="s">
        <v>1623</v>
      </c>
      <c r="D947" s="44" t="s">
        <v>4420</v>
      </c>
      <c r="E947" s="44" t="str">
        <f>VLOOKUP(Tabelle7[[#This Row],[EnumName]],Enum[[IFC-Name]:[Präfix]],5,FALSE)&amp;Tabelle7[[#This Row],[EnuRohValue]]</f>
        <v>mesSIP_DECI</v>
      </c>
      <c r="F947" s="44">
        <f>COUNTIF(Tabelle7[EnuValue],Tabelle7[[#This Row],[EnuValue]])</f>
        <v>1</v>
      </c>
      <c r="G947" s="44" t="str">
        <f xml:space="preserve"> "  " &amp; Tabelle7[[#This Row],[EnuValue]] &amp; " = " &amp; Tabelle7[[#This Row],[Wert]]</f>
        <v xml:space="preserve">  mesSIP_DECI = 9</v>
      </c>
      <c r="H947" s="44" t="str">
        <f>"  If Wert = " &amp; Tabelle7[[#This Row],[EnuValue]] &amp; " then Res = ""." &amp; Tabelle7[[#This Row],[EnuRohValue]] &amp; "."""</f>
        <v xml:space="preserve">  If Wert = mesSIP_DECI then Res = ".DECI."</v>
      </c>
      <c r="I947" s="44" t="str">
        <f>"  If wert = ""." &amp; Tabelle7[[#This Row],[EnuRohValue]] &amp; "."" Then Res = " &amp; Tabelle7[[#This Row],[EnuValue]]</f>
        <v xml:space="preserve">  If wert = ".DECI." Then Res = mesSIP_DECI</v>
      </c>
    </row>
    <row r="948" spans="2:9" x14ac:dyDescent="0.25">
      <c r="B948" s="44">
        <v>10</v>
      </c>
      <c r="C948" s="45" t="s">
        <v>1623</v>
      </c>
      <c r="D948" s="44" t="s">
        <v>4421</v>
      </c>
      <c r="E948" s="44" t="str">
        <f>VLOOKUP(Tabelle7[[#This Row],[EnumName]],Enum[[IFC-Name]:[Präfix]],5,FALSE)&amp;Tabelle7[[#This Row],[EnuRohValue]]</f>
        <v>mesSIP_CENTI</v>
      </c>
      <c r="F948" s="44">
        <f>COUNTIF(Tabelle7[EnuValue],Tabelle7[[#This Row],[EnuValue]])</f>
        <v>1</v>
      </c>
      <c r="G948" s="44" t="str">
        <f xml:space="preserve"> "  " &amp; Tabelle7[[#This Row],[EnuValue]] &amp; " = " &amp; Tabelle7[[#This Row],[Wert]]</f>
        <v xml:space="preserve">  mesSIP_CENTI = 10</v>
      </c>
      <c r="H948" s="44" t="str">
        <f>"  If Wert = " &amp; Tabelle7[[#This Row],[EnuValue]] &amp; " then Res = ""." &amp; Tabelle7[[#This Row],[EnuRohValue]] &amp; "."""</f>
        <v xml:space="preserve">  If Wert = mesSIP_CENTI then Res = ".CENTI."</v>
      </c>
      <c r="I948" s="44" t="str">
        <f>"  If wert = ""." &amp; Tabelle7[[#This Row],[EnuRohValue]] &amp; "."" Then Res = " &amp; Tabelle7[[#This Row],[EnuValue]]</f>
        <v xml:space="preserve">  If wert = ".CENTI." Then Res = mesSIP_CENTI</v>
      </c>
    </row>
    <row r="949" spans="2:9" x14ac:dyDescent="0.25">
      <c r="B949" s="44">
        <v>11</v>
      </c>
      <c r="C949" s="45" t="s">
        <v>1623</v>
      </c>
      <c r="D949" s="44" t="s">
        <v>4422</v>
      </c>
      <c r="E949" s="44" t="str">
        <f>VLOOKUP(Tabelle7[[#This Row],[EnumName]],Enum[[IFC-Name]:[Präfix]],5,FALSE)&amp;Tabelle7[[#This Row],[EnuRohValue]]</f>
        <v>mesSIP_MILLI</v>
      </c>
      <c r="F949" s="44">
        <f>COUNTIF(Tabelle7[EnuValue],Tabelle7[[#This Row],[EnuValue]])</f>
        <v>1</v>
      </c>
      <c r="G949" s="44" t="str">
        <f xml:space="preserve"> "  " &amp; Tabelle7[[#This Row],[EnuValue]] &amp; " = " &amp; Tabelle7[[#This Row],[Wert]]</f>
        <v xml:space="preserve">  mesSIP_MILLI = 11</v>
      </c>
      <c r="H949" s="44" t="str">
        <f>"  If Wert = " &amp; Tabelle7[[#This Row],[EnuValue]] &amp; " then Res = ""." &amp; Tabelle7[[#This Row],[EnuRohValue]] &amp; "."""</f>
        <v xml:space="preserve">  If Wert = mesSIP_MILLI then Res = ".MILLI."</v>
      </c>
      <c r="I949" s="44" t="str">
        <f>"  If wert = ""." &amp; Tabelle7[[#This Row],[EnuRohValue]] &amp; "."" Then Res = " &amp; Tabelle7[[#This Row],[EnuValue]]</f>
        <v xml:space="preserve">  If wert = ".MILLI." Then Res = mesSIP_MILLI</v>
      </c>
    </row>
    <row r="950" spans="2:9" x14ac:dyDescent="0.25">
      <c r="B950" s="44">
        <v>12</v>
      </c>
      <c r="C950" s="45" t="s">
        <v>1623</v>
      </c>
      <c r="D950" s="44" t="s">
        <v>4423</v>
      </c>
      <c r="E950" s="44" t="str">
        <f>VLOOKUP(Tabelle7[[#This Row],[EnumName]],Enum[[IFC-Name]:[Präfix]],5,FALSE)&amp;Tabelle7[[#This Row],[EnuRohValue]]</f>
        <v>mesSIP_MICRO</v>
      </c>
      <c r="F950" s="44">
        <f>COUNTIF(Tabelle7[EnuValue],Tabelle7[[#This Row],[EnuValue]])</f>
        <v>1</v>
      </c>
      <c r="G950" s="44" t="str">
        <f xml:space="preserve"> "  " &amp; Tabelle7[[#This Row],[EnuValue]] &amp; " = " &amp; Tabelle7[[#This Row],[Wert]]</f>
        <v xml:space="preserve">  mesSIP_MICRO = 12</v>
      </c>
      <c r="H950" s="44" t="str">
        <f>"  If Wert = " &amp; Tabelle7[[#This Row],[EnuValue]] &amp; " then Res = ""." &amp; Tabelle7[[#This Row],[EnuRohValue]] &amp; "."""</f>
        <v xml:space="preserve">  If Wert = mesSIP_MICRO then Res = ".MICRO."</v>
      </c>
      <c r="I950" s="44" t="str">
        <f>"  If wert = ""." &amp; Tabelle7[[#This Row],[EnuRohValue]] &amp; "."" Then Res = " &amp; Tabelle7[[#This Row],[EnuValue]]</f>
        <v xml:space="preserve">  If wert = ".MICRO." Then Res = mesSIP_MICRO</v>
      </c>
    </row>
    <row r="951" spans="2:9" x14ac:dyDescent="0.25">
      <c r="B951" s="44">
        <v>13</v>
      </c>
      <c r="C951" s="45" t="s">
        <v>1623</v>
      </c>
      <c r="D951" s="44" t="s">
        <v>4424</v>
      </c>
      <c r="E951" s="44" t="str">
        <f>VLOOKUP(Tabelle7[[#This Row],[EnumName]],Enum[[IFC-Name]:[Präfix]],5,FALSE)&amp;Tabelle7[[#This Row],[EnuRohValue]]</f>
        <v>mesSIP_NANO</v>
      </c>
      <c r="F951" s="44">
        <f>COUNTIF(Tabelle7[EnuValue],Tabelle7[[#This Row],[EnuValue]])</f>
        <v>1</v>
      </c>
      <c r="G951" s="44" t="str">
        <f xml:space="preserve"> "  " &amp; Tabelle7[[#This Row],[EnuValue]] &amp; " = " &amp; Tabelle7[[#This Row],[Wert]]</f>
        <v xml:space="preserve">  mesSIP_NANO = 13</v>
      </c>
      <c r="H951" s="44" t="str">
        <f>"  If Wert = " &amp; Tabelle7[[#This Row],[EnuValue]] &amp; " then Res = ""." &amp; Tabelle7[[#This Row],[EnuRohValue]] &amp; "."""</f>
        <v xml:space="preserve">  If Wert = mesSIP_NANO then Res = ".NANO."</v>
      </c>
      <c r="I951" s="44" t="str">
        <f>"  If wert = ""." &amp; Tabelle7[[#This Row],[EnuRohValue]] &amp; "."" Then Res = " &amp; Tabelle7[[#This Row],[EnuValue]]</f>
        <v xml:space="preserve">  If wert = ".NANO." Then Res = mesSIP_NANO</v>
      </c>
    </row>
    <row r="952" spans="2:9" x14ac:dyDescent="0.25">
      <c r="B952" s="44">
        <v>14</v>
      </c>
      <c r="C952" s="45" t="s">
        <v>1623</v>
      </c>
      <c r="D952" s="44" t="s">
        <v>4425</v>
      </c>
      <c r="E952" s="44" t="str">
        <f>VLOOKUP(Tabelle7[[#This Row],[EnumName]],Enum[[IFC-Name]:[Präfix]],5,FALSE)&amp;Tabelle7[[#This Row],[EnuRohValue]]</f>
        <v>mesSIP_PICO</v>
      </c>
      <c r="F952" s="44">
        <f>COUNTIF(Tabelle7[EnuValue],Tabelle7[[#This Row],[EnuValue]])</f>
        <v>1</v>
      </c>
      <c r="G952" s="44" t="str">
        <f xml:space="preserve"> "  " &amp; Tabelle7[[#This Row],[EnuValue]] &amp; " = " &amp; Tabelle7[[#This Row],[Wert]]</f>
        <v xml:space="preserve">  mesSIP_PICO = 14</v>
      </c>
      <c r="H952" s="44" t="str">
        <f>"  If Wert = " &amp; Tabelle7[[#This Row],[EnuValue]] &amp; " then Res = ""." &amp; Tabelle7[[#This Row],[EnuRohValue]] &amp; "."""</f>
        <v xml:space="preserve">  If Wert = mesSIP_PICO then Res = ".PICO."</v>
      </c>
      <c r="I952" s="44" t="str">
        <f>"  If wert = ""." &amp; Tabelle7[[#This Row],[EnuRohValue]] &amp; "."" Then Res = " &amp; Tabelle7[[#This Row],[EnuValue]]</f>
        <v xml:space="preserve">  If wert = ".PICO." Then Res = mesSIP_PICO</v>
      </c>
    </row>
    <row r="953" spans="2:9" x14ac:dyDescent="0.25">
      <c r="B953" s="44">
        <v>15</v>
      </c>
      <c r="C953" s="45" t="s">
        <v>1623</v>
      </c>
      <c r="D953" s="44" t="s">
        <v>4426</v>
      </c>
      <c r="E953" s="44" t="str">
        <f>VLOOKUP(Tabelle7[[#This Row],[EnumName]],Enum[[IFC-Name]:[Präfix]],5,FALSE)&amp;Tabelle7[[#This Row],[EnuRohValue]]</f>
        <v>mesSIP_FEMTO</v>
      </c>
      <c r="F953" s="44">
        <f>COUNTIF(Tabelle7[EnuValue],Tabelle7[[#This Row],[EnuValue]])</f>
        <v>1</v>
      </c>
      <c r="G953" s="44" t="str">
        <f xml:space="preserve"> "  " &amp; Tabelle7[[#This Row],[EnuValue]] &amp; " = " &amp; Tabelle7[[#This Row],[Wert]]</f>
        <v xml:space="preserve">  mesSIP_FEMTO = 15</v>
      </c>
      <c r="H953" s="44" t="str">
        <f>"  If Wert = " &amp; Tabelle7[[#This Row],[EnuValue]] &amp; " then Res = ""." &amp; Tabelle7[[#This Row],[EnuRohValue]] &amp; "."""</f>
        <v xml:space="preserve">  If Wert = mesSIP_FEMTO then Res = ".FEMTO."</v>
      </c>
      <c r="I953" s="44" t="str">
        <f>"  If wert = ""." &amp; Tabelle7[[#This Row],[EnuRohValue]] &amp; "."" Then Res = " &amp; Tabelle7[[#This Row],[EnuValue]]</f>
        <v xml:space="preserve">  If wert = ".FEMTO." Then Res = mesSIP_FEMTO</v>
      </c>
    </row>
    <row r="954" spans="2:9" x14ac:dyDescent="0.25">
      <c r="B954" s="44">
        <v>16</v>
      </c>
      <c r="C954" s="45" t="s">
        <v>1623</v>
      </c>
      <c r="D954" s="44" t="s">
        <v>4427</v>
      </c>
      <c r="E954" s="44" t="str">
        <f>VLOOKUP(Tabelle7[[#This Row],[EnumName]],Enum[[IFC-Name]:[Präfix]],5,FALSE)&amp;Tabelle7[[#This Row],[EnuRohValue]]</f>
        <v>mesSIP_ATTO</v>
      </c>
      <c r="F954" s="44">
        <f>COUNTIF(Tabelle7[EnuValue],Tabelle7[[#This Row],[EnuValue]])</f>
        <v>1</v>
      </c>
      <c r="G954" s="44" t="str">
        <f xml:space="preserve"> "  " &amp; Tabelle7[[#This Row],[EnuValue]] &amp; " = " &amp; Tabelle7[[#This Row],[Wert]]</f>
        <v xml:space="preserve">  mesSIP_ATTO = 16</v>
      </c>
      <c r="H954" s="44" t="str">
        <f>"  If Wert = " &amp; Tabelle7[[#This Row],[EnuValue]] &amp; " then Res = ""." &amp; Tabelle7[[#This Row],[EnuRohValue]] &amp; "."""</f>
        <v xml:space="preserve">  If Wert = mesSIP_ATTO then Res = ".ATTO."</v>
      </c>
      <c r="I954" s="44" t="str">
        <f>"  If wert = ""." &amp; Tabelle7[[#This Row],[EnuRohValue]] &amp; "."" Then Res = " &amp; Tabelle7[[#This Row],[EnuValue]]</f>
        <v xml:space="preserve">  If wert = ".ATTO." Then Res = mesSIP_ATTO</v>
      </c>
    </row>
    <row r="955" spans="2:9" x14ac:dyDescent="0.25">
      <c r="B955" s="44">
        <v>1</v>
      </c>
      <c r="C955" s="45" t="s">
        <v>1624</v>
      </c>
      <c r="D955" s="44" t="s">
        <v>4428</v>
      </c>
      <c r="E955" s="44" t="str">
        <f>VLOOKUP(Tabelle7[[#This Row],[EnumName]],Enum[[IFC-Name]:[Präfix]],5,FALSE)&amp;Tabelle7[[#This Row],[EnuRohValue]]</f>
        <v>mesSIUN_AMPERE</v>
      </c>
      <c r="F955" s="44">
        <f>COUNTIF(Tabelle7[EnuValue],Tabelle7[[#This Row],[EnuValue]])</f>
        <v>1</v>
      </c>
      <c r="G955" s="44" t="str">
        <f xml:space="preserve"> "  " &amp; Tabelle7[[#This Row],[EnuValue]] &amp; " = " &amp; Tabelle7[[#This Row],[Wert]]</f>
        <v xml:space="preserve">  mesSIUN_AMPERE = 1</v>
      </c>
      <c r="H955" s="44" t="str">
        <f>"  If Wert = " &amp; Tabelle7[[#This Row],[EnuValue]] &amp; " then Res = ""." &amp; Tabelle7[[#This Row],[EnuRohValue]] &amp; "."""</f>
        <v xml:space="preserve">  If Wert = mesSIUN_AMPERE then Res = ".AMPERE."</v>
      </c>
      <c r="I955" s="44" t="str">
        <f>"  If wert = ""." &amp; Tabelle7[[#This Row],[EnuRohValue]] &amp; "."" Then Res = " &amp; Tabelle7[[#This Row],[EnuValue]]</f>
        <v xml:space="preserve">  If wert = ".AMPERE." Then Res = mesSIUN_AMPERE</v>
      </c>
    </row>
    <row r="956" spans="2:9" x14ac:dyDescent="0.25">
      <c r="B956" s="44">
        <v>2</v>
      </c>
      <c r="C956" s="45" t="s">
        <v>1624</v>
      </c>
      <c r="D956" s="44" t="s">
        <v>4429</v>
      </c>
      <c r="E956" s="44" t="str">
        <f>VLOOKUP(Tabelle7[[#This Row],[EnumName]],Enum[[IFC-Name]:[Präfix]],5,FALSE)&amp;Tabelle7[[#This Row],[EnuRohValue]]</f>
        <v>mesSIUN_BECQUEREL</v>
      </c>
      <c r="F956" s="44">
        <f>COUNTIF(Tabelle7[EnuValue],Tabelle7[[#This Row],[EnuValue]])</f>
        <v>1</v>
      </c>
      <c r="G956" s="44" t="str">
        <f xml:space="preserve"> "  " &amp; Tabelle7[[#This Row],[EnuValue]] &amp; " = " &amp; Tabelle7[[#This Row],[Wert]]</f>
        <v xml:space="preserve">  mesSIUN_BECQUEREL = 2</v>
      </c>
      <c r="H956" s="44" t="str">
        <f>"  If Wert = " &amp; Tabelle7[[#This Row],[EnuValue]] &amp; " then Res = ""." &amp; Tabelle7[[#This Row],[EnuRohValue]] &amp; "."""</f>
        <v xml:space="preserve">  If Wert = mesSIUN_BECQUEREL then Res = ".BECQUEREL."</v>
      </c>
      <c r="I956" s="44" t="str">
        <f>"  If wert = ""." &amp; Tabelle7[[#This Row],[EnuRohValue]] &amp; "."" Then Res = " &amp; Tabelle7[[#This Row],[EnuValue]]</f>
        <v xml:space="preserve">  If wert = ".BECQUEREL." Then Res = mesSIUN_BECQUEREL</v>
      </c>
    </row>
    <row r="957" spans="2:9" x14ac:dyDescent="0.25">
      <c r="B957" s="44">
        <v>3</v>
      </c>
      <c r="C957" s="45" t="s">
        <v>1624</v>
      </c>
      <c r="D957" s="44" t="s">
        <v>4430</v>
      </c>
      <c r="E957" s="44" t="str">
        <f>VLOOKUP(Tabelle7[[#This Row],[EnumName]],Enum[[IFC-Name]:[Präfix]],5,FALSE)&amp;Tabelle7[[#This Row],[EnuRohValue]]</f>
        <v>mesSIUN_CANDELA</v>
      </c>
      <c r="F957" s="44">
        <f>COUNTIF(Tabelle7[EnuValue],Tabelle7[[#This Row],[EnuValue]])</f>
        <v>1</v>
      </c>
      <c r="G957" s="44" t="str">
        <f xml:space="preserve"> "  " &amp; Tabelle7[[#This Row],[EnuValue]] &amp; " = " &amp; Tabelle7[[#This Row],[Wert]]</f>
        <v xml:space="preserve">  mesSIUN_CANDELA = 3</v>
      </c>
      <c r="H957" s="44" t="str">
        <f>"  If Wert = " &amp; Tabelle7[[#This Row],[EnuValue]] &amp; " then Res = ""." &amp; Tabelle7[[#This Row],[EnuRohValue]] &amp; "."""</f>
        <v xml:space="preserve">  If Wert = mesSIUN_CANDELA then Res = ".CANDELA."</v>
      </c>
      <c r="I957" s="44" t="str">
        <f>"  If wert = ""." &amp; Tabelle7[[#This Row],[EnuRohValue]] &amp; "."" Then Res = " &amp; Tabelle7[[#This Row],[EnuValue]]</f>
        <v xml:space="preserve">  If wert = ".CANDELA." Then Res = mesSIUN_CANDELA</v>
      </c>
    </row>
    <row r="958" spans="2:9" x14ac:dyDescent="0.25">
      <c r="B958" s="44">
        <v>4</v>
      </c>
      <c r="C958" s="45" t="s">
        <v>1624</v>
      </c>
      <c r="D958" s="44" t="s">
        <v>4431</v>
      </c>
      <c r="E958" s="44" t="str">
        <f>VLOOKUP(Tabelle7[[#This Row],[EnumName]],Enum[[IFC-Name]:[Präfix]],5,FALSE)&amp;Tabelle7[[#This Row],[EnuRohValue]]</f>
        <v>mesSIUN_COULOMB</v>
      </c>
      <c r="F958" s="44">
        <f>COUNTIF(Tabelle7[EnuValue],Tabelle7[[#This Row],[EnuValue]])</f>
        <v>1</v>
      </c>
      <c r="G958" s="44" t="str">
        <f xml:space="preserve"> "  " &amp; Tabelle7[[#This Row],[EnuValue]] &amp; " = " &amp; Tabelle7[[#This Row],[Wert]]</f>
        <v xml:space="preserve">  mesSIUN_COULOMB = 4</v>
      </c>
      <c r="H958" s="44" t="str">
        <f>"  If Wert = " &amp; Tabelle7[[#This Row],[EnuValue]] &amp; " then Res = ""." &amp; Tabelle7[[#This Row],[EnuRohValue]] &amp; "."""</f>
        <v xml:space="preserve">  If Wert = mesSIUN_COULOMB then Res = ".COULOMB."</v>
      </c>
      <c r="I958" s="44" t="str">
        <f>"  If wert = ""." &amp; Tabelle7[[#This Row],[EnuRohValue]] &amp; "."" Then Res = " &amp; Tabelle7[[#This Row],[EnuValue]]</f>
        <v xml:space="preserve">  If wert = ".COULOMB." Then Res = mesSIUN_COULOMB</v>
      </c>
    </row>
    <row r="959" spans="2:9" x14ac:dyDescent="0.25">
      <c r="B959" s="44">
        <v>5</v>
      </c>
      <c r="C959" s="45" t="s">
        <v>1624</v>
      </c>
      <c r="D959" s="44" t="s">
        <v>4432</v>
      </c>
      <c r="E959" s="44" t="str">
        <f>VLOOKUP(Tabelle7[[#This Row],[EnumName]],Enum[[IFC-Name]:[Präfix]],5,FALSE)&amp;Tabelle7[[#This Row],[EnuRohValue]]</f>
        <v>mesSIUN_CUBIC_METRE</v>
      </c>
      <c r="F959" s="44">
        <f>COUNTIF(Tabelle7[EnuValue],Tabelle7[[#This Row],[EnuValue]])</f>
        <v>1</v>
      </c>
      <c r="G959" s="44" t="str">
        <f xml:space="preserve"> "  " &amp; Tabelle7[[#This Row],[EnuValue]] &amp; " = " &amp; Tabelle7[[#This Row],[Wert]]</f>
        <v xml:space="preserve">  mesSIUN_CUBIC_METRE = 5</v>
      </c>
      <c r="H959" s="44" t="str">
        <f>"  If Wert = " &amp; Tabelle7[[#This Row],[EnuValue]] &amp; " then Res = ""." &amp; Tabelle7[[#This Row],[EnuRohValue]] &amp; "."""</f>
        <v xml:space="preserve">  If Wert = mesSIUN_CUBIC_METRE then Res = ".CUBIC_METRE."</v>
      </c>
      <c r="I959" s="44" t="str">
        <f>"  If wert = ""." &amp; Tabelle7[[#This Row],[EnuRohValue]] &amp; "."" Then Res = " &amp; Tabelle7[[#This Row],[EnuValue]]</f>
        <v xml:space="preserve">  If wert = ".CUBIC_METRE." Then Res = mesSIUN_CUBIC_METRE</v>
      </c>
    </row>
    <row r="960" spans="2:9" x14ac:dyDescent="0.25">
      <c r="B960" s="44">
        <v>6</v>
      </c>
      <c r="C960" s="45" t="s">
        <v>1624</v>
      </c>
      <c r="D960" s="44" t="s">
        <v>4433</v>
      </c>
      <c r="E960" s="44" t="str">
        <f>VLOOKUP(Tabelle7[[#This Row],[EnumName]],Enum[[IFC-Name]:[Präfix]],5,FALSE)&amp;Tabelle7[[#This Row],[EnuRohValue]]</f>
        <v>mesSIUN_DEGREE_CELSIUS</v>
      </c>
      <c r="F960" s="44">
        <f>COUNTIF(Tabelle7[EnuValue],Tabelle7[[#This Row],[EnuValue]])</f>
        <v>1</v>
      </c>
      <c r="G960" s="44" t="str">
        <f xml:space="preserve"> "  " &amp; Tabelle7[[#This Row],[EnuValue]] &amp; " = " &amp; Tabelle7[[#This Row],[Wert]]</f>
        <v xml:space="preserve">  mesSIUN_DEGREE_CELSIUS = 6</v>
      </c>
      <c r="H960" s="44" t="str">
        <f>"  If Wert = " &amp; Tabelle7[[#This Row],[EnuValue]] &amp; " then Res = ""." &amp; Tabelle7[[#This Row],[EnuRohValue]] &amp; "."""</f>
        <v xml:space="preserve">  If Wert = mesSIUN_DEGREE_CELSIUS then Res = ".DEGREE_CELSIUS."</v>
      </c>
      <c r="I960" s="44" t="str">
        <f>"  If wert = ""." &amp; Tabelle7[[#This Row],[EnuRohValue]] &amp; "."" Then Res = " &amp; Tabelle7[[#This Row],[EnuValue]]</f>
        <v xml:space="preserve">  If wert = ".DEGREE_CELSIUS." Then Res = mesSIUN_DEGREE_CELSIUS</v>
      </c>
    </row>
    <row r="961" spans="2:9" x14ac:dyDescent="0.25">
      <c r="B961" s="44">
        <v>7</v>
      </c>
      <c r="C961" s="45" t="s">
        <v>1624</v>
      </c>
      <c r="D961" s="44" t="s">
        <v>4434</v>
      </c>
      <c r="E961" s="44" t="str">
        <f>VLOOKUP(Tabelle7[[#This Row],[EnumName]],Enum[[IFC-Name]:[Präfix]],5,FALSE)&amp;Tabelle7[[#This Row],[EnuRohValue]]</f>
        <v>mesSIUN_FARAD</v>
      </c>
      <c r="F961" s="44">
        <f>COUNTIF(Tabelle7[EnuValue],Tabelle7[[#This Row],[EnuValue]])</f>
        <v>1</v>
      </c>
      <c r="G961" s="44" t="str">
        <f xml:space="preserve"> "  " &amp; Tabelle7[[#This Row],[EnuValue]] &amp; " = " &amp; Tabelle7[[#This Row],[Wert]]</f>
        <v xml:space="preserve">  mesSIUN_FARAD = 7</v>
      </c>
      <c r="H961" s="44" t="str">
        <f>"  If Wert = " &amp; Tabelle7[[#This Row],[EnuValue]] &amp; " then Res = ""." &amp; Tabelle7[[#This Row],[EnuRohValue]] &amp; "."""</f>
        <v xml:space="preserve">  If Wert = mesSIUN_FARAD then Res = ".FARAD."</v>
      </c>
      <c r="I961" s="44" t="str">
        <f>"  If wert = ""." &amp; Tabelle7[[#This Row],[EnuRohValue]] &amp; "."" Then Res = " &amp; Tabelle7[[#This Row],[EnuValue]]</f>
        <v xml:space="preserve">  If wert = ".FARAD." Then Res = mesSIUN_FARAD</v>
      </c>
    </row>
    <row r="962" spans="2:9" x14ac:dyDescent="0.25">
      <c r="B962" s="44">
        <v>8</v>
      </c>
      <c r="C962" s="45" t="s">
        <v>1624</v>
      </c>
      <c r="D962" s="44" t="s">
        <v>4435</v>
      </c>
      <c r="E962" s="44" t="str">
        <f>VLOOKUP(Tabelle7[[#This Row],[EnumName]],Enum[[IFC-Name]:[Präfix]],5,FALSE)&amp;Tabelle7[[#This Row],[EnuRohValue]]</f>
        <v>mesSIUN_GRAM</v>
      </c>
      <c r="F962" s="44">
        <f>COUNTIF(Tabelle7[EnuValue],Tabelle7[[#This Row],[EnuValue]])</f>
        <v>1</v>
      </c>
      <c r="G962" s="44" t="str">
        <f xml:space="preserve"> "  " &amp; Tabelle7[[#This Row],[EnuValue]] &amp; " = " &amp; Tabelle7[[#This Row],[Wert]]</f>
        <v xml:space="preserve">  mesSIUN_GRAM = 8</v>
      </c>
      <c r="H962" s="44" t="str">
        <f>"  If Wert = " &amp; Tabelle7[[#This Row],[EnuValue]] &amp; " then Res = ""." &amp; Tabelle7[[#This Row],[EnuRohValue]] &amp; "."""</f>
        <v xml:space="preserve">  If Wert = mesSIUN_GRAM then Res = ".GRAM."</v>
      </c>
      <c r="I962" s="44" t="str">
        <f>"  If wert = ""." &amp; Tabelle7[[#This Row],[EnuRohValue]] &amp; "."" Then Res = " &amp; Tabelle7[[#This Row],[EnuValue]]</f>
        <v xml:space="preserve">  If wert = ".GRAM." Then Res = mesSIUN_GRAM</v>
      </c>
    </row>
    <row r="963" spans="2:9" x14ac:dyDescent="0.25">
      <c r="B963" s="44">
        <v>9</v>
      </c>
      <c r="C963" s="45" t="s">
        <v>1624</v>
      </c>
      <c r="D963" s="44" t="s">
        <v>4436</v>
      </c>
      <c r="E963" s="44" t="str">
        <f>VLOOKUP(Tabelle7[[#This Row],[EnumName]],Enum[[IFC-Name]:[Präfix]],5,FALSE)&amp;Tabelle7[[#This Row],[EnuRohValue]]</f>
        <v>mesSIUN_GRAY</v>
      </c>
      <c r="F963" s="44">
        <f>COUNTIF(Tabelle7[EnuValue],Tabelle7[[#This Row],[EnuValue]])</f>
        <v>1</v>
      </c>
      <c r="G963" s="44" t="str">
        <f xml:space="preserve"> "  " &amp; Tabelle7[[#This Row],[EnuValue]] &amp; " = " &amp; Tabelle7[[#This Row],[Wert]]</f>
        <v xml:space="preserve">  mesSIUN_GRAY = 9</v>
      </c>
      <c r="H963" s="44" t="str">
        <f>"  If Wert = " &amp; Tabelle7[[#This Row],[EnuValue]] &amp; " then Res = ""." &amp; Tabelle7[[#This Row],[EnuRohValue]] &amp; "."""</f>
        <v xml:space="preserve">  If Wert = mesSIUN_GRAY then Res = ".GRAY."</v>
      </c>
      <c r="I963" s="44" t="str">
        <f>"  If wert = ""." &amp; Tabelle7[[#This Row],[EnuRohValue]] &amp; "."" Then Res = " &amp; Tabelle7[[#This Row],[EnuValue]]</f>
        <v xml:space="preserve">  If wert = ".GRAY." Then Res = mesSIUN_GRAY</v>
      </c>
    </row>
    <row r="964" spans="2:9" x14ac:dyDescent="0.25">
      <c r="B964" s="44">
        <v>10</v>
      </c>
      <c r="C964" s="45" t="s">
        <v>1624</v>
      </c>
      <c r="D964" s="44" t="s">
        <v>4437</v>
      </c>
      <c r="E964" s="44" t="str">
        <f>VLOOKUP(Tabelle7[[#This Row],[EnumName]],Enum[[IFC-Name]:[Präfix]],5,FALSE)&amp;Tabelle7[[#This Row],[EnuRohValue]]</f>
        <v>mesSIUN_HENRY</v>
      </c>
      <c r="F964" s="44">
        <f>COUNTIF(Tabelle7[EnuValue],Tabelle7[[#This Row],[EnuValue]])</f>
        <v>1</v>
      </c>
      <c r="G964" s="44" t="str">
        <f xml:space="preserve"> "  " &amp; Tabelle7[[#This Row],[EnuValue]] &amp; " = " &amp; Tabelle7[[#This Row],[Wert]]</f>
        <v xml:space="preserve">  mesSIUN_HENRY = 10</v>
      </c>
      <c r="H964" s="44" t="str">
        <f>"  If Wert = " &amp; Tabelle7[[#This Row],[EnuValue]] &amp; " then Res = ""." &amp; Tabelle7[[#This Row],[EnuRohValue]] &amp; "."""</f>
        <v xml:space="preserve">  If Wert = mesSIUN_HENRY then Res = ".HENRY."</v>
      </c>
      <c r="I964" s="44" t="str">
        <f>"  If wert = ""." &amp; Tabelle7[[#This Row],[EnuRohValue]] &amp; "."" Then Res = " &amp; Tabelle7[[#This Row],[EnuValue]]</f>
        <v xml:space="preserve">  If wert = ".HENRY." Then Res = mesSIUN_HENRY</v>
      </c>
    </row>
    <row r="965" spans="2:9" x14ac:dyDescent="0.25">
      <c r="B965" s="44">
        <v>11</v>
      </c>
      <c r="C965" s="45" t="s">
        <v>1624</v>
      </c>
      <c r="D965" s="44" t="s">
        <v>4438</v>
      </c>
      <c r="E965" s="44" t="str">
        <f>VLOOKUP(Tabelle7[[#This Row],[EnumName]],Enum[[IFC-Name]:[Präfix]],5,FALSE)&amp;Tabelle7[[#This Row],[EnuRohValue]]</f>
        <v>mesSIUN_HERTZ</v>
      </c>
      <c r="F965" s="44">
        <f>COUNTIF(Tabelle7[EnuValue],Tabelle7[[#This Row],[EnuValue]])</f>
        <v>1</v>
      </c>
      <c r="G965" s="44" t="str">
        <f xml:space="preserve"> "  " &amp; Tabelle7[[#This Row],[EnuValue]] &amp; " = " &amp; Tabelle7[[#This Row],[Wert]]</f>
        <v xml:space="preserve">  mesSIUN_HERTZ = 11</v>
      </c>
      <c r="H965" s="44" t="str">
        <f>"  If Wert = " &amp; Tabelle7[[#This Row],[EnuValue]] &amp; " then Res = ""." &amp; Tabelle7[[#This Row],[EnuRohValue]] &amp; "."""</f>
        <v xml:space="preserve">  If Wert = mesSIUN_HERTZ then Res = ".HERTZ."</v>
      </c>
      <c r="I965" s="44" t="str">
        <f>"  If wert = ""." &amp; Tabelle7[[#This Row],[EnuRohValue]] &amp; "."" Then Res = " &amp; Tabelle7[[#This Row],[EnuValue]]</f>
        <v xml:space="preserve">  If wert = ".HERTZ." Then Res = mesSIUN_HERTZ</v>
      </c>
    </row>
    <row r="966" spans="2:9" x14ac:dyDescent="0.25">
      <c r="B966" s="44">
        <v>12</v>
      </c>
      <c r="C966" s="45" t="s">
        <v>1624</v>
      </c>
      <c r="D966" s="44" t="s">
        <v>4439</v>
      </c>
      <c r="E966" s="44" t="str">
        <f>VLOOKUP(Tabelle7[[#This Row],[EnumName]],Enum[[IFC-Name]:[Präfix]],5,FALSE)&amp;Tabelle7[[#This Row],[EnuRohValue]]</f>
        <v>mesSIUN_JOULE</v>
      </c>
      <c r="F966" s="44">
        <f>COUNTIF(Tabelle7[EnuValue],Tabelle7[[#This Row],[EnuValue]])</f>
        <v>1</v>
      </c>
      <c r="G966" s="44" t="str">
        <f xml:space="preserve"> "  " &amp; Tabelle7[[#This Row],[EnuValue]] &amp; " = " &amp; Tabelle7[[#This Row],[Wert]]</f>
        <v xml:space="preserve">  mesSIUN_JOULE = 12</v>
      </c>
      <c r="H966" s="44" t="str">
        <f>"  If Wert = " &amp; Tabelle7[[#This Row],[EnuValue]] &amp; " then Res = ""." &amp; Tabelle7[[#This Row],[EnuRohValue]] &amp; "."""</f>
        <v xml:space="preserve">  If Wert = mesSIUN_JOULE then Res = ".JOULE."</v>
      </c>
      <c r="I966" s="44" t="str">
        <f>"  If wert = ""." &amp; Tabelle7[[#This Row],[EnuRohValue]] &amp; "."" Then Res = " &amp; Tabelle7[[#This Row],[EnuValue]]</f>
        <v xml:space="preserve">  If wert = ".JOULE." Then Res = mesSIUN_JOULE</v>
      </c>
    </row>
    <row r="967" spans="2:9" x14ac:dyDescent="0.25">
      <c r="B967" s="44">
        <v>13</v>
      </c>
      <c r="C967" s="45" t="s">
        <v>1624</v>
      </c>
      <c r="D967" s="44" t="s">
        <v>4440</v>
      </c>
      <c r="E967" s="44" t="str">
        <f>VLOOKUP(Tabelle7[[#This Row],[EnumName]],Enum[[IFC-Name]:[Präfix]],5,FALSE)&amp;Tabelle7[[#This Row],[EnuRohValue]]</f>
        <v>mesSIUN_KELVIN</v>
      </c>
      <c r="F967" s="44">
        <f>COUNTIF(Tabelle7[EnuValue],Tabelle7[[#This Row],[EnuValue]])</f>
        <v>1</v>
      </c>
      <c r="G967" s="44" t="str">
        <f xml:space="preserve"> "  " &amp; Tabelle7[[#This Row],[EnuValue]] &amp; " = " &amp; Tabelle7[[#This Row],[Wert]]</f>
        <v xml:space="preserve">  mesSIUN_KELVIN = 13</v>
      </c>
      <c r="H967" s="44" t="str">
        <f>"  If Wert = " &amp; Tabelle7[[#This Row],[EnuValue]] &amp; " then Res = ""." &amp; Tabelle7[[#This Row],[EnuRohValue]] &amp; "."""</f>
        <v xml:space="preserve">  If Wert = mesSIUN_KELVIN then Res = ".KELVIN."</v>
      </c>
      <c r="I967" s="44" t="str">
        <f>"  If wert = ""." &amp; Tabelle7[[#This Row],[EnuRohValue]] &amp; "."" Then Res = " &amp; Tabelle7[[#This Row],[EnuValue]]</f>
        <v xml:space="preserve">  If wert = ".KELVIN." Then Res = mesSIUN_KELVIN</v>
      </c>
    </row>
    <row r="968" spans="2:9" x14ac:dyDescent="0.25">
      <c r="B968" s="44">
        <v>14</v>
      </c>
      <c r="C968" s="45" t="s">
        <v>1624</v>
      </c>
      <c r="D968" s="44" t="s">
        <v>4441</v>
      </c>
      <c r="E968" s="44" t="str">
        <f>VLOOKUP(Tabelle7[[#This Row],[EnumName]],Enum[[IFC-Name]:[Präfix]],5,FALSE)&amp;Tabelle7[[#This Row],[EnuRohValue]]</f>
        <v>mesSIUN_LUMEN</v>
      </c>
      <c r="F968" s="44">
        <f>COUNTIF(Tabelle7[EnuValue],Tabelle7[[#This Row],[EnuValue]])</f>
        <v>1</v>
      </c>
      <c r="G968" s="44" t="str">
        <f xml:space="preserve"> "  " &amp; Tabelle7[[#This Row],[EnuValue]] &amp; " = " &amp; Tabelle7[[#This Row],[Wert]]</f>
        <v xml:space="preserve">  mesSIUN_LUMEN = 14</v>
      </c>
      <c r="H968" s="44" t="str">
        <f>"  If Wert = " &amp; Tabelle7[[#This Row],[EnuValue]] &amp; " then Res = ""." &amp; Tabelle7[[#This Row],[EnuRohValue]] &amp; "."""</f>
        <v xml:space="preserve">  If Wert = mesSIUN_LUMEN then Res = ".LUMEN."</v>
      </c>
      <c r="I968" s="44" t="str">
        <f>"  If wert = ""." &amp; Tabelle7[[#This Row],[EnuRohValue]] &amp; "."" Then Res = " &amp; Tabelle7[[#This Row],[EnuValue]]</f>
        <v xml:space="preserve">  If wert = ".LUMEN." Then Res = mesSIUN_LUMEN</v>
      </c>
    </row>
    <row r="969" spans="2:9" x14ac:dyDescent="0.25">
      <c r="B969" s="44">
        <v>15</v>
      </c>
      <c r="C969" s="45" t="s">
        <v>1624</v>
      </c>
      <c r="D969" s="44" t="s">
        <v>4442</v>
      </c>
      <c r="E969" s="44" t="str">
        <f>VLOOKUP(Tabelle7[[#This Row],[EnumName]],Enum[[IFC-Name]:[Präfix]],5,FALSE)&amp;Tabelle7[[#This Row],[EnuRohValue]]</f>
        <v>mesSIUN_LUX</v>
      </c>
      <c r="F969" s="44">
        <f>COUNTIF(Tabelle7[EnuValue],Tabelle7[[#This Row],[EnuValue]])</f>
        <v>1</v>
      </c>
      <c r="G969" s="44" t="str">
        <f xml:space="preserve"> "  " &amp; Tabelle7[[#This Row],[EnuValue]] &amp; " = " &amp; Tabelle7[[#This Row],[Wert]]</f>
        <v xml:space="preserve">  mesSIUN_LUX = 15</v>
      </c>
      <c r="H969" s="44" t="str">
        <f>"  If Wert = " &amp; Tabelle7[[#This Row],[EnuValue]] &amp; " then Res = ""." &amp; Tabelle7[[#This Row],[EnuRohValue]] &amp; "."""</f>
        <v xml:space="preserve">  If Wert = mesSIUN_LUX then Res = ".LUX."</v>
      </c>
      <c r="I969" s="44" t="str">
        <f>"  If wert = ""." &amp; Tabelle7[[#This Row],[EnuRohValue]] &amp; "."" Then Res = " &amp; Tabelle7[[#This Row],[EnuValue]]</f>
        <v xml:space="preserve">  If wert = ".LUX." Then Res = mesSIUN_LUX</v>
      </c>
    </row>
    <row r="970" spans="2:9" x14ac:dyDescent="0.25">
      <c r="B970" s="44">
        <v>16</v>
      </c>
      <c r="C970" s="45" t="s">
        <v>1624</v>
      </c>
      <c r="D970" s="44" t="s">
        <v>4443</v>
      </c>
      <c r="E970" s="44" t="str">
        <f>VLOOKUP(Tabelle7[[#This Row],[EnumName]],Enum[[IFC-Name]:[Präfix]],5,FALSE)&amp;Tabelle7[[#This Row],[EnuRohValue]]</f>
        <v>mesSIUN_METRE</v>
      </c>
      <c r="F970" s="44">
        <f>COUNTIF(Tabelle7[EnuValue],Tabelle7[[#This Row],[EnuValue]])</f>
        <v>1</v>
      </c>
      <c r="G970" s="44" t="str">
        <f xml:space="preserve"> "  " &amp; Tabelle7[[#This Row],[EnuValue]] &amp; " = " &amp; Tabelle7[[#This Row],[Wert]]</f>
        <v xml:space="preserve">  mesSIUN_METRE = 16</v>
      </c>
      <c r="H970" s="44" t="str">
        <f>"  If Wert = " &amp; Tabelle7[[#This Row],[EnuValue]] &amp; " then Res = ""." &amp; Tabelle7[[#This Row],[EnuRohValue]] &amp; "."""</f>
        <v xml:space="preserve">  If Wert = mesSIUN_METRE then Res = ".METRE."</v>
      </c>
      <c r="I970" s="44" t="str">
        <f>"  If wert = ""." &amp; Tabelle7[[#This Row],[EnuRohValue]] &amp; "."" Then Res = " &amp; Tabelle7[[#This Row],[EnuValue]]</f>
        <v xml:space="preserve">  If wert = ".METRE." Then Res = mesSIUN_METRE</v>
      </c>
    </row>
    <row r="971" spans="2:9" x14ac:dyDescent="0.25">
      <c r="B971" s="44">
        <v>17</v>
      </c>
      <c r="C971" s="45" t="s">
        <v>1624</v>
      </c>
      <c r="D971" s="44" t="s">
        <v>4444</v>
      </c>
      <c r="E971" s="44" t="str">
        <f>VLOOKUP(Tabelle7[[#This Row],[EnumName]],Enum[[IFC-Name]:[Präfix]],5,FALSE)&amp;Tabelle7[[#This Row],[EnuRohValue]]</f>
        <v>mesSIUN_MOLE</v>
      </c>
      <c r="F971" s="44">
        <f>COUNTIF(Tabelle7[EnuValue],Tabelle7[[#This Row],[EnuValue]])</f>
        <v>1</v>
      </c>
      <c r="G971" s="44" t="str">
        <f xml:space="preserve"> "  " &amp; Tabelle7[[#This Row],[EnuValue]] &amp; " = " &amp; Tabelle7[[#This Row],[Wert]]</f>
        <v xml:space="preserve">  mesSIUN_MOLE = 17</v>
      </c>
      <c r="H971" s="44" t="str">
        <f>"  If Wert = " &amp; Tabelle7[[#This Row],[EnuValue]] &amp; " then Res = ""." &amp; Tabelle7[[#This Row],[EnuRohValue]] &amp; "."""</f>
        <v xml:space="preserve">  If Wert = mesSIUN_MOLE then Res = ".MOLE."</v>
      </c>
      <c r="I971" s="44" t="str">
        <f>"  If wert = ""." &amp; Tabelle7[[#This Row],[EnuRohValue]] &amp; "."" Then Res = " &amp; Tabelle7[[#This Row],[EnuValue]]</f>
        <v xml:space="preserve">  If wert = ".MOLE." Then Res = mesSIUN_MOLE</v>
      </c>
    </row>
    <row r="972" spans="2:9" x14ac:dyDescent="0.25">
      <c r="B972" s="44">
        <v>18</v>
      </c>
      <c r="C972" s="45" t="s">
        <v>1624</v>
      </c>
      <c r="D972" s="44" t="s">
        <v>4445</v>
      </c>
      <c r="E972" s="44" t="str">
        <f>VLOOKUP(Tabelle7[[#This Row],[EnumName]],Enum[[IFC-Name]:[Präfix]],5,FALSE)&amp;Tabelle7[[#This Row],[EnuRohValue]]</f>
        <v>mesSIUN_NEWTON</v>
      </c>
      <c r="F972" s="44">
        <f>COUNTIF(Tabelle7[EnuValue],Tabelle7[[#This Row],[EnuValue]])</f>
        <v>1</v>
      </c>
      <c r="G972" s="44" t="str">
        <f xml:space="preserve"> "  " &amp; Tabelle7[[#This Row],[EnuValue]] &amp; " = " &amp; Tabelle7[[#This Row],[Wert]]</f>
        <v xml:space="preserve">  mesSIUN_NEWTON = 18</v>
      </c>
      <c r="H972" s="44" t="str">
        <f>"  If Wert = " &amp; Tabelle7[[#This Row],[EnuValue]] &amp; " then Res = ""." &amp; Tabelle7[[#This Row],[EnuRohValue]] &amp; "."""</f>
        <v xml:space="preserve">  If Wert = mesSIUN_NEWTON then Res = ".NEWTON."</v>
      </c>
      <c r="I972" s="44" t="str">
        <f>"  If wert = ""." &amp; Tabelle7[[#This Row],[EnuRohValue]] &amp; "."" Then Res = " &amp; Tabelle7[[#This Row],[EnuValue]]</f>
        <v xml:space="preserve">  If wert = ".NEWTON." Then Res = mesSIUN_NEWTON</v>
      </c>
    </row>
    <row r="973" spans="2:9" x14ac:dyDescent="0.25">
      <c r="B973" s="44">
        <v>19</v>
      </c>
      <c r="C973" s="45" t="s">
        <v>1624</v>
      </c>
      <c r="D973" s="44" t="s">
        <v>4446</v>
      </c>
      <c r="E973" s="44" t="str">
        <f>VLOOKUP(Tabelle7[[#This Row],[EnumName]],Enum[[IFC-Name]:[Präfix]],5,FALSE)&amp;Tabelle7[[#This Row],[EnuRohValue]]</f>
        <v>mesSIUN_OHM</v>
      </c>
      <c r="F973" s="44">
        <f>COUNTIF(Tabelle7[EnuValue],Tabelle7[[#This Row],[EnuValue]])</f>
        <v>1</v>
      </c>
      <c r="G973" s="44" t="str">
        <f xml:space="preserve"> "  " &amp; Tabelle7[[#This Row],[EnuValue]] &amp; " = " &amp; Tabelle7[[#This Row],[Wert]]</f>
        <v xml:space="preserve">  mesSIUN_OHM = 19</v>
      </c>
      <c r="H973" s="44" t="str">
        <f>"  If Wert = " &amp; Tabelle7[[#This Row],[EnuValue]] &amp; " then Res = ""." &amp; Tabelle7[[#This Row],[EnuRohValue]] &amp; "."""</f>
        <v xml:space="preserve">  If Wert = mesSIUN_OHM then Res = ".OHM."</v>
      </c>
      <c r="I973" s="44" t="str">
        <f>"  If wert = ""." &amp; Tabelle7[[#This Row],[EnuRohValue]] &amp; "."" Then Res = " &amp; Tabelle7[[#This Row],[EnuValue]]</f>
        <v xml:space="preserve">  If wert = ".OHM." Then Res = mesSIUN_OHM</v>
      </c>
    </row>
    <row r="974" spans="2:9" x14ac:dyDescent="0.25">
      <c r="B974" s="44">
        <v>20</v>
      </c>
      <c r="C974" s="45" t="s">
        <v>1624</v>
      </c>
      <c r="D974" s="44" t="s">
        <v>4447</v>
      </c>
      <c r="E974" s="44" t="str">
        <f>VLOOKUP(Tabelle7[[#This Row],[EnumName]],Enum[[IFC-Name]:[Präfix]],5,FALSE)&amp;Tabelle7[[#This Row],[EnuRohValue]]</f>
        <v>mesSIUN_PASCAL</v>
      </c>
      <c r="F974" s="44">
        <f>COUNTIF(Tabelle7[EnuValue],Tabelle7[[#This Row],[EnuValue]])</f>
        <v>1</v>
      </c>
      <c r="G974" s="44" t="str">
        <f xml:space="preserve"> "  " &amp; Tabelle7[[#This Row],[EnuValue]] &amp; " = " &amp; Tabelle7[[#This Row],[Wert]]</f>
        <v xml:space="preserve">  mesSIUN_PASCAL = 20</v>
      </c>
      <c r="H974" s="44" t="str">
        <f>"  If Wert = " &amp; Tabelle7[[#This Row],[EnuValue]] &amp; " then Res = ""." &amp; Tabelle7[[#This Row],[EnuRohValue]] &amp; "."""</f>
        <v xml:space="preserve">  If Wert = mesSIUN_PASCAL then Res = ".PASCAL."</v>
      </c>
      <c r="I974" s="44" t="str">
        <f>"  If wert = ""." &amp; Tabelle7[[#This Row],[EnuRohValue]] &amp; "."" Then Res = " &amp; Tabelle7[[#This Row],[EnuValue]]</f>
        <v xml:space="preserve">  If wert = ".PASCAL." Then Res = mesSIUN_PASCAL</v>
      </c>
    </row>
    <row r="975" spans="2:9" x14ac:dyDescent="0.25">
      <c r="B975" s="44">
        <v>21</v>
      </c>
      <c r="C975" s="45" t="s">
        <v>1624</v>
      </c>
      <c r="D975" s="44" t="s">
        <v>4448</v>
      </c>
      <c r="E975" s="44" t="str">
        <f>VLOOKUP(Tabelle7[[#This Row],[EnumName]],Enum[[IFC-Name]:[Präfix]],5,FALSE)&amp;Tabelle7[[#This Row],[EnuRohValue]]</f>
        <v>mesSIUN_RADIAN</v>
      </c>
      <c r="F975" s="44">
        <f>COUNTIF(Tabelle7[EnuValue],Tabelle7[[#This Row],[EnuValue]])</f>
        <v>1</v>
      </c>
      <c r="G975" s="44" t="str">
        <f xml:space="preserve"> "  " &amp; Tabelle7[[#This Row],[EnuValue]] &amp; " = " &amp; Tabelle7[[#This Row],[Wert]]</f>
        <v xml:space="preserve">  mesSIUN_RADIAN = 21</v>
      </c>
      <c r="H975" s="44" t="str">
        <f>"  If Wert = " &amp; Tabelle7[[#This Row],[EnuValue]] &amp; " then Res = ""." &amp; Tabelle7[[#This Row],[EnuRohValue]] &amp; "."""</f>
        <v xml:space="preserve">  If Wert = mesSIUN_RADIAN then Res = ".RADIAN."</v>
      </c>
      <c r="I975" s="44" t="str">
        <f>"  If wert = ""." &amp; Tabelle7[[#This Row],[EnuRohValue]] &amp; "."" Then Res = " &amp; Tabelle7[[#This Row],[EnuValue]]</f>
        <v xml:space="preserve">  If wert = ".RADIAN." Then Res = mesSIUN_RADIAN</v>
      </c>
    </row>
    <row r="976" spans="2:9" x14ac:dyDescent="0.25">
      <c r="B976" s="44">
        <v>22</v>
      </c>
      <c r="C976" s="45" t="s">
        <v>1624</v>
      </c>
      <c r="D976" s="44" t="s">
        <v>4449</v>
      </c>
      <c r="E976" s="44" t="str">
        <f>VLOOKUP(Tabelle7[[#This Row],[EnumName]],Enum[[IFC-Name]:[Präfix]],5,FALSE)&amp;Tabelle7[[#This Row],[EnuRohValue]]</f>
        <v>mesSIUN_SECOND</v>
      </c>
      <c r="F976" s="44">
        <f>COUNTIF(Tabelle7[EnuValue],Tabelle7[[#This Row],[EnuValue]])</f>
        <v>1</v>
      </c>
      <c r="G976" s="44" t="str">
        <f xml:space="preserve"> "  " &amp; Tabelle7[[#This Row],[EnuValue]] &amp; " = " &amp; Tabelle7[[#This Row],[Wert]]</f>
        <v xml:space="preserve">  mesSIUN_SECOND = 22</v>
      </c>
      <c r="H976" s="44" t="str">
        <f>"  If Wert = " &amp; Tabelle7[[#This Row],[EnuValue]] &amp; " then Res = ""." &amp; Tabelle7[[#This Row],[EnuRohValue]] &amp; "."""</f>
        <v xml:space="preserve">  If Wert = mesSIUN_SECOND then Res = ".SECOND."</v>
      </c>
      <c r="I976" s="44" t="str">
        <f>"  If wert = ""." &amp; Tabelle7[[#This Row],[EnuRohValue]] &amp; "."" Then Res = " &amp; Tabelle7[[#This Row],[EnuValue]]</f>
        <v xml:space="preserve">  If wert = ".SECOND." Then Res = mesSIUN_SECOND</v>
      </c>
    </row>
    <row r="977" spans="2:9" x14ac:dyDescent="0.25">
      <c r="B977" s="44">
        <v>23</v>
      </c>
      <c r="C977" s="45" t="s">
        <v>1624</v>
      </c>
      <c r="D977" s="44" t="s">
        <v>4450</v>
      </c>
      <c r="E977" s="44" t="str">
        <f>VLOOKUP(Tabelle7[[#This Row],[EnumName]],Enum[[IFC-Name]:[Präfix]],5,FALSE)&amp;Tabelle7[[#This Row],[EnuRohValue]]</f>
        <v>mesSIUN_SIEMENS</v>
      </c>
      <c r="F977" s="44">
        <f>COUNTIF(Tabelle7[EnuValue],Tabelle7[[#This Row],[EnuValue]])</f>
        <v>1</v>
      </c>
      <c r="G977" s="44" t="str">
        <f xml:space="preserve"> "  " &amp; Tabelle7[[#This Row],[EnuValue]] &amp; " = " &amp; Tabelle7[[#This Row],[Wert]]</f>
        <v xml:space="preserve">  mesSIUN_SIEMENS = 23</v>
      </c>
      <c r="H977" s="44" t="str">
        <f>"  If Wert = " &amp; Tabelle7[[#This Row],[EnuValue]] &amp; " then Res = ""." &amp; Tabelle7[[#This Row],[EnuRohValue]] &amp; "."""</f>
        <v xml:space="preserve">  If Wert = mesSIUN_SIEMENS then Res = ".SIEMENS."</v>
      </c>
      <c r="I977" s="44" t="str">
        <f>"  If wert = ""." &amp; Tabelle7[[#This Row],[EnuRohValue]] &amp; "."" Then Res = " &amp; Tabelle7[[#This Row],[EnuValue]]</f>
        <v xml:space="preserve">  If wert = ".SIEMENS." Then Res = mesSIUN_SIEMENS</v>
      </c>
    </row>
    <row r="978" spans="2:9" x14ac:dyDescent="0.25">
      <c r="B978" s="44">
        <v>24</v>
      </c>
      <c r="C978" s="45" t="s">
        <v>1624</v>
      </c>
      <c r="D978" s="44" t="s">
        <v>4451</v>
      </c>
      <c r="E978" s="44" t="str">
        <f>VLOOKUP(Tabelle7[[#This Row],[EnumName]],Enum[[IFC-Name]:[Präfix]],5,FALSE)&amp;Tabelle7[[#This Row],[EnuRohValue]]</f>
        <v>mesSIUN_SIEVERT</v>
      </c>
      <c r="F978" s="44">
        <f>COUNTIF(Tabelle7[EnuValue],Tabelle7[[#This Row],[EnuValue]])</f>
        <v>1</v>
      </c>
      <c r="G978" s="44" t="str">
        <f xml:space="preserve"> "  " &amp; Tabelle7[[#This Row],[EnuValue]] &amp; " = " &amp; Tabelle7[[#This Row],[Wert]]</f>
        <v xml:space="preserve">  mesSIUN_SIEVERT = 24</v>
      </c>
      <c r="H978" s="44" t="str">
        <f>"  If Wert = " &amp; Tabelle7[[#This Row],[EnuValue]] &amp; " then Res = ""." &amp; Tabelle7[[#This Row],[EnuRohValue]] &amp; "."""</f>
        <v xml:space="preserve">  If Wert = mesSIUN_SIEVERT then Res = ".SIEVERT."</v>
      </c>
      <c r="I978" s="44" t="str">
        <f>"  If wert = ""." &amp; Tabelle7[[#This Row],[EnuRohValue]] &amp; "."" Then Res = " &amp; Tabelle7[[#This Row],[EnuValue]]</f>
        <v xml:space="preserve">  If wert = ".SIEVERT." Then Res = mesSIUN_SIEVERT</v>
      </c>
    </row>
    <row r="979" spans="2:9" x14ac:dyDescent="0.25">
      <c r="B979" s="44">
        <v>25</v>
      </c>
      <c r="C979" s="45" t="s">
        <v>1624</v>
      </c>
      <c r="D979" s="44" t="s">
        <v>4452</v>
      </c>
      <c r="E979" s="44" t="str">
        <f>VLOOKUP(Tabelle7[[#This Row],[EnumName]],Enum[[IFC-Name]:[Präfix]],5,FALSE)&amp;Tabelle7[[#This Row],[EnuRohValue]]</f>
        <v>mesSIUN_SQUARE_METRE</v>
      </c>
      <c r="F979" s="44">
        <f>COUNTIF(Tabelle7[EnuValue],Tabelle7[[#This Row],[EnuValue]])</f>
        <v>1</v>
      </c>
      <c r="G979" s="44" t="str">
        <f xml:space="preserve"> "  " &amp; Tabelle7[[#This Row],[EnuValue]] &amp; " = " &amp; Tabelle7[[#This Row],[Wert]]</f>
        <v xml:space="preserve">  mesSIUN_SQUARE_METRE = 25</v>
      </c>
      <c r="H979" s="44" t="str">
        <f>"  If Wert = " &amp; Tabelle7[[#This Row],[EnuValue]] &amp; " then Res = ""." &amp; Tabelle7[[#This Row],[EnuRohValue]] &amp; "."""</f>
        <v xml:space="preserve">  If Wert = mesSIUN_SQUARE_METRE then Res = ".SQUARE_METRE."</v>
      </c>
      <c r="I979" s="44" t="str">
        <f>"  If wert = ""." &amp; Tabelle7[[#This Row],[EnuRohValue]] &amp; "."" Then Res = " &amp; Tabelle7[[#This Row],[EnuValue]]</f>
        <v xml:space="preserve">  If wert = ".SQUARE_METRE." Then Res = mesSIUN_SQUARE_METRE</v>
      </c>
    </row>
    <row r="980" spans="2:9" x14ac:dyDescent="0.25">
      <c r="B980" s="44">
        <v>26</v>
      </c>
      <c r="C980" s="45" t="s">
        <v>1624</v>
      </c>
      <c r="D980" s="44" t="s">
        <v>4453</v>
      </c>
      <c r="E980" s="44" t="str">
        <f>VLOOKUP(Tabelle7[[#This Row],[EnumName]],Enum[[IFC-Name]:[Präfix]],5,FALSE)&amp;Tabelle7[[#This Row],[EnuRohValue]]</f>
        <v>mesSIUN_STERADIAN</v>
      </c>
      <c r="F980" s="44">
        <f>COUNTIF(Tabelle7[EnuValue],Tabelle7[[#This Row],[EnuValue]])</f>
        <v>1</v>
      </c>
      <c r="G980" s="44" t="str">
        <f xml:space="preserve"> "  " &amp; Tabelle7[[#This Row],[EnuValue]] &amp; " = " &amp; Tabelle7[[#This Row],[Wert]]</f>
        <v xml:space="preserve">  mesSIUN_STERADIAN = 26</v>
      </c>
      <c r="H980" s="44" t="str">
        <f>"  If Wert = " &amp; Tabelle7[[#This Row],[EnuValue]] &amp; " then Res = ""." &amp; Tabelle7[[#This Row],[EnuRohValue]] &amp; "."""</f>
        <v xml:space="preserve">  If Wert = mesSIUN_STERADIAN then Res = ".STERADIAN."</v>
      </c>
      <c r="I980" s="44" t="str">
        <f>"  If wert = ""." &amp; Tabelle7[[#This Row],[EnuRohValue]] &amp; "."" Then Res = " &amp; Tabelle7[[#This Row],[EnuValue]]</f>
        <v xml:space="preserve">  If wert = ".STERADIAN." Then Res = mesSIUN_STERADIAN</v>
      </c>
    </row>
    <row r="981" spans="2:9" x14ac:dyDescent="0.25">
      <c r="B981" s="44">
        <v>27</v>
      </c>
      <c r="C981" s="45" t="s">
        <v>1624</v>
      </c>
      <c r="D981" s="44" t="s">
        <v>4454</v>
      </c>
      <c r="E981" s="44" t="str">
        <f>VLOOKUP(Tabelle7[[#This Row],[EnumName]],Enum[[IFC-Name]:[Präfix]],5,FALSE)&amp;Tabelle7[[#This Row],[EnuRohValue]]</f>
        <v>mesSIUN_TESLA</v>
      </c>
      <c r="F981" s="44">
        <f>COUNTIF(Tabelle7[EnuValue],Tabelle7[[#This Row],[EnuValue]])</f>
        <v>1</v>
      </c>
      <c r="G981" s="44" t="str">
        <f xml:space="preserve"> "  " &amp; Tabelle7[[#This Row],[EnuValue]] &amp; " = " &amp; Tabelle7[[#This Row],[Wert]]</f>
        <v xml:space="preserve">  mesSIUN_TESLA = 27</v>
      </c>
      <c r="H981" s="44" t="str">
        <f>"  If Wert = " &amp; Tabelle7[[#This Row],[EnuValue]] &amp; " then Res = ""." &amp; Tabelle7[[#This Row],[EnuRohValue]] &amp; "."""</f>
        <v xml:space="preserve">  If Wert = mesSIUN_TESLA then Res = ".TESLA."</v>
      </c>
      <c r="I981" s="44" t="str">
        <f>"  If wert = ""." &amp; Tabelle7[[#This Row],[EnuRohValue]] &amp; "."" Then Res = " &amp; Tabelle7[[#This Row],[EnuValue]]</f>
        <v xml:space="preserve">  If wert = ".TESLA." Then Res = mesSIUN_TESLA</v>
      </c>
    </row>
    <row r="982" spans="2:9" x14ac:dyDescent="0.25">
      <c r="B982" s="44">
        <v>28</v>
      </c>
      <c r="C982" s="45" t="s">
        <v>1624</v>
      </c>
      <c r="D982" s="44" t="s">
        <v>4455</v>
      </c>
      <c r="E982" s="44" t="str">
        <f>VLOOKUP(Tabelle7[[#This Row],[EnumName]],Enum[[IFC-Name]:[Präfix]],5,FALSE)&amp;Tabelle7[[#This Row],[EnuRohValue]]</f>
        <v>mesSIUN_VOLT</v>
      </c>
      <c r="F982" s="44">
        <f>COUNTIF(Tabelle7[EnuValue],Tabelle7[[#This Row],[EnuValue]])</f>
        <v>1</v>
      </c>
      <c r="G982" s="44" t="str">
        <f xml:space="preserve"> "  " &amp; Tabelle7[[#This Row],[EnuValue]] &amp; " = " &amp; Tabelle7[[#This Row],[Wert]]</f>
        <v xml:space="preserve">  mesSIUN_VOLT = 28</v>
      </c>
      <c r="H982" s="44" t="str">
        <f>"  If Wert = " &amp; Tabelle7[[#This Row],[EnuValue]] &amp; " then Res = ""." &amp; Tabelle7[[#This Row],[EnuRohValue]] &amp; "."""</f>
        <v xml:space="preserve">  If Wert = mesSIUN_VOLT then Res = ".VOLT."</v>
      </c>
      <c r="I982" s="44" t="str">
        <f>"  If wert = ""." &amp; Tabelle7[[#This Row],[EnuRohValue]] &amp; "."" Then Res = " &amp; Tabelle7[[#This Row],[EnuValue]]</f>
        <v xml:space="preserve">  If wert = ".VOLT." Then Res = mesSIUN_VOLT</v>
      </c>
    </row>
    <row r="983" spans="2:9" x14ac:dyDescent="0.25">
      <c r="B983" s="44">
        <v>29</v>
      </c>
      <c r="C983" s="45" t="s">
        <v>1624</v>
      </c>
      <c r="D983" s="44" t="s">
        <v>4456</v>
      </c>
      <c r="E983" s="44" t="str">
        <f>VLOOKUP(Tabelle7[[#This Row],[EnumName]],Enum[[IFC-Name]:[Präfix]],5,FALSE)&amp;Tabelle7[[#This Row],[EnuRohValue]]</f>
        <v>mesSIUN_WATT</v>
      </c>
      <c r="F983" s="44">
        <f>COUNTIF(Tabelle7[EnuValue],Tabelle7[[#This Row],[EnuValue]])</f>
        <v>1</v>
      </c>
      <c r="G983" s="44" t="str">
        <f xml:space="preserve"> "  " &amp; Tabelle7[[#This Row],[EnuValue]] &amp; " = " &amp; Tabelle7[[#This Row],[Wert]]</f>
        <v xml:space="preserve">  mesSIUN_WATT = 29</v>
      </c>
      <c r="H983" s="44" t="str">
        <f>"  If Wert = " &amp; Tabelle7[[#This Row],[EnuValue]] &amp; " then Res = ""." &amp; Tabelle7[[#This Row],[EnuRohValue]] &amp; "."""</f>
        <v xml:space="preserve">  If Wert = mesSIUN_WATT then Res = ".WATT."</v>
      </c>
      <c r="I983" s="44" t="str">
        <f>"  If wert = ""." &amp; Tabelle7[[#This Row],[EnuRohValue]] &amp; "."" Then Res = " &amp; Tabelle7[[#This Row],[EnuValue]]</f>
        <v xml:space="preserve">  If wert = ".WATT." Then Res = mesSIUN_WATT</v>
      </c>
    </row>
    <row r="984" spans="2:9" x14ac:dyDescent="0.25">
      <c r="B984" s="44">
        <v>30</v>
      </c>
      <c r="C984" s="45" t="s">
        <v>1624</v>
      </c>
      <c r="D984" s="44" t="s">
        <v>4457</v>
      </c>
      <c r="E984" s="44" t="str">
        <f>VLOOKUP(Tabelle7[[#This Row],[EnumName]],Enum[[IFC-Name]:[Präfix]],5,FALSE)&amp;Tabelle7[[#This Row],[EnuRohValue]]</f>
        <v>mesSIUN_WEBER</v>
      </c>
      <c r="F984" s="44">
        <f>COUNTIF(Tabelle7[EnuValue],Tabelle7[[#This Row],[EnuValue]])</f>
        <v>1</v>
      </c>
      <c r="G984" s="44" t="str">
        <f xml:space="preserve"> "  " &amp; Tabelle7[[#This Row],[EnuValue]] &amp; " = " &amp; Tabelle7[[#This Row],[Wert]]</f>
        <v xml:space="preserve">  mesSIUN_WEBER = 30</v>
      </c>
      <c r="H984" s="44" t="str">
        <f>"  If Wert = " &amp; Tabelle7[[#This Row],[EnuValue]] &amp; " then Res = ""." &amp; Tabelle7[[#This Row],[EnuRohValue]] &amp; "."""</f>
        <v xml:space="preserve">  If Wert = mesSIUN_WEBER then Res = ".WEBER."</v>
      </c>
      <c r="I984" s="44" t="str">
        <f>"  If wert = ""." &amp; Tabelle7[[#This Row],[EnuRohValue]] &amp; "."" Then Res = " &amp; Tabelle7[[#This Row],[EnuValue]]</f>
        <v xml:space="preserve">  If wert = ".WEBER." Then Res = mesSIUN_WEBER</v>
      </c>
    </row>
    <row r="985" spans="2:9" x14ac:dyDescent="0.25">
      <c r="B985" s="44">
        <v>1</v>
      </c>
      <c r="C985" s="45" t="s">
        <v>1625</v>
      </c>
      <c r="D985" s="44" t="s">
        <v>4458</v>
      </c>
      <c r="E985" s="44" t="str">
        <f>VLOOKUP(Tabelle7[[#This Row],[EnumName]],Enum[[IFC-Name]:[Präfix]],5,FALSE)&amp;Tabelle7[[#This Row],[EnuRohValue]]</f>
        <v>pfpSaTT_BATH</v>
      </c>
      <c r="F985" s="44">
        <f>COUNTIF(Tabelle7[EnuValue],Tabelle7[[#This Row],[EnuValue]])</f>
        <v>1</v>
      </c>
      <c r="G985" s="44" t="str">
        <f xml:space="preserve"> "  " &amp; Tabelle7[[#This Row],[EnuValue]] &amp; " = " &amp; Tabelle7[[#This Row],[Wert]]</f>
        <v xml:space="preserve">  pfpSaTT_BATH = 1</v>
      </c>
      <c r="H985" s="44" t="str">
        <f>"  If Wert = " &amp; Tabelle7[[#This Row],[EnuValue]] &amp; " then Res = ""." &amp; Tabelle7[[#This Row],[EnuRohValue]] &amp; "."""</f>
        <v xml:space="preserve">  If Wert = pfpSaTT_BATH then Res = ".BATH."</v>
      </c>
      <c r="I985" s="44" t="str">
        <f>"  If wert = ""." &amp; Tabelle7[[#This Row],[EnuRohValue]] &amp; "."" Then Res = " &amp; Tabelle7[[#This Row],[EnuValue]]</f>
        <v xml:space="preserve">  If wert = ".BATH." Then Res = pfpSaTT_BATH</v>
      </c>
    </row>
    <row r="986" spans="2:9" x14ac:dyDescent="0.25">
      <c r="B986" s="44">
        <v>2</v>
      </c>
      <c r="C986" s="45" t="s">
        <v>1625</v>
      </c>
      <c r="D986" s="44" t="s">
        <v>4459</v>
      </c>
      <c r="E986" s="44" t="str">
        <f>VLOOKUP(Tabelle7[[#This Row],[EnumName]],Enum[[IFC-Name]:[Präfix]],5,FALSE)&amp;Tabelle7[[#This Row],[EnuRohValue]]</f>
        <v>pfpSaTT_BIDET</v>
      </c>
      <c r="F986" s="44">
        <f>COUNTIF(Tabelle7[EnuValue],Tabelle7[[#This Row],[EnuValue]])</f>
        <v>1</v>
      </c>
      <c r="G986" s="44" t="str">
        <f xml:space="preserve"> "  " &amp; Tabelle7[[#This Row],[EnuValue]] &amp; " = " &amp; Tabelle7[[#This Row],[Wert]]</f>
        <v xml:space="preserve">  pfpSaTT_BIDET = 2</v>
      </c>
      <c r="H986" s="44" t="str">
        <f>"  If Wert = " &amp; Tabelle7[[#This Row],[EnuValue]] &amp; " then Res = ""." &amp; Tabelle7[[#This Row],[EnuRohValue]] &amp; "."""</f>
        <v xml:space="preserve">  If Wert = pfpSaTT_BIDET then Res = ".BIDET."</v>
      </c>
      <c r="I986" s="44" t="str">
        <f>"  If wert = ""." &amp; Tabelle7[[#This Row],[EnuRohValue]] &amp; "."" Then Res = " &amp; Tabelle7[[#This Row],[EnuValue]]</f>
        <v xml:space="preserve">  If wert = ".BIDET." Then Res = pfpSaTT_BIDET</v>
      </c>
    </row>
    <row r="987" spans="2:9" x14ac:dyDescent="0.25">
      <c r="B987" s="44">
        <v>3</v>
      </c>
      <c r="C987" s="45" t="s">
        <v>1625</v>
      </c>
      <c r="D987" s="44" t="s">
        <v>4460</v>
      </c>
      <c r="E987" s="44" t="str">
        <f>VLOOKUP(Tabelle7[[#This Row],[EnumName]],Enum[[IFC-Name]:[Präfix]],5,FALSE)&amp;Tabelle7[[#This Row],[EnuRohValue]]</f>
        <v>pfpSaTT_CISTERN</v>
      </c>
      <c r="F987" s="44">
        <f>COUNTIF(Tabelle7[EnuValue],Tabelle7[[#This Row],[EnuValue]])</f>
        <v>1</v>
      </c>
      <c r="G987" s="44" t="str">
        <f xml:space="preserve"> "  " &amp; Tabelle7[[#This Row],[EnuValue]] &amp; " = " &amp; Tabelle7[[#This Row],[Wert]]</f>
        <v xml:space="preserve">  pfpSaTT_CISTERN = 3</v>
      </c>
      <c r="H987" s="44" t="str">
        <f>"  If Wert = " &amp; Tabelle7[[#This Row],[EnuValue]] &amp; " then Res = ""." &amp; Tabelle7[[#This Row],[EnuRohValue]] &amp; "."""</f>
        <v xml:space="preserve">  If Wert = pfpSaTT_CISTERN then Res = ".CISTERN."</v>
      </c>
      <c r="I987" s="44" t="str">
        <f>"  If wert = ""." &amp; Tabelle7[[#This Row],[EnuRohValue]] &amp; "."" Then Res = " &amp; Tabelle7[[#This Row],[EnuValue]]</f>
        <v xml:space="preserve">  If wert = ".CISTERN." Then Res = pfpSaTT_CISTERN</v>
      </c>
    </row>
    <row r="988" spans="2:9" x14ac:dyDescent="0.25">
      <c r="B988" s="44">
        <v>4</v>
      </c>
      <c r="C988" s="45" t="s">
        <v>1625</v>
      </c>
      <c r="D988" s="44" t="s">
        <v>4461</v>
      </c>
      <c r="E988" s="44" t="str">
        <f>VLOOKUP(Tabelle7[[#This Row],[EnumName]],Enum[[IFC-Name]:[Präfix]],5,FALSE)&amp;Tabelle7[[#This Row],[EnuRohValue]]</f>
        <v>pfpSaTT_SHOWER</v>
      </c>
      <c r="F988" s="44">
        <f>COUNTIF(Tabelle7[EnuValue],Tabelle7[[#This Row],[EnuValue]])</f>
        <v>1</v>
      </c>
      <c r="G988" s="44" t="str">
        <f xml:space="preserve"> "  " &amp; Tabelle7[[#This Row],[EnuValue]] &amp; " = " &amp; Tabelle7[[#This Row],[Wert]]</f>
        <v xml:space="preserve">  pfpSaTT_SHOWER = 4</v>
      </c>
      <c r="H988" s="44" t="str">
        <f>"  If Wert = " &amp; Tabelle7[[#This Row],[EnuValue]] &amp; " then Res = ""." &amp; Tabelle7[[#This Row],[EnuRohValue]] &amp; "."""</f>
        <v xml:space="preserve">  If Wert = pfpSaTT_SHOWER then Res = ".SHOWER."</v>
      </c>
      <c r="I988" s="44" t="str">
        <f>"  If wert = ""." &amp; Tabelle7[[#This Row],[EnuRohValue]] &amp; "."" Then Res = " &amp; Tabelle7[[#This Row],[EnuValue]]</f>
        <v xml:space="preserve">  If wert = ".SHOWER." Then Res = pfpSaTT_SHOWER</v>
      </c>
    </row>
    <row r="989" spans="2:9" x14ac:dyDescent="0.25">
      <c r="B989" s="44">
        <v>5</v>
      </c>
      <c r="C989" s="45" t="s">
        <v>1625</v>
      </c>
      <c r="D989" s="44" t="s">
        <v>4175</v>
      </c>
      <c r="E989" s="44" t="str">
        <f>VLOOKUP(Tabelle7[[#This Row],[EnumName]],Enum[[IFC-Name]:[Präfix]],5,FALSE)&amp;Tabelle7[[#This Row],[EnuRohValue]]</f>
        <v>pfpSaTT_SINK</v>
      </c>
      <c r="F989" s="44">
        <f>COUNTIF(Tabelle7[EnuValue],Tabelle7[[#This Row],[EnuValue]])</f>
        <v>1</v>
      </c>
      <c r="G989" s="44" t="str">
        <f xml:space="preserve"> "  " &amp; Tabelle7[[#This Row],[EnuValue]] &amp; " = " &amp; Tabelle7[[#This Row],[Wert]]</f>
        <v xml:space="preserve">  pfpSaTT_SINK = 5</v>
      </c>
      <c r="H989" s="44" t="str">
        <f>"  If Wert = " &amp; Tabelle7[[#This Row],[EnuValue]] &amp; " then Res = ""." &amp; Tabelle7[[#This Row],[EnuRohValue]] &amp; "."""</f>
        <v xml:space="preserve">  If Wert = pfpSaTT_SINK then Res = ".SINK."</v>
      </c>
      <c r="I989" s="44" t="str">
        <f>"  If wert = ""." &amp; Tabelle7[[#This Row],[EnuRohValue]] &amp; "."" Then Res = " &amp; Tabelle7[[#This Row],[EnuValue]]</f>
        <v xml:space="preserve">  If wert = ".SINK." Then Res = pfpSaTT_SINK</v>
      </c>
    </row>
    <row r="990" spans="2:9" x14ac:dyDescent="0.25">
      <c r="B990" s="44">
        <v>6</v>
      </c>
      <c r="C990" s="45" t="s">
        <v>1625</v>
      </c>
      <c r="D990" s="44" t="s">
        <v>4462</v>
      </c>
      <c r="E990" s="44" t="str">
        <f>VLOOKUP(Tabelle7[[#This Row],[EnumName]],Enum[[IFC-Name]:[Präfix]],5,FALSE)&amp;Tabelle7[[#This Row],[EnuRohValue]]</f>
        <v>pfpSaTT_SANITARYFOUNTAIN</v>
      </c>
      <c r="F990" s="44">
        <f>COUNTIF(Tabelle7[EnuValue],Tabelle7[[#This Row],[EnuValue]])</f>
        <v>1</v>
      </c>
      <c r="G990" s="44" t="str">
        <f xml:space="preserve"> "  " &amp; Tabelle7[[#This Row],[EnuValue]] &amp; " = " &amp; Tabelle7[[#This Row],[Wert]]</f>
        <v xml:space="preserve">  pfpSaTT_SANITARYFOUNTAIN = 6</v>
      </c>
      <c r="H990" s="44" t="str">
        <f>"  If Wert = " &amp; Tabelle7[[#This Row],[EnuValue]] &amp; " then Res = ""." &amp; Tabelle7[[#This Row],[EnuRohValue]] &amp; "."""</f>
        <v xml:space="preserve">  If Wert = pfpSaTT_SANITARYFOUNTAIN then Res = ".SANITARYFOUNTAIN."</v>
      </c>
      <c r="I990" s="44" t="str">
        <f>"  If wert = ""." &amp; Tabelle7[[#This Row],[EnuRohValue]] &amp; "."" Then Res = " &amp; Tabelle7[[#This Row],[EnuValue]]</f>
        <v xml:space="preserve">  If wert = ".SANITARYFOUNTAIN." Then Res = pfpSaTT_SANITARYFOUNTAIN</v>
      </c>
    </row>
    <row r="991" spans="2:9" x14ac:dyDescent="0.25">
      <c r="B991" s="44">
        <v>7</v>
      </c>
      <c r="C991" s="45" t="s">
        <v>1625</v>
      </c>
      <c r="D991" s="44" t="s">
        <v>4463</v>
      </c>
      <c r="E991" s="44" t="str">
        <f>VLOOKUP(Tabelle7[[#This Row],[EnumName]],Enum[[IFC-Name]:[Präfix]],5,FALSE)&amp;Tabelle7[[#This Row],[EnuRohValue]]</f>
        <v>pfpSaTT_TOILETPAN</v>
      </c>
      <c r="F991" s="44">
        <f>COUNTIF(Tabelle7[EnuValue],Tabelle7[[#This Row],[EnuValue]])</f>
        <v>1</v>
      </c>
      <c r="G991" s="44" t="str">
        <f xml:space="preserve"> "  " &amp; Tabelle7[[#This Row],[EnuValue]] &amp; " = " &amp; Tabelle7[[#This Row],[Wert]]</f>
        <v xml:space="preserve">  pfpSaTT_TOILETPAN = 7</v>
      </c>
      <c r="H991" s="44" t="str">
        <f>"  If Wert = " &amp; Tabelle7[[#This Row],[EnuValue]] &amp; " then Res = ""." &amp; Tabelle7[[#This Row],[EnuRohValue]] &amp; "."""</f>
        <v xml:space="preserve">  If Wert = pfpSaTT_TOILETPAN then Res = ".TOILETPAN."</v>
      </c>
      <c r="I991" s="44" t="str">
        <f>"  If wert = ""." &amp; Tabelle7[[#This Row],[EnuRohValue]] &amp; "."" Then Res = " &amp; Tabelle7[[#This Row],[EnuValue]]</f>
        <v xml:space="preserve">  If wert = ".TOILETPAN." Then Res = pfpSaTT_TOILETPAN</v>
      </c>
    </row>
    <row r="992" spans="2:9" x14ac:dyDescent="0.25">
      <c r="B992" s="44">
        <v>8</v>
      </c>
      <c r="C992" s="45" t="s">
        <v>1625</v>
      </c>
      <c r="D992" s="44" t="s">
        <v>4464</v>
      </c>
      <c r="E992" s="44" t="str">
        <f>VLOOKUP(Tabelle7[[#This Row],[EnumName]],Enum[[IFC-Name]:[Präfix]],5,FALSE)&amp;Tabelle7[[#This Row],[EnuRohValue]]</f>
        <v>pfpSaTT_URINAL</v>
      </c>
      <c r="F992" s="44">
        <f>COUNTIF(Tabelle7[EnuValue],Tabelle7[[#This Row],[EnuValue]])</f>
        <v>1</v>
      </c>
      <c r="G992" s="44" t="str">
        <f xml:space="preserve"> "  " &amp; Tabelle7[[#This Row],[EnuValue]] &amp; " = " &amp; Tabelle7[[#This Row],[Wert]]</f>
        <v xml:space="preserve">  pfpSaTT_URINAL = 8</v>
      </c>
      <c r="H992" s="44" t="str">
        <f>"  If Wert = " &amp; Tabelle7[[#This Row],[EnuValue]] &amp; " then Res = ""." &amp; Tabelle7[[#This Row],[EnuRohValue]] &amp; "."""</f>
        <v xml:space="preserve">  If Wert = pfpSaTT_URINAL then Res = ".URINAL."</v>
      </c>
      <c r="I992" s="44" t="str">
        <f>"  If wert = ""." &amp; Tabelle7[[#This Row],[EnuRohValue]] &amp; "."" Then Res = " &amp; Tabelle7[[#This Row],[EnuValue]]</f>
        <v xml:space="preserve">  If wert = ".URINAL." Then Res = pfpSaTT_URINAL</v>
      </c>
    </row>
    <row r="993" spans="2:9" x14ac:dyDescent="0.25">
      <c r="B993" s="44">
        <v>9</v>
      </c>
      <c r="C993" s="45" t="s">
        <v>1625</v>
      </c>
      <c r="D993" s="44" t="s">
        <v>4465</v>
      </c>
      <c r="E993" s="44" t="str">
        <f>VLOOKUP(Tabelle7[[#This Row],[EnumName]],Enum[[IFC-Name]:[Präfix]],5,FALSE)&amp;Tabelle7[[#This Row],[EnuRohValue]]</f>
        <v>pfpSaTT_WASHHANDBASIN</v>
      </c>
      <c r="F993" s="44">
        <f>COUNTIF(Tabelle7[EnuValue],Tabelle7[[#This Row],[EnuValue]])</f>
        <v>1</v>
      </c>
      <c r="G993" s="44" t="str">
        <f xml:space="preserve"> "  " &amp; Tabelle7[[#This Row],[EnuValue]] &amp; " = " &amp; Tabelle7[[#This Row],[Wert]]</f>
        <v xml:space="preserve">  pfpSaTT_WASHHANDBASIN = 9</v>
      </c>
      <c r="H993" s="44" t="str">
        <f>"  If Wert = " &amp; Tabelle7[[#This Row],[EnuValue]] &amp; " then Res = ""." &amp; Tabelle7[[#This Row],[EnuRohValue]] &amp; "."""</f>
        <v xml:space="preserve">  If Wert = pfpSaTT_WASHHANDBASIN then Res = ".WASHHANDBASIN."</v>
      </c>
      <c r="I993" s="44" t="str">
        <f>"  If wert = ""." &amp; Tabelle7[[#This Row],[EnuRohValue]] &amp; "."" Then Res = " &amp; Tabelle7[[#This Row],[EnuValue]]</f>
        <v xml:space="preserve">  If wert = ".WASHHANDBASIN." Then Res = pfpSaTT_WASHHANDBASIN</v>
      </c>
    </row>
    <row r="994" spans="2:9" x14ac:dyDescent="0.25">
      <c r="B994" s="44">
        <v>10</v>
      </c>
      <c r="C994" s="45" t="s">
        <v>1625</v>
      </c>
      <c r="D994" s="44" t="s">
        <v>4466</v>
      </c>
      <c r="E994" s="44" t="str">
        <f>VLOOKUP(Tabelle7[[#This Row],[EnumName]],Enum[[IFC-Name]:[Präfix]],5,FALSE)&amp;Tabelle7[[#This Row],[EnuRohValue]]</f>
        <v>pfpSaTT_WCSEAT</v>
      </c>
      <c r="F994" s="44">
        <f>COUNTIF(Tabelle7[EnuValue],Tabelle7[[#This Row],[EnuValue]])</f>
        <v>1</v>
      </c>
      <c r="G994" s="44" t="str">
        <f xml:space="preserve"> "  " &amp; Tabelle7[[#This Row],[EnuValue]] &amp; " = " &amp; Tabelle7[[#This Row],[Wert]]</f>
        <v xml:space="preserve">  pfpSaTT_WCSEAT = 10</v>
      </c>
      <c r="H994" s="44" t="str">
        <f>"  If Wert = " &amp; Tabelle7[[#This Row],[EnuValue]] &amp; " then Res = ""." &amp; Tabelle7[[#This Row],[EnuRohValue]] &amp; "."""</f>
        <v xml:space="preserve">  If Wert = pfpSaTT_WCSEAT then Res = ".WCSEAT."</v>
      </c>
      <c r="I994" s="44" t="str">
        <f>"  If wert = ""." &amp; Tabelle7[[#This Row],[EnuRohValue]] &amp; "."" Then Res = " &amp; Tabelle7[[#This Row],[EnuValue]]</f>
        <v xml:space="preserve">  If wert = ".WCSEAT." Then Res = pfpSaTT_WCSEAT</v>
      </c>
    </row>
    <row r="995" spans="2:9" x14ac:dyDescent="0.25">
      <c r="B995" s="44">
        <v>11</v>
      </c>
      <c r="C995" s="45" t="s">
        <v>1625</v>
      </c>
      <c r="D995" s="44" t="s">
        <v>3682</v>
      </c>
      <c r="E995" s="44" t="str">
        <f>VLOOKUP(Tabelle7[[#This Row],[EnumName]],Enum[[IFC-Name]:[Präfix]],5,FALSE)&amp;Tabelle7[[#This Row],[EnuRohValue]]</f>
        <v>pfpSaTT_USERDEFINED</v>
      </c>
      <c r="F995" s="44">
        <f>COUNTIF(Tabelle7[EnuValue],Tabelle7[[#This Row],[EnuValue]])</f>
        <v>1</v>
      </c>
      <c r="G995" s="44" t="str">
        <f xml:space="preserve"> "  " &amp; Tabelle7[[#This Row],[EnuValue]] &amp; " = " &amp; Tabelle7[[#This Row],[Wert]]</f>
        <v xml:space="preserve">  pfpSaTT_USERDEFINED = 11</v>
      </c>
      <c r="H995" s="44" t="str">
        <f>"  If Wert = " &amp; Tabelle7[[#This Row],[EnuValue]] &amp; " then Res = ""." &amp; Tabelle7[[#This Row],[EnuRohValue]] &amp; "."""</f>
        <v xml:space="preserve">  If Wert = pfpSaTT_USERDEFINED then Res = ".USERDEFINED."</v>
      </c>
      <c r="I995" s="44" t="str">
        <f>"  If wert = ""." &amp; Tabelle7[[#This Row],[EnuRohValue]] &amp; "."" Then Res = " &amp; Tabelle7[[#This Row],[EnuValue]]</f>
        <v xml:space="preserve">  If wert = ".USERDEFINED." Then Res = pfpSaTT_USERDEFINED</v>
      </c>
    </row>
    <row r="996" spans="2:9" x14ac:dyDescent="0.25">
      <c r="B996" s="44">
        <v>12</v>
      </c>
      <c r="C996" s="45" t="s">
        <v>1625</v>
      </c>
      <c r="D996" s="44" t="s">
        <v>3683</v>
      </c>
      <c r="E996" s="44" t="str">
        <f>VLOOKUP(Tabelle7[[#This Row],[EnumName]],Enum[[IFC-Name]:[Präfix]],5,FALSE)&amp;Tabelle7[[#This Row],[EnuRohValue]]</f>
        <v>pfpSaTT_NOTDEFINED</v>
      </c>
      <c r="F996" s="44">
        <f>COUNTIF(Tabelle7[EnuValue],Tabelle7[[#This Row],[EnuValue]])</f>
        <v>1</v>
      </c>
      <c r="G996" s="44" t="str">
        <f xml:space="preserve"> "  " &amp; Tabelle7[[#This Row],[EnuValue]] &amp; " = " &amp; Tabelle7[[#This Row],[Wert]]</f>
        <v xml:space="preserve">  pfpSaTT_NOTDEFINED = 12</v>
      </c>
      <c r="H996" s="44" t="str">
        <f>"  If Wert = " &amp; Tabelle7[[#This Row],[EnuValue]] &amp; " then Res = ""." &amp; Tabelle7[[#This Row],[EnuRohValue]] &amp; "."""</f>
        <v xml:space="preserve">  If Wert = pfpSaTT_NOTDEFINED then Res = ".NOTDEFINED."</v>
      </c>
      <c r="I996" s="44" t="str">
        <f>"  If wert = ""." &amp; Tabelle7[[#This Row],[EnuRohValue]] &amp; "."" Then Res = " &amp; Tabelle7[[#This Row],[EnuValue]]</f>
        <v xml:space="preserve">  If wert = ".NOTDEFINED." Then Res = pfpSaTT_NOTDEFINED</v>
      </c>
    </row>
    <row r="997" spans="2:9" x14ac:dyDescent="0.25">
      <c r="B997" s="44">
        <v>1</v>
      </c>
      <c r="C997" s="45" t="s">
        <v>1626</v>
      </c>
      <c r="D997" s="44" t="s">
        <v>4467</v>
      </c>
      <c r="E997" s="44" t="str">
        <f>VLOOKUP(Tabelle7[[#This Row],[EnumName]],Enum[[IFC-Name]:[Präfix]],5,FALSE)&amp;Tabelle7[[#This Row],[EnuRohValue]]</f>
        <v>fpsST_UNIFORM</v>
      </c>
      <c r="F997" s="44">
        <f>COUNTIF(Tabelle7[EnuValue],Tabelle7[[#This Row],[EnuValue]])</f>
        <v>1</v>
      </c>
      <c r="G997" s="44" t="str">
        <f xml:space="preserve"> "  " &amp; Tabelle7[[#This Row],[EnuValue]] &amp; " = " &amp; Tabelle7[[#This Row],[Wert]]</f>
        <v xml:space="preserve">  fpsST_UNIFORM = 1</v>
      </c>
      <c r="H997" s="44" t="str">
        <f>"  If Wert = " &amp; Tabelle7[[#This Row],[EnuValue]] &amp; " then Res = ""." &amp; Tabelle7[[#This Row],[EnuRohValue]] &amp; "."""</f>
        <v xml:space="preserve">  If Wert = fpsST_UNIFORM then Res = ".UNIFORM."</v>
      </c>
      <c r="I997" s="44" t="str">
        <f>"  If wert = ""." &amp; Tabelle7[[#This Row],[EnuRohValue]] &amp; "."" Then Res = " &amp; Tabelle7[[#This Row],[EnuValue]]</f>
        <v xml:space="preserve">  If wert = ".UNIFORM." Then Res = fpsST_UNIFORM</v>
      </c>
    </row>
    <row r="998" spans="2:9" x14ac:dyDescent="0.25">
      <c r="B998" s="44">
        <v>2</v>
      </c>
      <c r="C998" s="45" t="s">
        <v>1626</v>
      </c>
      <c r="D998" s="44" t="s">
        <v>4468</v>
      </c>
      <c r="E998" s="44" t="str">
        <f>VLOOKUP(Tabelle7[[#This Row],[EnumName]],Enum[[IFC-Name]:[Präfix]],5,FALSE)&amp;Tabelle7[[#This Row],[EnuRohValue]]</f>
        <v>fpsST_TAPERED</v>
      </c>
      <c r="F998" s="44">
        <f>COUNTIF(Tabelle7[EnuValue],Tabelle7[[#This Row],[EnuValue]])</f>
        <v>1</v>
      </c>
      <c r="G998" s="44" t="str">
        <f xml:space="preserve"> "  " &amp; Tabelle7[[#This Row],[EnuValue]] &amp; " = " &amp; Tabelle7[[#This Row],[Wert]]</f>
        <v xml:space="preserve">  fpsST_TAPERED = 2</v>
      </c>
      <c r="H998" s="44" t="str">
        <f>"  If Wert = " &amp; Tabelle7[[#This Row],[EnuValue]] &amp; " then Res = ""." &amp; Tabelle7[[#This Row],[EnuRohValue]] &amp; "."""</f>
        <v xml:space="preserve">  If Wert = fpsST_TAPERED then Res = ".TAPERED."</v>
      </c>
      <c r="I998" s="44" t="str">
        <f>"  If wert = ""." &amp; Tabelle7[[#This Row],[EnuRohValue]] &amp; "."" Then Res = " &amp; Tabelle7[[#This Row],[EnuValue]]</f>
        <v xml:space="preserve">  If wert = ".TAPERED." Then Res = fpsST_TAPERED</v>
      </c>
    </row>
    <row r="999" spans="2:9" x14ac:dyDescent="0.25">
      <c r="B999" s="44">
        <v>1</v>
      </c>
      <c r="C999" s="45" t="s">
        <v>1627</v>
      </c>
      <c r="D999" s="44" t="s">
        <v>4469</v>
      </c>
      <c r="E999" s="44" t="str">
        <f>VLOOKUP(Tabelle7[[#This Row],[EnumName]],Enum[[IFC-Name]:[Präfix]],5,FALSE)&amp;Tabelle7[[#This Row],[EnuRohValue]]</f>
        <v>bldST_CO2SENSOR</v>
      </c>
      <c r="F999" s="44">
        <f>COUNTIF(Tabelle7[EnuValue],Tabelle7[[#This Row],[EnuValue]])</f>
        <v>1</v>
      </c>
      <c r="G999" s="44" t="str">
        <f xml:space="preserve"> "  " &amp; Tabelle7[[#This Row],[EnuValue]] &amp; " = " &amp; Tabelle7[[#This Row],[Wert]]</f>
        <v xml:space="preserve">  bldST_CO2SENSOR = 1</v>
      </c>
      <c r="H999" s="44" t="str">
        <f>"  If Wert = " &amp; Tabelle7[[#This Row],[EnuValue]] &amp; " then Res = ""." &amp; Tabelle7[[#This Row],[EnuRohValue]] &amp; "."""</f>
        <v xml:space="preserve">  If Wert = bldST_CO2SENSOR then Res = ".CO2SENSOR."</v>
      </c>
      <c r="I999" s="44" t="str">
        <f>"  If wert = ""." &amp; Tabelle7[[#This Row],[EnuRohValue]] &amp; "."" Then Res = " &amp; Tabelle7[[#This Row],[EnuValue]]</f>
        <v xml:space="preserve">  If wert = ".CO2SENSOR." Then Res = bldST_CO2SENSOR</v>
      </c>
    </row>
    <row r="1000" spans="2:9" x14ac:dyDescent="0.25">
      <c r="B1000" s="44">
        <v>2</v>
      </c>
      <c r="C1000" s="45" t="s">
        <v>1627</v>
      </c>
      <c r="D1000" s="44" t="s">
        <v>4470</v>
      </c>
      <c r="E1000" s="44" t="str">
        <f>VLOOKUP(Tabelle7[[#This Row],[EnumName]],Enum[[IFC-Name]:[Präfix]],5,FALSE)&amp;Tabelle7[[#This Row],[EnuRohValue]]</f>
        <v>bldST_FIRESENSOR</v>
      </c>
      <c r="F1000" s="44">
        <f>COUNTIF(Tabelle7[EnuValue],Tabelle7[[#This Row],[EnuValue]])</f>
        <v>1</v>
      </c>
      <c r="G1000" s="44" t="str">
        <f xml:space="preserve"> "  " &amp; Tabelle7[[#This Row],[EnuValue]] &amp; " = " &amp; Tabelle7[[#This Row],[Wert]]</f>
        <v xml:space="preserve">  bldST_FIRESENSOR = 2</v>
      </c>
      <c r="H1000" s="44" t="str">
        <f>"  If Wert = " &amp; Tabelle7[[#This Row],[EnuValue]] &amp; " then Res = ""." &amp; Tabelle7[[#This Row],[EnuRohValue]] &amp; "."""</f>
        <v xml:space="preserve">  If Wert = bldST_FIRESENSOR then Res = ".FIRESENSOR."</v>
      </c>
      <c r="I1000" s="44" t="str">
        <f>"  If wert = ""." &amp; Tabelle7[[#This Row],[EnuRohValue]] &amp; "."" Then Res = " &amp; Tabelle7[[#This Row],[EnuValue]]</f>
        <v xml:space="preserve">  If wert = ".FIRESENSOR." Then Res = bldST_FIRESENSOR</v>
      </c>
    </row>
    <row r="1001" spans="2:9" x14ac:dyDescent="0.25">
      <c r="B1001" s="44">
        <v>3</v>
      </c>
      <c r="C1001" s="45" t="s">
        <v>1627</v>
      </c>
      <c r="D1001" s="44" t="s">
        <v>4471</v>
      </c>
      <c r="E1001" s="44" t="str">
        <f>VLOOKUP(Tabelle7[[#This Row],[EnumName]],Enum[[IFC-Name]:[Präfix]],5,FALSE)&amp;Tabelle7[[#This Row],[EnuRohValue]]</f>
        <v>bldST_FLOWSENSOR</v>
      </c>
      <c r="F1001" s="44">
        <f>COUNTIF(Tabelle7[EnuValue],Tabelle7[[#This Row],[EnuValue]])</f>
        <v>1</v>
      </c>
      <c r="G1001" s="44" t="str">
        <f xml:space="preserve"> "  " &amp; Tabelle7[[#This Row],[EnuValue]] &amp; " = " &amp; Tabelle7[[#This Row],[Wert]]</f>
        <v xml:space="preserve">  bldST_FLOWSENSOR = 3</v>
      </c>
      <c r="H1001" s="44" t="str">
        <f>"  If Wert = " &amp; Tabelle7[[#This Row],[EnuValue]] &amp; " then Res = ""." &amp; Tabelle7[[#This Row],[EnuRohValue]] &amp; "."""</f>
        <v xml:space="preserve">  If Wert = bldST_FLOWSENSOR then Res = ".FLOWSENSOR."</v>
      </c>
      <c r="I1001" s="44" t="str">
        <f>"  If wert = ""." &amp; Tabelle7[[#This Row],[EnuRohValue]] &amp; "."" Then Res = " &amp; Tabelle7[[#This Row],[EnuValue]]</f>
        <v xml:space="preserve">  If wert = ".FLOWSENSOR." Then Res = bldST_FLOWSENSOR</v>
      </c>
    </row>
    <row r="1002" spans="2:9" x14ac:dyDescent="0.25">
      <c r="B1002" s="44">
        <v>4</v>
      </c>
      <c r="C1002" s="45" t="s">
        <v>1627</v>
      </c>
      <c r="D1002" s="44" t="s">
        <v>4472</v>
      </c>
      <c r="E1002" s="44" t="str">
        <f>VLOOKUP(Tabelle7[[#This Row],[EnumName]],Enum[[IFC-Name]:[Präfix]],5,FALSE)&amp;Tabelle7[[#This Row],[EnuRohValue]]</f>
        <v>bldST_GASSENSOR</v>
      </c>
      <c r="F1002" s="44">
        <f>COUNTIF(Tabelle7[EnuValue],Tabelle7[[#This Row],[EnuValue]])</f>
        <v>1</v>
      </c>
      <c r="G1002" s="44" t="str">
        <f xml:space="preserve"> "  " &amp; Tabelle7[[#This Row],[EnuValue]] &amp; " = " &amp; Tabelle7[[#This Row],[Wert]]</f>
        <v xml:space="preserve">  bldST_GASSENSOR = 4</v>
      </c>
      <c r="H1002" s="44" t="str">
        <f>"  If Wert = " &amp; Tabelle7[[#This Row],[EnuValue]] &amp; " then Res = ""." &amp; Tabelle7[[#This Row],[EnuRohValue]] &amp; "."""</f>
        <v xml:space="preserve">  If Wert = bldST_GASSENSOR then Res = ".GASSENSOR."</v>
      </c>
      <c r="I1002" s="44" t="str">
        <f>"  If wert = ""." &amp; Tabelle7[[#This Row],[EnuRohValue]] &amp; "."" Then Res = " &amp; Tabelle7[[#This Row],[EnuValue]]</f>
        <v xml:space="preserve">  If wert = ".GASSENSOR." Then Res = bldST_GASSENSOR</v>
      </c>
    </row>
    <row r="1003" spans="2:9" x14ac:dyDescent="0.25">
      <c r="B1003" s="44">
        <v>5</v>
      </c>
      <c r="C1003" s="45" t="s">
        <v>1627</v>
      </c>
      <c r="D1003" s="44" t="s">
        <v>4473</v>
      </c>
      <c r="E1003" s="44" t="str">
        <f>VLOOKUP(Tabelle7[[#This Row],[EnumName]],Enum[[IFC-Name]:[Präfix]],5,FALSE)&amp;Tabelle7[[#This Row],[EnuRohValue]]</f>
        <v>bldST_HEATSENSOR</v>
      </c>
      <c r="F1003" s="44">
        <f>COUNTIF(Tabelle7[EnuValue],Tabelle7[[#This Row],[EnuValue]])</f>
        <v>1</v>
      </c>
      <c r="G1003" s="44" t="str">
        <f xml:space="preserve"> "  " &amp; Tabelle7[[#This Row],[EnuValue]] &amp; " = " &amp; Tabelle7[[#This Row],[Wert]]</f>
        <v xml:space="preserve">  bldST_HEATSENSOR = 5</v>
      </c>
      <c r="H1003" s="44" t="str">
        <f>"  If Wert = " &amp; Tabelle7[[#This Row],[EnuValue]] &amp; " then Res = ""." &amp; Tabelle7[[#This Row],[EnuRohValue]] &amp; "."""</f>
        <v xml:space="preserve">  If Wert = bldST_HEATSENSOR then Res = ".HEATSENSOR."</v>
      </c>
      <c r="I1003" s="44" t="str">
        <f>"  If wert = ""." &amp; Tabelle7[[#This Row],[EnuRohValue]] &amp; "."" Then Res = " &amp; Tabelle7[[#This Row],[EnuValue]]</f>
        <v xml:space="preserve">  If wert = ".HEATSENSOR." Then Res = bldST_HEATSENSOR</v>
      </c>
    </row>
    <row r="1004" spans="2:9" x14ac:dyDescent="0.25">
      <c r="B1004" s="44">
        <v>6</v>
      </c>
      <c r="C1004" s="45" t="s">
        <v>1627</v>
      </c>
      <c r="D1004" s="44" t="s">
        <v>4474</v>
      </c>
      <c r="E1004" s="44" t="str">
        <f>VLOOKUP(Tabelle7[[#This Row],[EnumName]],Enum[[IFC-Name]:[Präfix]],5,FALSE)&amp;Tabelle7[[#This Row],[EnuRohValue]]</f>
        <v>bldST_HUMIDITYSENSOR</v>
      </c>
      <c r="F1004" s="44">
        <f>COUNTIF(Tabelle7[EnuValue],Tabelle7[[#This Row],[EnuValue]])</f>
        <v>1</v>
      </c>
      <c r="G1004" s="44" t="str">
        <f xml:space="preserve"> "  " &amp; Tabelle7[[#This Row],[EnuValue]] &amp; " = " &amp; Tabelle7[[#This Row],[Wert]]</f>
        <v xml:space="preserve">  bldST_HUMIDITYSENSOR = 6</v>
      </c>
      <c r="H1004" s="44" t="str">
        <f>"  If Wert = " &amp; Tabelle7[[#This Row],[EnuValue]] &amp; " then Res = ""." &amp; Tabelle7[[#This Row],[EnuRohValue]] &amp; "."""</f>
        <v xml:space="preserve">  If Wert = bldST_HUMIDITYSENSOR then Res = ".HUMIDITYSENSOR."</v>
      </c>
      <c r="I1004" s="44" t="str">
        <f>"  If wert = ""." &amp; Tabelle7[[#This Row],[EnuRohValue]] &amp; "."" Then Res = " &amp; Tabelle7[[#This Row],[EnuValue]]</f>
        <v xml:space="preserve">  If wert = ".HUMIDITYSENSOR." Then Res = bldST_HUMIDITYSENSOR</v>
      </c>
    </row>
    <row r="1005" spans="2:9" x14ac:dyDescent="0.25">
      <c r="B1005" s="44">
        <v>7</v>
      </c>
      <c r="C1005" s="45" t="s">
        <v>1627</v>
      </c>
      <c r="D1005" s="44" t="s">
        <v>4475</v>
      </c>
      <c r="E1005" s="44" t="str">
        <f>VLOOKUP(Tabelle7[[#This Row],[EnumName]],Enum[[IFC-Name]:[Präfix]],5,FALSE)&amp;Tabelle7[[#This Row],[EnuRohValue]]</f>
        <v>bldST_LIGHTSENSOR</v>
      </c>
      <c r="F1005" s="44">
        <f>COUNTIF(Tabelle7[EnuValue],Tabelle7[[#This Row],[EnuValue]])</f>
        <v>1</v>
      </c>
      <c r="G1005" s="44" t="str">
        <f xml:space="preserve"> "  " &amp; Tabelle7[[#This Row],[EnuValue]] &amp; " = " &amp; Tabelle7[[#This Row],[Wert]]</f>
        <v xml:space="preserve">  bldST_LIGHTSENSOR = 7</v>
      </c>
      <c r="H1005" s="44" t="str">
        <f>"  If Wert = " &amp; Tabelle7[[#This Row],[EnuValue]] &amp; " then Res = ""." &amp; Tabelle7[[#This Row],[EnuRohValue]] &amp; "."""</f>
        <v xml:space="preserve">  If Wert = bldST_LIGHTSENSOR then Res = ".LIGHTSENSOR."</v>
      </c>
      <c r="I1005" s="44" t="str">
        <f>"  If wert = ""." &amp; Tabelle7[[#This Row],[EnuRohValue]] &amp; "."" Then Res = " &amp; Tabelle7[[#This Row],[EnuValue]]</f>
        <v xml:space="preserve">  If wert = ".LIGHTSENSOR." Then Res = bldST_LIGHTSENSOR</v>
      </c>
    </row>
    <row r="1006" spans="2:9" x14ac:dyDescent="0.25">
      <c r="B1006" s="44">
        <v>8</v>
      </c>
      <c r="C1006" s="45" t="s">
        <v>1627</v>
      </c>
      <c r="D1006" s="44" t="s">
        <v>4476</v>
      </c>
      <c r="E1006" s="44" t="str">
        <f>VLOOKUP(Tabelle7[[#This Row],[EnumName]],Enum[[IFC-Name]:[Präfix]],5,FALSE)&amp;Tabelle7[[#This Row],[EnuRohValue]]</f>
        <v>bldST_MOISTURESENSOR</v>
      </c>
      <c r="F1006" s="44">
        <f>COUNTIF(Tabelle7[EnuValue],Tabelle7[[#This Row],[EnuValue]])</f>
        <v>1</v>
      </c>
      <c r="G1006" s="44" t="str">
        <f xml:space="preserve"> "  " &amp; Tabelle7[[#This Row],[EnuValue]] &amp; " = " &amp; Tabelle7[[#This Row],[Wert]]</f>
        <v xml:space="preserve">  bldST_MOISTURESENSOR = 8</v>
      </c>
      <c r="H1006" s="44" t="str">
        <f>"  If Wert = " &amp; Tabelle7[[#This Row],[EnuValue]] &amp; " then Res = ""." &amp; Tabelle7[[#This Row],[EnuRohValue]] &amp; "."""</f>
        <v xml:space="preserve">  If Wert = bldST_MOISTURESENSOR then Res = ".MOISTURESENSOR."</v>
      </c>
      <c r="I1006" s="44" t="str">
        <f>"  If wert = ""." &amp; Tabelle7[[#This Row],[EnuRohValue]] &amp; "."" Then Res = " &amp; Tabelle7[[#This Row],[EnuValue]]</f>
        <v xml:space="preserve">  If wert = ".MOISTURESENSOR." Then Res = bldST_MOISTURESENSOR</v>
      </c>
    </row>
    <row r="1007" spans="2:9" x14ac:dyDescent="0.25">
      <c r="B1007" s="44">
        <v>9</v>
      </c>
      <c r="C1007" s="45" t="s">
        <v>1627</v>
      </c>
      <c r="D1007" s="44" t="s">
        <v>4477</v>
      </c>
      <c r="E1007" s="44" t="str">
        <f>VLOOKUP(Tabelle7[[#This Row],[EnumName]],Enum[[IFC-Name]:[Präfix]],5,FALSE)&amp;Tabelle7[[#This Row],[EnuRohValue]]</f>
        <v>bldST_MOVEMENTSENSOR</v>
      </c>
      <c r="F1007" s="44">
        <f>COUNTIF(Tabelle7[EnuValue],Tabelle7[[#This Row],[EnuValue]])</f>
        <v>1</v>
      </c>
      <c r="G1007" s="44" t="str">
        <f xml:space="preserve"> "  " &amp; Tabelle7[[#This Row],[EnuValue]] &amp; " = " &amp; Tabelle7[[#This Row],[Wert]]</f>
        <v xml:space="preserve">  bldST_MOVEMENTSENSOR = 9</v>
      </c>
      <c r="H1007" s="44" t="str">
        <f>"  If Wert = " &amp; Tabelle7[[#This Row],[EnuValue]] &amp; " then Res = ""." &amp; Tabelle7[[#This Row],[EnuRohValue]] &amp; "."""</f>
        <v xml:space="preserve">  If Wert = bldST_MOVEMENTSENSOR then Res = ".MOVEMENTSENSOR."</v>
      </c>
      <c r="I1007" s="44" t="str">
        <f>"  If wert = ""." &amp; Tabelle7[[#This Row],[EnuRohValue]] &amp; "."" Then Res = " &amp; Tabelle7[[#This Row],[EnuValue]]</f>
        <v xml:space="preserve">  If wert = ".MOVEMENTSENSOR." Then Res = bldST_MOVEMENTSENSOR</v>
      </c>
    </row>
    <row r="1008" spans="2:9" x14ac:dyDescent="0.25">
      <c r="B1008" s="44">
        <v>10</v>
      </c>
      <c r="C1008" s="45" t="s">
        <v>1627</v>
      </c>
      <c r="D1008" s="44" t="s">
        <v>4478</v>
      </c>
      <c r="E1008" s="44" t="str">
        <f>VLOOKUP(Tabelle7[[#This Row],[EnumName]],Enum[[IFC-Name]:[Präfix]],5,FALSE)&amp;Tabelle7[[#This Row],[EnuRohValue]]</f>
        <v>bldST_PRESSURESENSOR</v>
      </c>
      <c r="F1008" s="44">
        <f>COUNTIF(Tabelle7[EnuValue],Tabelle7[[#This Row],[EnuValue]])</f>
        <v>1</v>
      </c>
      <c r="G1008" s="44" t="str">
        <f xml:space="preserve"> "  " &amp; Tabelle7[[#This Row],[EnuValue]] &amp; " = " &amp; Tabelle7[[#This Row],[Wert]]</f>
        <v xml:space="preserve">  bldST_PRESSURESENSOR = 10</v>
      </c>
      <c r="H1008" s="44" t="str">
        <f>"  If Wert = " &amp; Tabelle7[[#This Row],[EnuValue]] &amp; " then Res = ""." &amp; Tabelle7[[#This Row],[EnuRohValue]] &amp; "."""</f>
        <v xml:space="preserve">  If Wert = bldST_PRESSURESENSOR then Res = ".PRESSURESENSOR."</v>
      </c>
      <c r="I1008" s="44" t="str">
        <f>"  If wert = ""." &amp; Tabelle7[[#This Row],[EnuRohValue]] &amp; "."" Then Res = " &amp; Tabelle7[[#This Row],[EnuValue]]</f>
        <v xml:space="preserve">  If wert = ".PRESSURESENSOR." Then Res = bldST_PRESSURESENSOR</v>
      </c>
    </row>
    <row r="1009" spans="2:9" x14ac:dyDescent="0.25">
      <c r="B1009" s="44">
        <v>11</v>
      </c>
      <c r="C1009" s="45" t="s">
        <v>1627</v>
      </c>
      <c r="D1009" s="44" t="s">
        <v>4479</v>
      </c>
      <c r="E1009" s="44" t="str">
        <f>VLOOKUP(Tabelle7[[#This Row],[EnumName]],Enum[[IFC-Name]:[Präfix]],5,FALSE)&amp;Tabelle7[[#This Row],[EnuRohValue]]</f>
        <v>bldST_SMOKESENSOR</v>
      </c>
      <c r="F1009" s="44">
        <f>COUNTIF(Tabelle7[EnuValue],Tabelle7[[#This Row],[EnuValue]])</f>
        <v>1</v>
      </c>
      <c r="G1009" s="44" t="str">
        <f xml:space="preserve"> "  " &amp; Tabelle7[[#This Row],[EnuValue]] &amp; " = " &amp; Tabelle7[[#This Row],[Wert]]</f>
        <v xml:space="preserve">  bldST_SMOKESENSOR = 11</v>
      </c>
      <c r="H1009" s="44" t="str">
        <f>"  If Wert = " &amp; Tabelle7[[#This Row],[EnuValue]] &amp; " then Res = ""." &amp; Tabelle7[[#This Row],[EnuRohValue]] &amp; "."""</f>
        <v xml:space="preserve">  If Wert = bldST_SMOKESENSOR then Res = ".SMOKESENSOR."</v>
      </c>
      <c r="I1009" s="44" t="str">
        <f>"  If wert = ""." &amp; Tabelle7[[#This Row],[EnuRohValue]] &amp; "."" Then Res = " &amp; Tabelle7[[#This Row],[EnuValue]]</f>
        <v xml:space="preserve">  If wert = ".SMOKESENSOR." Then Res = bldST_SMOKESENSOR</v>
      </c>
    </row>
    <row r="1010" spans="2:9" x14ac:dyDescent="0.25">
      <c r="B1010" s="44">
        <v>12</v>
      </c>
      <c r="C1010" s="45" t="s">
        <v>1627</v>
      </c>
      <c r="D1010" s="44" t="s">
        <v>4480</v>
      </c>
      <c r="E1010" s="44" t="str">
        <f>VLOOKUP(Tabelle7[[#This Row],[EnumName]],Enum[[IFC-Name]:[Präfix]],5,FALSE)&amp;Tabelle7[[#This Row],[EnuRohValue]]</f>
        <v>bldST_SOUNDSENSOR</v>
      </c>
      <c r="F1010" s="44">
        <f>COUNTIF(Tabelle7[EnuValue],Tabelle7[[#This Row],[EnuValue]])</f>
        <v>1</v>
      </c>
      <c r="G1010" s="44" t="str">
        <f xml:space="preserve"> "  " &amp; Tabelle7[[#This Row],[EnuValue]] &amp; " = " &amp; Tabelle7[[#This Row],[Wert]]</f>
        <v xml:space="preserve">  bldST_SOUNDSENSOR = 12</v>
      </c>
      <c r="H1010" s="44" t="str">
        <f>"  If Wert = " &amp; Tabelle7[[#This Row],[EnuValue]] &amp; " then Res = ""." &amp; Tabelle7[[#This Row],[EnuRohValue]] &amp; "."""</f>
        <v xml:space="preserve">  If Wert = bldST_SOUNDSENSOR then Res = ".SOUNDSENSOR."</v>
      </c>
      <c r="I1010" s="44" t="str">
        <f>"  If wert = ""." &amp; Tabelle7[[#This Row],[EnuRohValue]] &amp; "."" Then Res = " &amp; Tabelle7[[#This Row],[EnuValue]]</f>
        <v xml:space="preserve">  If wert = ".SOUNDSENSOR." Then Res = bldST_SOUNDSENSOR</v>
      </c>
    </row>
    <row r="1011" spans="2:9" x14ac:dyDescent="0.25">
      <c r="B1011" s="44">
        <v>13</v>
      </c>
      <c r="C1011" s="45" t="s">
        <v>1627</v>
      </c>
      <c r="D1011" s="44" t="s">
        <v>4481</v>
      </c>
      <c r="E1011" s="44" t="str">
        <f>VLOOKUP(Tabelle7[[#This Row],[EnumName]],Enum[[IFC-Name]:[Präfix]],5,FALSE)&amp;Tabelle7[[#This Row],[EnuRohValue]]</f>
        <v>bldST_TEMPERATURESENSOR</v>
      </c>
      <c r="F1011" s="44">
        <f>COUNTIF(Tabelle7[EnuValue],Tabelle7[[#This Row],[EnuValue]])</f>
        <v>1</v>
      </c>
      <c r="G1011" s="44" t="str">
        <f xml:space="preserve"> "  " &amp; Tabelle7[[#This Row],[EnuValue]] &amp; " = " &amp; Tabelle7[[#This Row],[Wert]]</f>
        <v xml:space="preserve">  bldST_TEMPERATURESENSOR = 13</v>
      </c>
      <c r="H1011" s="44" t="str">
        <f>"  If Wert = " &amp; Tabelle7[[#This Row],[EnuValue]] &amp; " then Res = ""." &amp; Tabelle7[[#This Row],[EnuRohValue]] &amp; "."""</f>
        <v xml:space="preserve">  If Wert = bldST_TEMPERATURESENSOR then Res = ".TEMPERATURESENSOR."</v>
      </c>
      <c r="I1011" s="44" t="str">
        <f>"  If wert = ""." &amp; Tabelle7[[#This Row],[EnuRohValue]] &amp; "."" Then Res = " &amp; Tabelle7[[#This Row],[EnuValue]]</f>
        <v xml:space="preserve">  If wert = ".TEMPERATURESENSOR." Then Res = bldST_TEMPERATURESENSOR</v>
      </c>
    </row>
    <row r="1012" spans="2:9" x14ac:dyDescent="0.25">
      <c r="B1012" s="44">
        <v>14</v>
      </c>
      <c r="C1012" s="45" t="s">
        <v>1627</v>
      </c>
      <c r="D1012" s="44" t="s">
        <v>3682</v>
      </c>
      <c r="E1012" s="44" t="str">
        <f>VLOOKUP(Tabelle7[[#This Row],[EnumName]],Enum[[IFC-Name]:[Präfix]],5,FALSE)&amp;Tabelle7[[#This Row],[EnuRohValue]]</f>
        <v>bldST_USERDEFINED</v>
      </c>
      <c r="F1012" s="44">
        <f>COUNTIF(Tabelle7[EnuValue],Tabelle7[[#This Row],[EnuValue]])</f>
        <v>1</v>
      </c>
      <c r="G1012" s="44" t="str">
        <f xml:space="preserve"> "  " &amp; Tabelle7[[#This Row],[EnuValue]] &amp; " = " &amp; Tabelle7[[#This Row],[Wert]]</f>
        <v xml:space="preserve">  bldST_USERDEFINED = 14</v>
      </c>
      <c r="H1012" s="44" t="str">
        <f>"  If Wert = " &amp; Tabelle7[[#This Row],[EnuValue]] &amp; " then Res = ""." &amp; Tabelle7[[#This Row],[EnuRohValue]] &amp; "."""</f>
        <v xml:space="preserve">  If Wert = bldST_USERDEFINED then Res = ".USERDEFINED."</v>
      </c>
      <c r="I1012" s="44" t="str">
        <f>"  If wert = ""." &amp; Tabelle7[[#This Row],[EnuRohValue]] &amp; "."" Then Res = " &amp; Tabelle7[[#This Row],[EnuValue]]</f>
        <v xml:space="preserve">  If wert = ".USERDEFINED." Then Res = bldST_USERDEFINED</v>
      </c>
    </row>
    <row r="1013" spans="2:9" x14ac:dyDescent="0.25">
      <c r="B1013" s="44">
        <v>15</v>
      </c>
      <c r="C1013" s="45" t="s">
        <v>1627</v>
      </c>
      <c r="D1013" s="44" t="s">
        <v>3683</v>
      </c>
      <c r="E1013" s="44" t="str">
        <f>VLOOKUP(Tabelle7[[#This Row],[EnumName]],Enum[[IFC-Name]:[Präfix]],5,FALSE)&amp;Tabelle7[[#This Row],[EnuRohValue]]</f>
        <v>bldST_NOTDEFINED</v>
      </c>
      <c r="F1013" s="44">
        <f>COUNTIF(Tabelle7[EnuValue],Tabelle7[[#This Row],[EnuValue]])</f>
        <v>1</v>
      </c>
      <c r="G1013" s="44" t="str">
        <f xml:space="preserve"> "  " &amp; Tabelle7[[#This Row],[EnuValue]] &amp; " = " &amp; Tabelle7[[#This Row],[Wert]]</f>
        <v xml:space="preserve">  bldST_NOTDEFINED = 15</v>
      </c>
      <c r="H1013" s="44" t="str">
        <f>"  If Wert = " &amp; Tabelle7[[#This Row],[EnuValue]] &amp; " then Res = ""." &amp; Tabelle7[[#This Row],[EnuRohValue]] &amp; "."""</f>
        <v xml:space="preserve">  If Wert = bldST_NOTDEFINED then Res = ".NOTDEFINED."</v>
      </c>
      <c r="I1013" s="44" t="str">
        <f>"  If wert = ""." &amp; Tabelle7[[#This Row],[EnuRohValue]] &amp; "."" Then Res = " &amp; Tabelle7[[#This Row],[EnuValue]]</f>
        <v xml:space="preserve">  If wert = ".NOTDEFINED." Then Res = bldST_NOTDEFINED</v>
      </c>
    </row>
    <row r="1014" spans="2:9" x14ac:dyDescent="0.25">
      <c r="B1014" s="44">
        <v>1</v>
      </c>
      <c r="C1014" s="45" t="s">
        <v>1628</v>
      </c>
      <c r="D1014" s="44" t="s">
        <v>4482</v>
      </c>
      <c r="E1014" s="44" t="str">
        <f>VLOOKUP(Tabelle7[[#This Row],[EnumName]],Enum[[IFC-Name]:[Präfix]],5,FALSE)&amp;Tabelle7[[#This Row],[EnuRohValue]]</f>
        <v>krnS_START_START</v>
      </c>
      <c r="F1014" s="44">
        <f>COUNTIF(Tabelle7[EnuValue],Tabelle7[[#This Row],[EnuValue]])</f>
        <v>1</v>
      </c>
      <c r="G1014" s="44" t="str">
        <f xml:space="preserve"> "  " &amp; Tabelle7[[#This Row],[EnuValue]] &amp; " = " &amp; Tabelle7[[#This Row],[Wert]]</f>
        <v xml:space="preserve">  krnS_START_START = 1</v>
      </c>
      <c r="H1014" s="44" t="str">
        <f>"  If Wert = " &amp; Tabelle7[[#This Row],[EnuValue]] &amp; " then Res = ""." &amp; Tabelle7[[#This Row],[EnuRohValue]] &amp; "."""</f>
        <v xml:space="preserve">  If Wert = krnS_START_START then Res = ".START_START."</v>
      </c>
      <c r="I1014" s="44" t="str">
        <f>"  If wert = ""." &amp; Tabelle7[[#This Row],[EnuRohValue]] &amp; "."" Then Res = " &amp; Tabelle7[[#This Row],[EnuValue]]</f>
        <v xml:space="preserve">  If wert = ".START_START." Then Res = krnS_START_START</v>
      </c>
    </row>
    <row r="1015" spans="2:9" x14ac:dyDescent="0.25">
      <c r="B1015" s="44">
        <v>2</v>
      </c>
      <c r="C1015" s="45" t="s">
        <v>1628</v>
      </c>
      <c r="D1015" s="44" t="s">
        <v>4483</v>
      </c>
      <c r="E1015" s="44" t="str">
        <f>VLOOKUP(Tabelle7[[#This Row],[EnumName]],Enum[[IFC-Name]:[Präfix]],5,FALSE)&amp;Tabelle7[[#This Row],[EnuRohValue]]</f>
        <v>krnS_START_FINISH</v>
      </c>
      <c r="F1015" s="44">
        <f>COUNTIF(Tabelle7[EnuValue],Tabelle7[[#This Row],[EnuValue]])</f>
        <v>1</v>
      </c>
      <c r="G1015" s="44" t="str">
        <f xml:space="preserve"> "  " &amp; Tabelle7[[#This Row],[EnuValue]] &amp; " = " &amp; Tabelle7[[#This Row],[Wert]]</f>
        <v xml:space="preserve">  krnS_START_FINISH = 2</v>
      </c>
      <c r="H1015" s="44" t="str">
        <f>"  If Wert = " &amp; Tabelle7[[#This Row],[EnuValue]] &amp; " then Res = ""." &amp; Tabelle7[[#This Row],[EnuRohValue]] &amp; "."""</f>
        <v xml:space="preserve">  If Wert = krnS_START_FINISH then Res = ".START_FINISH."</v>
      </c>
      <c r="I1015" s="44" t="str">
        <f>"  If wert = ""." &amp; Tabelle7[[#This Row],[EnuRohValue]] &amp; "."" Then Res = " &amp; Tabelle7[[#This Row],[EnuValue]]</f>
        <v xml:space="preserve">  If wert = ".START_FINISH." Then Res = krnS_START_FINISH</v>
      </c>
    </row>
    <row r="1016" spans="2:9" x14ac:dyDescent="0.25">
      <c r="B1016" s="44">
        <v>3</v>
      </c>
      <c r="C1016" s="45" t="s">
        <v>1628</v>
      </c>
      <c r="D1016" s="44" t="s">
        <v>4484</v>
      </c>
      <c r="E1016" s="44" t="str">
        <f>VLOOKUP(Tabelle7[[#This Row],[EnumName]],Enum[[IFC-Name]:[Präfix]],5,FALSE)&amp;Tabelle7[[#This Row],[EnuRohValue]]</f>
        <v>krnS_FINISH_START</v>
      </c>
      <c r="F1016" s="44">
        <f>COUNTIF(Tabelle7[EnuValue],Tabelle7[[#This Row],[EnuValue]])</f>
        <v>1</v>
      </c>
      <c r="G1016" s="44" t="str">
        <f xml:space="preserve"> "  " &amp; Tabelle7[[#This Row],[EnuValue]] &amp; " = " &amp; Tabelle7[[#This Row],[Wert]]</f>
        <v xml:space="preserve">  krnS_FINISH_START = 3</v>
      </c>
      <c r="H1016" s="44" t="str">
        <f>"  If Wert = " &amp; Tabelle7[[#This Row],[EnuValue]] &amp; " then Res = ""." &amp; Tabelle7[[#This Row],[EnuRohValue]] &amp; "."""</f>
        <v xml:space="preserve">  If Wert = krnS_FINISH_START then Res = ".FINISH_START."</v>
      </c>
      <c r="I1016" s="44" t="str">
        <f>"  If wert = ""." &amp; Tabelle7[[#This Row],[EnuRohValue]] &amp; "."" Then Res = " &amp; Tabelle7[[#This Row],[EnuValue]]</f>
        <v xml:space="preserve">  If wert = ".FINISH_START." Then Res = krnS_FINISH_START</v>
      </c>
    </row>
    <row r="1017" spans="2:9" x14ac:dyDescent="0.25">
      <c r="B1017" s="44">
        <v>4</v>
      </c>
      <c r="C1017" s="45" t="s">
        <v>1628</v>
      </c>
      <c r="D1017" s="44" t="s">
        <v>4485</v>
      </c>
      <c r="E1017" s="44" t="str">
        <f>VLOOKUP(Tabelle7[[#This Row],[EnumName]],Enum[[IFC-Name]:[Präfix]],5,FALSE)&amp;Tabelle7[[#This Row],[EnuRohValue]]</f>
        <v>krnS_FINISH_FINISH</v>
      </c>
      <c r="F1017" s="44">
        <f>COUNTIF(Tabelle7[EnuValue],Tabelle7[[#This Row],[EnuValue]])</f>
        <v>1</v>
      </c>
      <c r="G1017" s="44" t="str">
        <f xml:space="preserve"> "  " &amp; Tabelle7[[#This Row],[EnuValue]] &amp; " = " &amp; Tabelle7[[#This Row],[Wert]]</f>
        <v xml:space="preserve">  krnS_FINISH_FINISH = 4</v>
      </c>
      <c r="H1017" s="44" t="str">
        <f>"  If Wert = " &amp; Tabelle7[[#This Row],[EnuValue]] &amp; " then Res = ""." &amp; Tabelle7[[#This Row],[EnuRohValue]] &amp; "."""</f>
        <v xml:space="preserve">  If Wert = krnS_FINISH_FINISH then Res = ".FINISH_FINISH."</v>
      </c>
      <c r="I1017" s="44" t="str">
        <f>"  If wert = ""." &amp; Tabelle7[[#This Row],[EnuRohValue]] &amp; "."" Then Res = " &amp; Tabelle7[[#This Row],[EnuValue]]</f>
        <v xml:space="preserve">  If wert = ".FINISH_FINISH." Then Res = krnS_FINISH_FINISH</v>
      </c>
    </row>
    <row r="1018" spans="2:9" x14ac:dyDescent="0.25">
      <c r="B1018" s="44">
        <v>5</v>
      </c>
      <c r="C1018" s="45" t="s">
        <v>1628</v>
      </c>
      <c r="D1018" s="44" t="s">
        <v>3683</v>
      </c>
      <c r="E1018" s="44" t="str">
        <f>VLOOKUP(Tabelle7[[#This Row],[EnumName]],Enum[[IFC-Name]:[Präfix]],5,FALSE)&amp;Tabelle7[[#This Row],[EnuRohValue]]</f>
        <v>krnS_NOTDEFINED</v>
      </c>
      <c r="F1018" s="44">
        <f>COUNTIF(Tabelle7[EnuValue],Tabelle7[[#This Row],[EnuValue]])</f>
        <v>1</v>
      </c>
      <c r="G1018" s="44" t="str">
        <f xml:space="preserve"> "  " &amp; Tabelle7[[#This Row],[EnuValue]] &amp; " = " &amp; Tabelle7[[#This Row],[Wert]]</f>
        <v xml:space="preserve">  krnS_NOTDEFINED = 5</v>
      </c>
      <c r="H1018" s="44" t="str">
        <f>"  If Wert = " &amp; Tabelle7[[#This Row],[EnuValue]] &amp; " then Res = ""." &amp; Tabelle7[[#This Row],[EnuRohValue]] &amp; "."""</f>
        <v xml:space="preserve">  If Wert = krnS_NOTDEFINED then Res = ".NOTDEFINED."</v>
      </c>
      <c r="I1018" s="44" t="str">
        <f>"  If wert = ""." &amp; Tabelle7[[#This Row],[EnuRohValue]] &amp; "."" Then Res = " &amp; Tabelle7[[#This Row],[EnuValue]]</f>
        <v xml:space="preserve">  If wert = ".NOTDEFINED." Then Res = krnS_NOTDEFINED</v>
      </c>
    </row>
    <row r="1019" spans="2:9" x14ac:dyDescent="0.25">
      <c r="B1019" s="44">
        <v>1</v>
      </c>
      <c r="C1019" s="45" t="s">
        <v>1629</v>
      </c>
      <c r="D1019" s="44" t="s">
        <v>4486</v>
      </c>
      <c r="E1019" s="44" t="str">
        <f>VLOOKUP(Tabelle7[[#This Row],[EnumName]],Enum[[IFC-Name]:[Präfix]],5,FALSE)&amp;Tabelle7[[#This Row],[EnuRohValue]]</f>
        <v>sfmSLFT_A_QUALITYOFCOMPONENTS</v>
      </c>
      <c r="F1019" s="44">
        <f>COUNTIF(Tabelle7[EnuValue],Tabelle7[[#This Row],[EnuValue]])</f>
        <v>1</v>
      </c>
      <c r="G1019" s="44" t="str">
        <f xml:space="preserve"> "  " &amp; Tabelle7[[#This Row],[EnuValue]] &amp; " = " &amp; Tabelle7[[#This Row],[Wert]]</f>
        <v xml:space="preserve">  sfmSLFT_A_QUALITYOFCOMPONENTS = 1</v>
      </c>
      <c r="H1019" s="44" t="str">
        <f>"  If Wert = " &amp; Tabelle7[[#This Row],[EnuValue]] &amp; " then Res = ""." &amp; Tabelle7[[#This Row],[EnuRohValue]] &amp; "."""</f>
        <v xml:space="preserve">  If Wert = sfmSLFT_A_QUALITYOFCOMPONENTS then Res = ".A_QUALITYOFCOMPONENTS."</v>
      </c>
      <c r="I1019" s="44" t="str">
        <f>"  If wert = ""." &amp; Tabelle7[[#This Row],[EnuRohValue]] &amp; "."" Then Res = " &amp; Tabelle7[[#This Row],[EnuValue]]</f>
        <v xml:space="preserve">  If wert = ".A_QUALITYOFCOMPONENTS." Then Res = sfmSLFT_A_QUALITYOFCOMPONENTS</v>
      </c>
    </row>
    <row r="1020" spans="2:9" x14ac:dyDescent="0.25">
      <c r="B1020" s="44">
        <v>2</v>
      </c>
      <c r="C1020" s="45" t="s">
        <v>1629</v>
      </c>
      <c r="D1020" s="44" t="s">
        <v>4487</v>
      </c>
      <c r="E1020" s="44" t="str">
        <f>VLOOKUP(Tabelle7[[#This Row],[EnumName]],Enum[[IFC-Name]:[Präfix]],5,FALSE)&amp;Tabelle7[[#This Row],[EnuRohValue]]</f>
        <v>sfmSLFT_B_DESIGNLEVEL</v>
      </c>
      <c r="F1020" s="44">
        <f>COUNTIF(Tabelle7[EnuValue],Tabelle7[[#This Row],[EnuValue]])</f>
        <v>1</v>
      </c>
      <c r="G1020" s="44" t="str">
        <f xml:space="preserve"> "  " &amp; Tabelle7[[#This Row],[EnuValue]] &amp; " = " &amp; Tabelle7[[#This Row],[Wert]]</f>
        <v xml:space="preserve">  sfmSLFT_B_DESIGNLEVEL = 2</v>
      </c>
      <c r="H1020" s="44" t="str">
        <f>"  If Wert = " &amp; Tabelle7[[#This Row],[EnuValue]] &amp; " then Res = ""." &amp; Tabelle7[[#This Row],[EnuRohValue]] &amp; "."""</f>
        <v xml:space="preserve">  If Wert = sfmSLFT_B_DESIGNLEVEL then Res = ".B_DESIGNLEVEL."</v>
      </c>
      <c r="I1020" s="44" t="str">
        <f>"  If wert = ""." &amp; Tabelle7[[#This Row],[EnuRohValue]] &amp; "."" Then Res = " &amp; Tabelle7[[#This Row],[EnuValue]]</f>
        <v xml:space="preserve">  If wert = ".B_DESIGNLEVEL." Then Res = sfmSLFT_B_DESIGNLEVEL</v>
      </c>
    </row>
    <row r="1021" spans="2:9" x14ac:dyDescent="0.25">
      <c r="B1021" s="44">
        <v>3</v>
      </c>
      <c r="C1021" s="45" t="s">
        <v>1629</v>
      </c>
      <c r="D1021" s="44" t="s">
        <v>4488</v>
      </c>
      <c r="E1021" s="44" t="str">
        <f>VLOOKUP(Tabelle7[[#This Row],[EnumName]],Enum[[IFC-Name]:[Präfix]],5,FALSE)&amp;Tabelle7[[#This Row],[EnuRohValue]]</f>
        <v>sfmSLFT_C_WORKEXECUTIONLEVEL</v>
      </c>
      <c r="F1021" s="44">
        <f>COUNTIF(Tabelle7[EnuValue],Tabelle7[[#This Row],[EnuValue]])</f>
        <v>1</v>
      </c>
      <c r="G1021" s="44" t="str">
        <f xml:space="preserve"> "  " &amp; Tabelle7[[#This Row],[EnuValue]] &amp; " = " &amp; Tabelle7[[#This Row],[Wert]]</f>
        <v xml:space="preserve">  sfmSLFT_C_WORKEXECUTIONLEVEL = 3</v>
      </c>
      <c r="H1021" s="44" t="str">
        <f>"  If Wert = " &amp; Tabelle7[[#This Row],[EnuValue]] &amp; " then Res = ""." &amp; Tabelle7[[#This Row],[EnuRohValue]] &amp; "."""</f>
        <v xml:space="preserve">  If Wert = sfmSLFT_C_WORKEXECUTIONLEVEL then Res = ".C_WORKEXECUTIONLEVEL."</v>
      </c>
      <c r="I1021" s="44" t="str">
        <f>"  If wert = ""." &amp; Tabelle7[[#This Row],[EnuRohValue]] &amp; "."" Then Res = " &amp; Tabelle7[[#This Row],[EnuValue]]</f>
        <v xml:space="preserve">  If wert = ".C_WORKEXECUTIONLEVEL." Then Res = sfmSLFT_C_WORKEXECUTIONLEVEL</v>
      </c>
    </row>
    <row r="1022" spans="2:9" x14ac:dyDescent="0.25">
      <c r="B1022" s="44">
        <v>4</v>
      </c>
      <c r="C1022" s="45" t="s">
        <v>1629</v>
      </c>
      <c r="D1022" s="44" t="s">
        <v>4489</v>
      </c>
      <c r="E1022" s="44" t="str">
        <f>VLOOKUP(Tabelle7[[#This Row],[EnumName]],Enum[[IFC-Name]:[Präfix]],5,FALSE)&amp;Tabelle7[[#This Row],[EnuRohValue]]</f>
        <v>sfmSLFT_D_INDOORENVIRONMENT</v>
      </c>
      <c r="F1022" s="44">
        <f>COUNTIF(Tabelle7[EnuValue],Tabelle7[[#This Row],[EnuValue]])</f>
        <v>1</v>
      </c>
      <c r="G1022" s="44" t="str">
        <f xml:space="preserve"> "  " &amp; Tabelle7[[#This Row],[EnuValue]] &amp; " = " &amp; Tabelle7[[#This Row],[Wert]]</f>
        <v xml:space="preserve">  sfmSLFT_D_INDOORENVIRONMENT = 4</v>
      </c>
      <c r="H1022" s="44" t="str">
        <f>"  If Wert = " &amp; Tabelle7[[#This Row],[EnuValue]] &amp; " then Res = ""." &amp; Tabelle7[[#This Row],[EnuRohValue]] &amp; "."""</f>
        <v xml:space="preserve">  If Wert = sfmSLFT_D_INDOORENVIRONMENT then Res = ".D_INDOORENVIRONMENT."</v>
      </c>
      <c r="I1022" s="44" t="str">
        <f>"  If wert = ""." &amp; Tabelle7[[#This Row],[EnuRohValue]] &amp; "."" Then Res = " &amp; Tabelle7[[#This Row],[EnuValue]]</f>
        <v xml:space="preserve">  If wert = ".D_INDOORENVIRONMENT." Then Res = sfmSLFT_D_INDOORENVIRONMENT</v>
      </c>
    </row>
    <row r="1023" spans="2:9" x14ac:dyDescent="0.25">
      <c r="B1023" s="44">
        <v>5</v>
      </c>
      <c r="C1023" s="45" t="s">
        <v>1629</v>
      </c>
      <c r="D1023" s="44" t="s">
        <v>4490</v>
      </c>
      <c r="E1023" s="44" t="str">
        <f>VLOOKUP(Tabelle7[[#This Row],[EnumName]],Enum[[IFC-Name]:[Präfix]],5,FALSE)&amp;Tabelle7[[#This Row],[EnuRohValue]]</f>
        <v>sfmSLFT_E_OUTDOORENVIRONMENT</v>
      </c>
      <c r="F1023" s="44">
        <f>COUNTIF(Tabelle7[EnuValue],Tabelle7[[#This Row],[EnuValue]])</f>
        <v>1</v>
      </c>
      <c r="G1023" s="44" t="str">
        <f xml:space="preserve"> "  " &amp; Tabelle7[[#This Row],[EnuValue]] &amp; " = " &amp; Tabelle7[[#This Row],[Wert]]</f>
        <v xml:space="preserve">  sfmSLFT_E_OUTDOORENVIRONMENT = 5</v>
      </c>
      <c r="H1023" s="44" t="str">
        <f>"  If Wert = " &amp; Tabelle7[[#This Row],[EnuValue]] &amp; " then Res = ""." &amp; Tabelle7[[#This Row],[EnuRohValue]] &amp; "."""</f>
        <v xml:space="preserve">  If Wert = sfmSLFT_E_OUTDOORENVIRONMENT then Res = ".E_OUTDOORENVIRONMENT."</v>
      </c>
      <c r="I1023" s="44" t="str">
        <f>"  If wert = ""." &amp; Tabelle7[[#This Row],[EnuRohValue]] &amp; "."" Then Res = " &amp; Tabelle7[[#This Row],[EnuValue]]</f>
        <v xml:space="preserve">  If wert = ".E_OUTDOORENVIRONMENT." Then Res = sfmSLFT_E_OUTDOORENVIRONMENT</v>
      </c>
    </row>
    <row r="1024" spans="2:9" x14ac:dyDescent="0.25">
      <c r="B1024" s="44">
        <v>6</v>
      </c>
      <c r="C1024" s="45" t="s">
        <v>1629</v>
      </c>
      <c r="D1024" s="44" t="s">
        <v>4491</v>
      </c>
      <c r="E1024" s="44" t="str">
        <f>VLOOKUP(Tabelle7[[#This Row],[EnumName]],Enum[[IFC-Name]:[Präfix]],5,FALSE)&amp;Tabelle7[[#This Row],[EnuRohValue]]</f>
        <v>sfmSLFT_F_INUSECONDITIONS</v>
      </c>
      <c r="F1024" s="44">
        <f>COUNTIF(Tabelle7[EnuValue],Tabelle7[[#This Row],[EnuValue]])</f>
        <v>1</v>
      </c>
      <c r="G1024" s="44" t="str">
        <f xml:space="preserve"> "  " &amp; Tabelle7[[#This Row],[EnuValue]] &amp; " = " &amp; Tabelle7[[#This Row],[Wert]]</f>
        <v xml:space="preserve">  sfmSLFT_F_INUSECONDITIONS = 6</v>
      </c>
      <c r="H1024" s="44" t="str">
        <f>"  If Wert = " &amp; Tabelle7[[#This Row],[EnuValue]] &amp; " then Res = ""." &amp; Tabelle7[[#This Row],[EnuRohValue]] &amp; "."""</f>
        <v xml:space="preserve">  If Wert = sfmSLFT_F_INUSECONDITIONS then Res = ".F_INUSECONDITIONS."</v>
      </c>
      <c r="I1024" s="44" t="str">
        <f>"  If wert = ""." &amp; Tabelle7[[#This Row],[EnuRohValue]] &amp; "."" Then Res = " &amp; Tabelle7[[#This Row],[EnuValue]]</f>
        <v xml:space="preserve">  If wert = ".F_INUSECONDITIONS." Then Res = sfmSLFT_F_INUSECONDITIONS</v>
      </c>
    </row>
    <row r="1025" spans="2:9" x14ac:dyDescent="0.25">
      <c r="B1025" s="44">
        <v>7</v>
      </c>
      <c r="C1025" s="45" t="s">
        <v>1629</v>
      </c>
      <c r="D1025" s="44" t="s">
        <v>4492</v>
      </c>
      <c r="E1025" s="44" t="str">
        <f>VLOOKUP(Tabelle7[[#This Row],[EnumName]],Enum[[IFC-Name]:[Präfix]],5,FALSE)&amp;Tabelle7[[#This Row],[EnuRohValue]]</f>
        <v>sfmSLFT_G_MAINTENANCELEVEL</v>
      </c>
      <c r="F1025" s="44">
        <f>COUNTIF(Tabelle7[EnuValue],Tabelle7[[#This Row],[EnuValue]])</f>
        <v>1</v>
      </c>
      <c r="G1025" s="44" t="str">
        <f xml:space="preserve"> "  " &amp; Tabelle7[[#This Row],[EnuValue]] &amp; " = " &amp; Tabelle7[[#This Row],[Wert]]</f>
        <v xml:space="preserve">  sfmSLFT_G_MAINTENANCELEVEL = 7</v>
      </c>
      <c r="H1025" s="44" t="str">
        <f>"  If Wert = " &amp; Tabelle7[[#This Row],[EnuValue]] &amp; " then Res = ""." &amp; Tabelle7[[#This Row],[EnuRohValue]] &amp; "."""</f>
        <v xml:space="preserve">  If Wert = sfmSLFT_G_MAINTENANCELEVEL then Res = ".G_MAINTENANCELEVEL."</v>
      </c>
      <c r="I1025" s="44" t="str">
        <f>"  If wert = ""." &amp; Tabelle7[[#This Row],[EnuRohValue]] &amp; "."" Then Res = " &amp; Tabelle7[[#This Row],[EnuValue]]</f>
        <v xml:space="preserve">  If wert = ".G_MAINTENANCELEVEL." Then Res = sfmSLFT_G_MAINTENANCELEVEL</v>
      </c>
    </row>
    <row r="1026" spans="2:9" x14ac:dyDescent="0.25">
      <c r="B1026" s="44">
        <v>8</v>
      </c>
      <c r="C1026" s="45" t="s">
        <v>1629</v>
      </c>
      <c r="D1026" s="44" t="s">
        <v>3682</v>
      </c>
      <c r="E1026" s="44" t="str">
        <f>VLOOKUP(Tabelle7[[#This Row],[EnumName]],Enum[[IFC-Name]:[Präfix]],5,FALSE)&amp;Tabelle7[[#This Row],[EnuRohValue]]</f>
        <v>sfmSLFT_USERDEFINED</v>
      </c>
      <c r="F1026" s="44">
        <f>COUNTIF(Tabelle7[EnuValue],Tabelle7[[#This Row],[EnuValue]])</f>
        <v>1</v>
      </c>
      <c r="G1026" s="44" t="str">
        <f xml:space="preserve"> "  " &amp; Tabelle7[[#This Row],[EnuValue]] &amp; " = " &amp; Tabelle7[[#This Row],[Wert]]</f>
        <v xml:space="preserve">  sfmSLFT_USERDEFINED = 8</v>
      </c>
      <c r="H1026" s="44" t="str">
        <f>"  If Wert = " &amp; Tabelle7[[#This Row],[EnuValue]] &amp; " then Res = ""." &amp; Tabelle7[[#This Row],[EnuRohValue]] &amp; "."""</f>
        <v xml:space="preserve">  If Wert = sfmSLFT_USERDEFINED then Res = ".USERDEFINED."</v>
      </c>
      <c r="I1026" s="44" t="str">
        <f>"  If wert = ""." &amp; Tabelle7[[#This Row],[EnuRohValue]] &amp; "."" Then Res = " &amp; Tabelle7[[#This Row],[EnuValue]]</f>
        <v xml:space="preserve">  If wert = ".USERDEFINED." Then Res = sfmSLFT_USERDEFINED</v>
      </c>
    </row>
    <row r="1027" spans="2:9" x14ac:dyDescent="0.25">
      <c r="B1027" s="44">
        <v>9</v>
      </c>
      <c r="C1027" s="45" t="s">
        <v>1629</v>
      </c>
      <c r="D1027" s="44" t="s">
        <v>3683</v>
      </c>
      <c r="E1027" s="44" t="str">
        <f>VLOOKUP(Tabelle7[[#This Row],[EnumName]],Enum[[IFC-Name]:[Präfix]],5,FALSE)&amp;Tabelle7[[#This Row],[EnuRohValue]]</f>
        <v>sfmSLFT_NOTDEFINED</v>
      </c>
      <c r="F1027" s="44">
        <f>COUNTIF(Tabelle7[EnuValue],Tabelle7[[#This Row],[EnuValue]])</f>
        <v>1</v>
      </c>
      <c r="G1027" s="44" t="str">
        <f xml:space="preserve"> "  " &amp; Tabelle7[[#This Row],[EnuValue]] &amp; " = " &amp; Tabelle7[[#This Row],[Wert]]</f>
        <v xml:space="preserve">  sfmSLFT_NOTDEFINED = 9</v>
      </c>
      <c r="H1027" s="44" t="str">
        <f>"  If Wert = " &amp; Tabelle7[[#This Row],[EnuValue]] &amp; " then Res = ""." &amp; Tabelle7[[#This Row],[EnuRohValue]] &amp; "."""</f>
        <v xml:space="preserve">  If Wert = sfmSLFT_NOTDEFINED then Res = ".NOTDEFINED."</v>
      </c>
      <c r="I1027" s="44" t="str">
        <f>"  If wert = ""." &amp; Tabelle7[[#This Row],[EnuRohValue]] &amp; "."" Then Res = " &amp; Tabelle7[[#This Row],[EnuValue]]</f>
        <v xml:space="preserve">  If wert = ".NOTDEFINED." Then Res = sfmSLFT_NOTDEFINED</v>
      </c>
    </row>
    <row r="1028" spans="2:9" x14ac:dyDescent="0.25">
      <c r="B1028" s="44">
        <v>1</v>
      </c>
      <c r="C1028" s="45" t="s">
        <v>1630</v>
      </c>
      <c r="D1028" s="44" t="s">
        <v>4493</v>
      </c>
      <c r="E1028" s="44" t="str">
        <f>VLOOKUP(Tabelle7[[#This Row],[EnumName]],Enum[[IFC-Name]:[Präfix]],5,FALSE)&amp;Tabelle7[[#This Row],[EnuRohValue]]</f>
        <v>sfmSLT_ACTUALSERVICELIFE</v>
      </c>
      <c r="F1028" s="44">
        <f>COUNTIF(Tabelle7[EnuValue],Tabelle7[[#This Row],[EnuValue]])</f>
        <v>1</v>
      </c>
      <c r="G1028" s="44" t="str">
        <f xml:space="preserve"> "  " &amp; Tabelle7[[#This Row],[EnuValue]] &amp; " = " &amp; Tabelle7[[#This Row],[Wert]]</f>
        <v xml:space="preserve">  sfmSLT_ACTUALSERVICELIFE = 1</v>
      </c>
      <c r="H1028" s="44" t="str">
        <f>"  If Wert = " &amp; Tabelle7[[#This Row],[EnuValue]] &amp; " then Res = ""." &amp; Tabelle7[[#This Row],[EnuRohValue]] &amp; "."""</f>
        <v xml:space="preserve">  If Wert = sfmSLT_ACTUALSERVICELIFE then Res = ".ACTUALSERVICELIFE."</v>
      </c>
      <c r="I1028" s="44" t="str">
        <f>"  If wert = ""." &amp; Tabelle7[[#This Row],[EnuRohValue]] &amp; "."" Then Res = " &amp; Tabelle7[[#This Row],[EnuValue]]</f>
        <v xml:space="preserve">  If wert = ".ACTUALSERVICELIFE." Then Res = sfmSLT_ACTUALSERVICELIFE</v>
      </c>
    </row>
    <row r="1029" spans="2:9" x14ac:dyDescent="0.25">
      <c r="B1029" s="44">
        <v>2</v>
      </c>
      <c r="C1029" s="45" t="s">
        <v>1630</v>
      </c>
      <c r="D1029" s="44" t="s">
        <v>4494</v>
      </c>
      <c r="E1029" s="44" t="str">
        <f>VLOOKUP(Tabelle7[[#This Row],[EnumName]],Enum[[IFC-Name]:[Präfix]],5,FALSE)&amp;Tabelle7[[#This Row],[EnuRohValue]]</f>
        <v>sfmSLT_EXPECTEDSERVICELIFE</v>
      </c>
      <c r="F1029" s="44">
        <f>COUNTIF(Tabelle7[EnuValue],Tabelle7[[#This Row],[EnuValue]])</f>
        <v>1</v>
      </c>
      <c r="G1029" s="44" t="str">
        <f xml:space="preserve"> "  " &amp; Tabelle7[[#This Row],[EnuValue]] &amp; " = " &amp; Tabelle7[[#This Row],[Wert]]</f>
        <v xml:space="preserve">  sfmSLT_EXPECTEDSERVICELIFE = 2</v>
      </c>
      <c r="H1029" s="44" t="str">
        <f>"  If Wert = " &amp; Tabelle7[[#This Row],[EnuValue]] &amp; " then Res = ""." &amp; Tabelle7[[#This Row],[EnuRohValue]] &amp; "."""</f>
        <v xml:space="preserve">  If Wert = sfmSLT_EXPECTEDSERVICELIFE then Res = ".EXPECTEDSERVICELIFE."</v>
      </c>
      <c r="I1029" s="44" t="str">
        <f>"  If wert = ""." &amp; Tabelle7[[#This Row],[EnuRohValue]] &amp; "."" Then Res = " &amp; Tabelle7[[#This Row],[EnuValue]]</f>
        <v xml:space="preserve">  If wert = ".EXPECTEDSERVICELIFE." Then Res = sfmSLT_EXPECTEDSERVICELIFE</v>
      </c>
    </row>
    <row r="1030" spans="2:9" x14ac:dyDescent="0.25">
      <c r="B1030" s="44">
        <v>3</v>
      </c>
      <c r="C1030" s="45" t="s">
        <v>1630</v>
      </c>
      <c r="D1030" s="44" t="s">
        <v>4495</v>
      </c>
      <c r="E1030" s="44" t="str">
        <f>VLOOKUP(Tabelle7[[#This Row],[EnumName]],Enum[[IFC-Name]:[Präfix]],5,FALSE)&amp;Tabelle7[[#This Row],[EnuRohValue]]</f>
        <v>sfmSLT_OPTIMISTICREFERENCESERVICELIFE</v>
      </c>
      <c r="F1030" s="44">
        <f>COUNTIF(Tabelle7[EnuValue],Tabelle7[[#This Row],[EnuValue]])</f>
        <v>1</v>
      </c>
      <c r="G1030" s="44" t="str">
        <f xml:space="preserve"> "  " &amp; Tabelle7[[#This Row],[EnuValue]] &amp; " = " &amp; Tabelle7[[#This Row],[Wert]]</f>
        <v xml:space="preserve">  sfmSLT_OPTIMISTICREFERENCESERVICELIFE = 3</v>
      </c>
      <c r="H1030" s="44" t="str">
        <f>"  If Wert = " &amp; Tabelle7[[#This Row],[EnuValue]] &amp; " then Res = ""." &amp; Tabelle7[[#This Row],[EnuRohValue]] &amp; "."""</f>
        <v xml:space="preserve">  If Wert = sfmSLT_OPTIMISTICREFERENCESERVICELIFE then Res = ".OPTIMISTICREFERENCESERVICELIFE."</v>
      </c>
      <c r="I1030" s="44" t="str">
        <f>"  If wert = ""." &amp; Tabelle7[[#This Row],[EnuRohValue]] &amp; "."" Then Res = " &amp; Tabelle7[[#This Row],[EnuValue]]</f>
        <v xml:space="preserve">  If wert = ".OPTIMISTICREFERENCESERVICELIFE." Then Res = sfmSLT_OPTIMISTICREFERENCESERVICELIFE</v>
      </c>
    </row>
    <row r="1031" spans="2:9" x14ac:dyDescent="0.25">
      <c r="B1031" s="44">
        <v>4</v>
      </c>
      <c r="C1031" s="45" t="s">
        <v>1630</v>
      </c>
      <c r="D1031" s="44" t="s">
        <v>4496</v>
      </c>
      <c r="E1031" s="44" t="str">
        <f>VLOOKUP(Tabelle7[[#This Row],[EnumName]],Enum[[IFC-Name]:[Präfix]],5,FALSE)&amp;Tabelle7[[#This Row],[EnuRohValue]]</f>
        <v>sfmSLT_PESSIMISTICREFERENCESERVICELIFE</v>
      </c>
      <c r="F1031" s="44">
        <f>COUNTIF(Tabelle7[EnuValue],Tabelle7[[#This Row],[EnuValue]])</f>
        <v>1</v>
      </c>
      <c r="G1031" s="44" t="str">
        <f xml:space="preserve"> "  " &amp; Tabelle7[[#This Row],[EnuValue]] &amp; " = " &amp; Tabelle7[[#This Row],[Wert]]</f>
        <v xml:space="preserve">  sfmSLT_PESSIMISTICREFERENCESERVICELIFE = 4</v>
      </c>
      <c r="H1031" s="44" t="str">
        <f>"  If Wert = " &amp; Tabelle7[[#This Row],[EnuValue]] &amp; " then Res = ""." &amp; Tabelle7[[#This Row],[EnuRohValue]] &amp; "."""</f>
        <v xml:space="preserve">  If Wert = sfmSLT_PESSIMISTICREFERENCESERVICELIFE then Res = ".PESSIMISTICREFERENCESERVICELIFE."</v>
      </c>
      <c r="I1031" s="44" t="str">
        <f>"  If wert = ""." &amp; Tabelle7[[#This Row],[EnuRohValue]] &amp; "."" Then Res = " &amp; Tabelle7[[#This Row],[EnuValue]]</f>
        <v xml:space="preserve">  If wert = ".PESSIMISTICREFERENCESERVICELIFE." Then Res = sfmSLT_PESSIMISTICREFERENCESERVICELIFE</v>
      </c>
    </row>
    <row r="1032" spans="2:9" x14ac:dyDescent="0.25">
      <c r="B1032" s="44">
        <v>5</v>
      </c>
      <c r="C1032" s="45" t="s">
        <v>1630</v>
      </c>
      <c r="D1032" s="44" t="s">
        <v>4497</v>
      </c>
      <c r="E1032" s="44" t="str">
        <f>VLOOKUP(Tabelle7[[#This Row],[EnumName]],Enum[[IFC-Name]:[Präfix]],5,FALSE)&amp;Tabelle7[[#This Row],[EnuRohValue]]</f>
        <v>sfmSLT_REFERENCESERVICELIFE</v>
      </c>
      <c r="F1032" s="44">
        <f>COUNTIF(Tabelle7[EnuValue],Tabelle7[[#This Row],[EnuValue]])</f>
        <v>1</v>
      </c>
      <c r="G1032" s="44" t="str">
        <f xml:space="preserve"> "  " &amp; Tabelle7[[#This Row],[EnuValue]] &amp; " = " &amp; Tabelle7[[#This Row],[Wert]]</f>
        <v xml:space="preserve">  sfmSLT_REFERENCESERVICELIFE = 5</v>
      </c>
      <c r="H1032" s="44" t="str">
        <f>"  If Wert = " &amp; Tabelle7[[#This Row],[EnuValue]] &amp; " then Res = ""." &amp; Tabelle7[[#This Row],[EnuRohValue]] &amp; "."""</f>
        <v xml:space="preserve">  If Wert = sfmSLT_REFERENCESERVICELIFE then Res = ".REFERENCESERVICELIFE."</v>
      </c>
      <c r="I1032" s="44" t="str">
        <f>"  If wert = ""." &amp; Tabelle7[[#This Row],[EnuRohValue]] &amp; "."" Then Res = " &amp; Tabelle7[[#This Row],[EnuValue]]</f>
        <v xml:space="preserve">  If wert = ".REFERENCESERVICELIFE." Then Res = sfmSLT_REFERENCESERVICELIFE</v>
      </c>
    </row>
    <row r="1033" spans="2:9" x14ac:dyDescent="0.25">
      <c r="B1033" s="44">
        <v>1</v>
      </c>
      <c r="C1033" s="45" t="s">
        <v>1631</v>
      </c>
      <c r="D1033" s="44" t="s">
        <v>4498</v>
      </c>
      <c r="E1033" s="44" t="str">
        <f>VLOOKUP(Tabelle7[[#This Row],[EnumName]],Enum[[IFC-Name]:[Präfix]],5,FALSE)&amp;Tabelle7[[#This Row],[EnuRohValue]]</f>
        <v>sbeST_FLOOR</v>
      </c>
      <c r="F1033" s="44">
        <f>COUNTIF(Tabelle7[EnuValue],Tabelle7[[#This Row],[EnuValue]])</f>
        <v>1</v>
      </c>
      <c r="G1033" s="44" t="str">
        <f xml:space="preserve"> "  " &amp; Tabelle7[[#This Row],[EnuValue]] &amp; " = " &amp; Tabelle7[[#This Row],[Wert]]</f>
        <v xml:space="preserve">  sbeST_FLOOR = 1</v>
      </c>
      <c r="H1033" s="44" t="str">
        <f>"  If Wert = " &amp; Tabelle7[[#This Row],[EnuValue]] &amp; " then Res = ""." &amp; Tabelle7[[#This Row],[EnuRohValue]] &amp; "."""</f>
        <v xml:space="preserve">  If Wert = sbeST_FLOOR then Res = ".FLOOR."</v>
      </c>
      <c r="I1033" s="44" t="str">
        <f>"  If wert = ""." &amp; Tabelle7[[#This Row],[EnuRohValue]] &amp; "."" Then Res = " &amp; Tabelle7[[#This Row],[EnuValue]]</f>
        <v xml:space="preserve">  If wert = ".FLOOR." Then Res = sbeST_FLOOR</v>
      </c>
    </row>
    <row r="1034" spans="2:9" x14ac:dyDescent="0.25">
      <c r="B1034" s="44">
        <v>2</v>
      </c>
      <c r="C1034" s="45" t="s">
        <v>1631</v>
      </c>
      <c r="D1034" s="44" t="s">
        <v>4499</v>
      </c>
      <c r="E1034" s="44" t="str">
        <f>VLOOKUP(Tabelle7[[#This Row],[EnumName]],Enum[[IFC-Name]:[Präfix]],5,FALSE)&amp;Tabelle7[[#This Row],[EnuRohValue]]</f>
        <v>sbeST_ROOF</v>
      </c>
      <c r="F1034" s="44">
        <f>COUNTIF(Tabelle7[EnuValue],Tabelle7[[#This Row],[EnuValue]])</f>
        <v>1</v>
      </c>
      <c r="G1034" s="44" t="str">
        <f xml:space="preserve"> "  " &amp; Tabelle7[[#This Row],[EnuValue]] &amp; " = " &amp; Tabelle7[[#This Row],[Wert]]</f>
        <v xml:space="preserve">  sbeST_ROOF = 2</v>
      </c>
      <c r="H1034" s="44" t="str">
        <f>"  If Wert = " &amp; Tabelle7[[#This Row],[EnuValue]] &amp; " then Res = ""." &amp; Tabelle7[[#This Row],[EnuRohValue]] &amp; "."""</f>
        <v xml:space="preserve">  If Wert = sbeST_ROOF then Res = ".ROOF."</v>
      </c>
      <c r="I1034" s="44" t="str">
        <f>"  If wert = ""." &amp; Tabelle7[[#This Row],[EnuRohValue]] &amp; "."" Then Res = " &amp; Tabelle7[[#This Row],[EnuValue]]</f>
        <v xml:space="preserve">  If wert = ".ROOF." Then Res = sbeST_ROOF</v>
      </c>
    </row>
    <row r="1035" spans="2:9" x14ac:dyDescent="0.25">
      <c r="B1035" s="44">
        <v>3</v>
      </c>
      <c r="C1035" s="45" t="s">
        <v>1631</v>
      </c>
      <c r="D1035" s="44" t="s">
        <v>4500</v>
      </c>
      <c r="E1035" s="44" t="str">
        <f>VLOOKUP(Tabelle7[[#This Row],[EnumName]],Enum[[IFC-Name]:[Präfix]],5,FALSE)&amp;Tabelle7[[#This Row],[EnuRohValue]]</f>
        <v>sbeST_LANDING</v>
      </c>
      <c r="F1035" s="44">
        <f>COUNTIF(Tabelle7[EnuValue],Tabelle7[[#This Row],[EnuValue]])</f>
        <v>1</v>
      </c>
      <c r="G1035" s="44" t="str">
        <f xml:space="preserve"> "  " &amp; Tabelle7[[#This Row],[EnuValue]] &amp; " = " &amp; Tabelle7[[#This Row],[Wert]]</f>
        <v xml:space="preserve">  sbeST_LANDING = 3</v>
      </c>
      <c r="H1035" s="44" t="str">
        <f>"  If Wert = " &amp; Tabelle7[[#This Row],[EnuValue]] &amp; " then Res = ""." &amp; Tabelle7[[#This Row],[EnuRohValue]] &amp; "."""</f>
        <v xml:space="preserve">  If Wert = sbeST_LANDING then Res = ".LANDING."</v>
      </c>
      <c r="I1035" s="44" t="str">
        <f>"  If wert = ""." &amp; Tabelle7[[#This Row],[EnuRohValue]] &amp; "."" Then Res = " &amp; Tabelle7[[#This Row],[EnuValue]]</f>
        <v xml:space="preserve">  If wert = ".LANDING." Then Res = sbeST_LANDING</v>
      </c>
    </row>
    <row r="1036" spans="2:9" x14ac:dyDescent="0.25">
      <c r="B1036" s="44">
        <v>4</v>
      </c>
      <c r="C1036" s="45" t="s">
        <v>1631</v>
      </c>
      <c r="D1036" s="44" t="s">
        <v>4501</v>
      </c>
      <c r="E1036" s="44" t="str">
        <f>VLOOKUP(Tabelle7[[#This Row],[EnumName]],Enum[[IFC-Name]:[Präfix]],5,FALSE)&amp;Tabelle7[[#This Row],[EnuRohValue]]</f>
        <v>sbeST_BASESLAB</v>
      </c>
      <c r="F1036" s="44">
        <f>COUNTIF(Tabelle7[EnuValue],Tabelle7[[#This Row],[EnuValue]])</f>
        <v>1</v>
      </c>
      <c r="G1036" s="44" t="str">
        <f xml:space="preserve"> "  " &amp; Tabelle7[[#This Row],[EnuValue]] &amp; " = " &amp; Tabelle7[[#This Row],[Wert]]</f>
        <v xml:space="preserve">  sbeST_BASESLAB = 4</v>
      </c>
      <c r="H1036" s="44" t="str">
        <f>"  If Wert = " &amp; Tabelle7[[#This Row],[EnuValue]] &amp; " then Res = ""." &amp; Tabelle7[[#This Row],[EnuRohValue]] &amp; "."""</f>
        <v xml:space="preserve">  If Wert = sbeST_BASESLAB then Res = ".BASESLAB."</v>
      </c>
      <c r="I1036" s="44" t="str">
        <f>"  If wert = ""." &amp; Tabelle7[[#This Row],[EnuRohValue]] &amp; "."" Then Res = " &amp; Tabelle7[[#This Row],[EnuValue]]</f>
        <v xml:space="preserve">  If wert = ".BASESLAB." Then Res = sbeST_BASESLAB</v>
      </c>
    </row>
    <row r="1037" spans="2:9" x14ac:dyDescent="0.25">
      <c r="B1037" s="44">
        <v>5</v>
      </c>
      <c r="C1037" s="45" t="s">
        <v>1631</v>
      </c>
      <c r="D1037" s="44" t="s">
        <v>3682</v>
      </c>
      <c r="E1037" s="44" t="str">
        <f>VLOOKUP(Tabelle7[[#This Row],[EnumName]],Enum[[IFC-Name]:[Präfix]],5,FALSE)&amp;Tabelle7[[#This Row],[EnuRohValue]]</f>
        <v>sbeST_USERDEFINED</v>
      </c>
      <c r="F1037" s="44">
        <f>COUNTIF(Tabelle7[EnuValue],Tabelle7[[#This Row],[EnuValue]])</f>
        <v>2</v>
      </c>
      <c r="G1037" s="44" t="str">
        <f xml:space="preserve"> "  " &amp; Tabelle7[[#This Row],[EnuValue]] &amp; " = " &amp; Tabelle7[[#This Row],[Wert]]</f>
        <v xml:space="preserve">  sbeST_USERDEFINED = 5</v>
      </c>
      <c r="H1037" s="44" t="str">
        <f>"  If Wert = " &amp; Tabelle7[[#This Row],[EnuValue]] &amp; " then Res = ""." &amp; Tabelle7[[#This Row],[EnuRohValue]] &amp; "."""</f>
        <v xml:space="preserve">  If Wert = sbeST_USERDEFINED then Res = ".USERDEFINED."</v>
      </c>
      <c r="I1037" s="44" t="str">
        <f>"  If wert = ""." &amp; Tabelle7[[#This Row],[EnuRohValue]] &amp; "."" Then Res = " &amp; Tabelle7[[#This Row],[EnuValue]]</f>
        <v xml:space="preserve">  If wert = ".USERDEFINED." Then Res = sbeST_USERDEFINED</v>
      </c>
    </row>
    <row r="1038" spans="2:9" x14ac:dyDescent="0.25">
      <c r="B1038" s="44">
        <v>6</v>
      </c>
      <c r="C1038" s="45" t="s">
        <v>1631</v>
      </c>
      <c r="D1038" s="44" t="s">
        <v>3683</v>
      </c>
      <c r="E1038" s="44" t="str">
        <f>VLOOKUP(Tabelle7[[#This Row],[EnumName]],Enum[[IFC-Name]:[Präfix]],5,FALSE)&amp;Tabelle7[[#This Row],[EnuRohValue]]</f>
        <v>sbeST_NOTDEFINED</v>
      </c>
      <c r="F1038" s="44">
        <f>COUNTIF(Tabelle7[EnuValue],Tabelle7[[#This Row],[EnuValue]])</f>
        <v>2</v>
      </c>
      <c r="G1038" s="44" t="str">
        <f xml:space="preserve"> "  " &amp; Tabelle7[[#This Row],[EnuValue]] &amp; " = " &amp; Tabelle7[[#This Row],[Wert]]</f>
        <v xml:space="preserve">  sbeST_NOTDEFINED = 6</v>
      </c>
      <c r="H1038" s="44" t="str">
        <f>"  If Wert = " &amp; Tabelle7[[#This Row],[EnuValue]] &amp; " then Res = ""." &amp; Tabelle7[[#This Row],[EnuRohValue]] &amp; "."""</f>
        <v xml:space="preserve">  If Wert = sbeST_NOTDEFINED then Res = ".NOTDEFINED."</v>
      </c>
      <c r="I1038" s="44" t="str">
        <f>"  If wert = ""." &amp; Tabelle7[[#This Row],[EnuRohValue]] &amp; "."" Then Res = " &amp; Tabelle7[[#This Row],[EnuValue]]</f>
        <v xml:space="preserve">  If wert = ".NOTDEFINED." Then Res = sbeST_NOTDEFINED</v>
      </c>
    </row>
    <row r="1039" spans="2:9" x14ac:dyDescent="0.25">
      <c r="B1039" s="44">
        <v>1</v>
      </c>
      <c r="C1039" s="45" t="s">
        <v>1632</v>
      </c>
      <c r="D1039" s="44" t="s">
        <v>4502</v>
      </c>
      <c r="E1039" s="44" t="str">
        <f>VLOOKUP(Tabelle7[[#This Row],[EnumName]],Enum[[IFC-Name]:[Präfix]],5,FALSE)&amp;Tabelle7[[#This Row],[EnuRohValue]]</f>
        <v>sbsSS_DBA</v>
      </c>
      <c r="F1039" s="44">
        <f>COUNTIF(Tabelle7[EnuValue],Tabelle7[[#This Row],[EnuValue]])</f>
        <v>1</v>
      </c>
      <c r="G1039" s="44" t="str">
        <f xml:space="preserve"> "  " &amp; Tabelle7[[#This Row],[EnuValue]] &amp; " = " &amp; Tabelle7[[#This Row],[Wert]]</f>
        <v xml:space="preserve">  sbsSS_DBA = 1</v>
      </c>
      <c r="H1039" s="44" t="str">
        <f>"  If Wert = " &amp; Tabelle7[[#This Row],[EnuValue]] &amp; " then Res = ""." &amp; Tabelle7[[#This Row],[EnuRohValue]] &amp; "."""</f>
        <v xml:space="preserve">  If Wert = sbsSS_DBA then Res = ".DBA."</v>
      </c>
      <c r="I1039" s="44" t="str">
        <f>"  If wert = ""." &amp; Tabelle7[[#This Row],[EnuRohValue]] &amp; "."" Then Res = " &amp; Tabelle7[[#This Row],[EnuValue]]</f>
        <v xml:space="preserve">  If wert = ".DBA." Then Res = sbsSS_DBA</v>
      </c>
    </row>
    <row r="1040" spans="2:9" x14ac:dyDescent="0.25">
      <c r="B1040" s="44">
        <v>2</v>
      </c>
      <c r="C1040" s="45" t="s">
        <v>1632</v>
      </c>
      <c r="D1040" s="44" t="s">
        <v>4503</v>
      </c>
      <c r="E1040" s="44" t="str">
        <f>VLOOKUP(Tabelle7[[#This Row],[EnumName]],Enum[[IFC-Name]:[Präfix]],5,FALSE)&amp;Tabelle7[[#This Row],[EnuRohValue]]</f>
        <v>sbsSS_DBB</v>
      </c>
      <c r="F1040" s="44">
        <f>COUNTIF(Tabelle7[EnuValue],Tabelle7[[#This Row],[EnuValue]])</f>
        <v>1</v>
      </c>
      <c r="G1040" s="44" t="str">
        <f xml:space="preserve"> "  " &amp; Tabelle7[[#This Row],[EnuValue]] &amp; " = " &amp; Tabelle7[[#This Row],[Wert]]</f>
        <v xml:space="preserve">  sbsSS_DBB = 2</v>
      </c>
      <c r="H1040" s="44" t="str">
        <f>"  If Wert = " &amp; Tabelle7[[#This Row],[EnuValue]] &amp; " then Res = ""." &amp; Tabelle7[[#This Row],[EnuRohValue]] &amp; "."""</f>
        <v xml:space="preserve">  If Wert = sbsSS_DBB then Res = ".DBB."</v>
      </c>
      <c r="I1040" s="44" t="str">
        <f>"  If wert = ""." &amp; Tabelle7[[#This Row],[EnuRohValue]] &amp; "."" Then Res = " &amp; Tabelle7[[#This Row],[EnuValue]]</f>
        <v xml:space="preserve">  If wert = ".DBB." Then Res = sbsSS_DBB</v>
      </c>
    </row>
    <row r="1041" spans="2:9" x14ac:dyDescent="0.25">
      <c r="B1041" s="44">
        <v>3</v>
      </c>
      <c r="C1041" s="45" t="s">
        <v>1632</v>
      </c>
      <c r="D1041" s="44" t="s">
        <v>4504</v>
      </c>
      <c r="E1041" s="44" t="str">
        <f>VLOOKUP(Tabelle7[[#This Row],[EnumName]],Enum[[IFC-Name]:[Präfix]],5,FALSE)&amp;Tabelle7[[#This Row],[EnuRohValue]]</f>
        <v>sbsSS_DBC</v>
      </c>
      <c r="F1041" s="44">
        <f>COUNTIF(Tabelle7[EnuValue],Tabelle7[[#This Row],[EnuValue]])</f>
        <v>1</v>
      </c>
      <c r="G1041" s="44" t="str">
        <f xml:space="preserve"> "  " &amp; Tabelle7[[#This Row],[EnuValue]] &amp; " = " &amp; Tabelle7[[#This Row],[Wert]]</f>
        <v xml:space="preserve">  sbsSS_DBC = 3</v>
      </c>
      <c r="H1041" s="44" t="str">
        <f>"  If Wert = " &amp; Tabelle7[[#This Row],[EnuValue]] &amp; " then Res = ""." &amp; Tabelle7[[#This Row],[EnuRohValue]] &amp; "."""</f>
        <v xml:space="preserve">  If Wert = sbsSS_DBC then Res = ".DBC."</v>
      </c>
      <c r="I1041" s="44" t="str">
        <f>"  If wert = ""." &amp; Tabelle7[[#This Row],[EnuRohValue]] &amp; "."" Then Res = " &amp; Tabelle7[[#This Row],[EnuValue]]</f>
        <v xml:space="preserve">  If wert = ".DBC." Then Res = sbsSS_DBC</v>
      </c>
    </row>
    <row r="1042" spans="2:9" x14ac:dyDescent="0.25">
      <c r="B1042" s="44">
        <v>4</v>
      </c>
      <c r="C1042" s="45" t="s">
        <v>1632</v>
      </c>
      <c r="D1042" s="44" t="s">
        <v>4505</v>
      </c>
      <c r="E1042" s="44" t="str">
        <f>VLOOKUP(Tabelle7[[#This Row],[EnumName]],Enum[[IFC-Name]:[Präfix]],5,FALSE)&amp;Tabelle7[[#This Row],[EnuRohValue]]</f>
        <v>sbsSS_NC</v>
      </c>
      <c r="F1042" s="44">
        <f>COUNTIF(Tabelle7[EnuValue],Tabelle7[[#This Row],[EnuValue]])</f>
        <v>1</v>
      </c>
      <c r="G1042" s="44" t="str">
        <f xml:space="preserve"> "  " &amp; Tabelle7[[#This Row],[EnuValue]] &amp; " = " &amp; Tabelle7[[#This Row],[Wert]]</f>
        <v xml:space="preserve">  sbsSS_NC = 4</v>
      </c>
      <c r="H1042" s="44" t="str">
        <f>"  If Wert = " &amp; Tabelle7[[#This Row],[EnuValue]] &amp; " then Res = ""." &amp; Tabelle7[[#This Row],[EnuRohValue]] &amp; "."""</f>
        <v xml:space="preserve">  If Wert = sbsSS_NC then Res = ".NC."</v>
      </c>
      <c r="I1042" s="44" t="str">
        <f>"  If wert = ""." &amp; Tabelle7[[#This Row],[EnuRohValue]] &amp; "."" Then Res = " &amp; Tabelle7[[#This Row],[EnuValue]]</f>
        <v xml:space="preserve">  If wert = ".NC." Then Res = sbsSS_NC</v>
      </c>
    </row>
    <row r="1043" spans="2:9" x14ac:dyDescent="0.25">
      <c r="B1043" s="44">
        <v>5</v>
      </c>
      <c r="C1043" s="45" t="s">
        <v>1632</v>
      </c>
      <c r="D1043" s="44" t="s">
        <v>4506</v>
      </c>
      <c r="E1043" s="44" t="str">
        <f>VLOOKUP(Tabelle7[[#This Row],[EnumName]],Enum[[IFC-Name]:[Präfix]],5,FALSE)&amp;Tabelle7[[#This Row],[EnuRohValue]]</f>
        <v>sbsSS_NR</v>
      </c>
      <c r="F1043" s="44">
        <f>COUNTIF(Tabelle7[EnuValue],Tabelle7[[#This Row],[EnuValue]])</f>
        <v>1</v>
      </c>
      <c r="G1043" s="44" t="str">
        <f xml:space="preserve"> "  " &amp; Tabelle7[[#This Row],[EnuValue]] &amp; " = " &amp; Tabelle7[[#This Row],[Wert]]</f>
        <v xml:space="preserve">  sbsSS_NR = 5</v>
      </c>
      <c r="H1043" s="44" t="str">
        <f>"  If Wert = " &amp; Tabelle7[[#This Row],[EnuValue]] &amp; " then Res = ""." &amp; Tabelle7[[#This Row],[EnuRohValue]] &amp; "."""</f>
        <v xml:space="preserve">  If Wert = sbsSS_NR then Res = ".NR."</v>
      </c>
      <c r="I1043" s="44" t="str">
        <f>"  If wert = ""." &amp; Tabelle7[[#This Row],[EnuRohValue]] &amp; "."" Then Res = " &amp; Tabelle7[[#This Row],[EnuValue]]</f>
        <v xml:space="preserve">  If wert = ".NR." Then Res = sbsSS_NR</v>
      </c>
    </row>
    <row r="1044" spans="2:9" x14ac:dyDescent="0.25">
      <c r="B1044" s="44">
        <v>6</v>
      </c>
      <c r="C1044" s="45" t="s">
        <v>1632</v>
      </c>
      <c r="D1044" s="44" t="s">
        <v>3682</v>
      </c>
      <c r="E1044" s="44" t="str">
        <f>VLOOKUP(Tabelle7[[#This Row],[EnumName]],Enum[[IFC-Name]:[Präfix]],5,FALSE)&amp;Tabelle7[[#This Row],[EnuRohValue]]</f>
        <v>sbsSS_USERDEFINED</v>
      </c>
      <c r="F1044" s="44">
        <f>COUNTIF(Tabelle7[EnuValue],Tabelle7[[#This Row],[EnuValue]])</f>
        <v>1</v>
      </c>
      <c r="G1044" s="44" t="str">
        <f xml:space="preserve"> "  " &amp; Tabelle7[[#This Row],[EnuValue]] &amp; " = " &amp; Tabelle7[[#This Row],[Wert]]</f>
        <v xml:space="preserve">  sbsSS_USERDEFINED = 6</v>
      </c>
      <c r="H1044" s="44" t="str">
        <f>"  If Wert = " &amp; Tabelle7[[#This Row],[EnuValue]] &amp; " then Res = ""." &amp; Tabelle7[[#This Row],[EnuRohValue]] &amp; "."""</f>
        <v xml:space="preserve">  If Wert = sbsSS_USERDEFINED then Res = ".USERDEFINED."</v>
      </c>
      <c r="I1044" s="44" t="str">
        <f>"  If wert = ""." &amp; Tabelle7[[#This Row],[EnuRohValue]] &amp; "."" Then Res = " &amp; Tabelle7[[#This Row],[EnuValue]]</f>
        <v xml:space="preserve">  If wert = ".USERDEFINED." Then Res = sbsSS_USERDEFINED</v>
      </c>
    </row>
    <row r="1045" spans="2:9" x14ac:dyDescent="0.25">
      <c r="B1045" s="44">
        <v>7</v>
      </c>
      <c r="C1045" s="45" t="s">
        <v>1632</v>
      </c>
      <c r="D1045" s="44" t="s">
        <v>3683</v>
      </c>
      <c r="E1045" s="44" t="str">
        <f>VLOOKUP(Tabelle7[[#This Row],[EnumName]],Enum[[IFC-Name]:[Präfix]],5,FALSE)&amp;Tabelle7[[#This Row],[EnuRohValue]]</f>
        <v>sbsSS_NOTDEFINED</v>
      </c>
      <c r="F1045" s="44">
        <f>COUNTIF(Tabelle7[EnuValue],Tabelle7[[#This Row],[EnuValue]])</f>
        <v>1</v>
      </c>
      <c r="G1045" s="44" t="str">
        <f xml:space="preserve"> "  " &amp; Tabelle7[[#This Row],[EnuValue]] &amp; " = " &amp; Tabelle7[[#This Row],[Wert]]</f>
        <v xml:space="preserve">  sbsSS_NOTDEFINED = 7</v>
      </c>
      <c r="H1045" s="44" t="str">
        <f>"  If Wert = " &amp; Tabelle7[[#This Row],[EnuValue]] &amp; " then Res = ""." &amp; Tabelle7[[#This Row],[EnuRohValue]] &amp; "."""</f>
        <v xml:space="preserve">  If Wert = sbsSS_NOTDEFINED then Res = ".NOTDEFINED."</v>
      </c>
      <c r="I1045" s="44" t="str">
        <f>"  If wert = ""." &amp; Tabelle7[[#This Row],[EnuRohValue]] &amp; "."" Then Res = " &amp; Tabelle7[[#This Row],[EnuValue]]</f>
        <v xml:space="preserve">  If wert = ".NOTDEFINED." Then Res = sbsSS_NOTDEFINED</v>
      </c>
    </row>
    <row r="1046" spans="2:9" x14ac:dyDescent="0.25">
      <c r="B1046" s="44">
        <v>1</v>
      </c>
      <c r="C1046" s="45" t="s">
        <v>1633</v>
      </c>
      <c r="D1046" s="44" t="s">
        <v>4507</v>
      </c>
      <c r="E1046" s="44" t="str">
        <f>VLOOKUP(Tabelle7[[#This Row],[EnumName]],Enum[[IFC-Name]:[Präfix]],5,FALSE)&amp;Tabelle7[[#This Row],[EnuRohValue]]</f>
        <v>hvacSHT_SECTIONALRADIATOR</v>
      </c>
      <c r="F1046" s="44">
        <f>COUNTIF(Tabelle7[EnuValue],Tabelle7[[#This Row],[EnuValue]])</f>
        <v>1</v>
      </c>
      <c r="G1046" s="44" t="str">
        <f xml:space="preserve"> "  " &amp; Tabelle7[[#This Row],[EnuValue]] &amp; " = " &amp; Tabelle7[[#This Row],[Wert]]</f>
        <v xml:space="preserve">  hvacSHT_SECTIONALRADIATOR = 1</v>
      </c>
      <c r="H1046" s="44" t="str">
        <f>"  If Wert = " &amp; Tabelle7[[#This Row],[EnuValue]] &amp; " then Res = ""." &amp; Tabelle7[[#This Row],[EnuRohValue]] &amp; "."""</f>
        <v xml:space="preserve">  If Wert = hvacSHT_SECTIONALRADIATOR then Res = ".SECTIONALRADIATOR."</v>
      </c>
      <c r="I1046" s="44" t="str">
        <f>"  If wert = ""." &amp; Tabelle7[[#This Row],[EnuRohValue]] &amp; "."" Then Res = " &amp; Tabelle7[[#This Row],[EnuValue]]</f>
        <v xml:space="preserve">  If wert = ".SECTIONALRADIATOR." Then Res = hvacSHT_SECTIONALRADIATOR</v>
      </c>
    </row>
    <row r="1047" spans="2:9" x14ac:dyDescent="0.25">
      <c r="B1047" s="44">
        <v>2</v>
      </c>
      <c r="C1047" s="45" t="s">
        <v>1633</v>
      </c>
      <c r="D1047" s="44" t="s">
        <v>4508</v>
      </c>
      <c r="E1047" s="44" t="str">
        <f>VLOOKUP(Tabelle7[[#This Row],[EnumName]],Enum[[IFC-Name]:[Präfix]],5,FALSE)&amp;Tabelle7[[#This Row],[EnuRohValue]]</f>
        <v>hvacSHT_PANELRADIATOR</v>
      </c>
      <c r="F1047" s="44">
        <f>COUNTIF(Tabelle7[EnuValue],Tabelle7[[#This Row],[EnuValue]])</f>
        <v>1</v>
      </c>
      <c r="G1047" s="44" t="str">
        <f xml:space="preserve"> "  " &amp; Tabelle7[[#This Row],[EnuValue]] &amp; " = " &amp; Tabelle7[[#This Row],[Wert]]</f>
        <v xml:space="preserve">  hvacSHT_PANELRADIATOR = 2</v>
      </c>
      <c r="H1047" s="44" t="str">
        <f>"  If Wert = " &amp; Tabelle7[[#This Row],[EnuValue]] &amp; " then Res = ""." &amp; Tabelle7[[#This Row],[EnuRohValue]] &amp; "."""</f>
        <v xml:space="preserve">  If Wert = hvacSHT_PANELRADIATOR then Res = ".PANELRADIATOR."</v>
      </c>
      <c r="I1047" s="44" t="str">
        <f>"  If wert = ""." &amp; Tabelle7[[#This Row],[EnuRohValue]] &amp; "."" Then Res = " &amp; Tabelle7[[#This Row],[EnuValue]]</f>
        <v xml:space="preserve">  If wert = ".PANELRADIATOR." Then Res = hvacSHT_PANELRADIATOR</v>
      </c>
    </row>
    <row r="1048" spans="2:9" x14ac:dyDescent="0.25">
      <c r="B1048" s="44">
        <v>3</v>
      </c>
      <c r="C1048" s="45" t="s">
        <v>1633</v>
      </c>
      <c r="D1048" s="44" t="s">
        <v>4509</v>
      </c>
      <c r="E1048" s="44" t="str">
        <f>VLOOKUP(Tabelle7[[#This Row],[EnumName]],Enum[[IFC-Name]:[Präfix]],5,FALSE)&amp;Tabelle7[[#This Row],[EnuRohValue]]</f>
        <v>hvacSHT_TUBULARRADIATOR</v>
      </c>
      <c r="F1048" s="44">
        <f>COUNTIF(Tabelle7[EnuValue],Tabelle7[[#This Row],[EnuValue]])</f>
        <v>1</v>
      </c>
      <c r="G1048" s="44" t="str">
        <f xml:space="preserve"> "  " &amp; Tabelle7[[#This Row],[EnuValue]] &amp; " = " &amp; Tabelle7[[#This Row],[Wert]]</f>
        <v xml:space="preserve">  hvacSHT_TUBULARRADIATOR = 3</v>
      </c>
      <c r="H1048" s="44" t="str">
        <f>"  If Wert = " &amp; Tabelle7[[#This Row],[EnuValue]] &amp; " then Res = ""." &amp; Tabelle7[[#This Row],[EnuRohValue]] &amp; "."""</f>
        <v xml:space="preserve">  If Wert = hvacSHT_TUBULARRADIATOR then Res = ".TUBULARRADIATOR."</v>
      </c>
      <c r="I1048" s="44" t="str">
        <f>"  If wert = ""." &amp; Tabelle7[[#This Row],[EnuRohValue]] &amp; "."" Then Res = " &amp; Tabelle7[[#This Row],[EnuValue]]</f>
        <v xml:space="preserve">  If wert = ".TUBULARRADIATOR." Then Res = hvacSHT_TUBULARRADIATOR</v>
      </c>
    </row>
    <row r="1049" spans="2:9" x14ac:dyDescent="0.25">
      <c r="B1049" s="44">
        <v>4</v>
      </c>
      <c r="C1049" s="45" t="s">
        <v>1633</v>
      </c>
      <c r="D1049" s="44" t="s">
        <v>4510</v>
      </c>
      <c r="E1049" s="44" t="str">
        <f>VLOOKUP(Tabelle7[[#This Row],[EnumName]],Enum[[IFC-Name]:[Präfix]],5,FALSE)&amp;Tabelle7[[#This Row],[EnuRohValue]]</f>
        <v>hvacSHT_CONVECTOR</v>
      </c>
      <c r="F1049" s="44">
        <f>COUNTIF(Tabelle7[EnuValue],Tabelle7[[#This Row],[EnuValue]])</f>
        <v>1</v>
      </c>
      <c r="G1049" s="44" t="str">
        <f xml:space="preserve"> "  " &amp; Tabelle7[[#This Row],[EnuValue]] &amp; " = " &amp; Tabelle7[[#This Row],[Wert]]</f>
        <v xml:space="preserve">  hvacSHT_CONVECTOR = 4</v>
      </c>
      <c r="H1049" s="44" t="str">
        <f>"  If Wert = " &amp; Tabelle7[[#This Row],[EnuValue]] &amp; " then Res = ""." &amp; Tabelle7[[#This Row],[EnuRohValue]] &amp; "."""</f>
        <v xml:space="preserve">  If Wert = hvacSHT_CONVECTOR then Res = ".CONVECTOR."</v>
      </c>
      <c r="I1049" s="44" t="str">
        <f>"  If wert = ""." &amp; Tabelle7[[#This Row],[EnuRohValue]] &amp; "."" Then Res = " &amp; Tabelle7[[#This Row],[EnuValue]]</f>
        <v xml:space="preserve">  If wert = ".CONVECTOR." Then Res = hvacSHT_CONVECTOR</v>
      </c>
    </row>
    <row r="1050" spans="2:9" x14ac:dyDescent="0.25">
      <c r="B1050" s="44">
        <v>5</v>
      </c>
      <c r="C1050" s="45" t="s">
        <v>1633</v>
      </c>
      <c r="D1050" s="44" t="s">
        <v>4511</v>
      </c>
      <c r="E1050" s="44" t="str">
        <f>VLOOKUP(Tabelle7[[#This Row],[EnumName]],Enum[[IFC-Name]:[Präfix]],5,FALSE)&amp;Tabelle7[[#This Row],[EnuRohValue]]</f>
        <v>hvacSHT_BASEBOARDHEATER</v>
      </c>
      <c r="F1050" s="44">
        <f>COUNTIF(Tabelle7[EnuValue],Tabelle7[[#This Row],[EnuValue]])</f>
        <v>1</v>
      </c>
      <c r="G1050" s="44" t="str">
        <f xml:space="preserve"> "  " &amp; Tabelle7[[#This Row],[EnuValue]] &amp; " = " &amp; Tabelle7[[#This Row],[Wert]]</f>
        <v xml:space="preserve">  hvacSHT_BASEBOARDHEATER = 5</v>
      </c>
      <c r="H1050" s="44" t="str">
        <f>"  If Wert = " &amp; Tabelle7[[#This Row],[EnuValue]] &amp; " then Res = ""." &amp; Tabelle7[[#This Row],[EnuRohValue]] &amp; "."""</f>
        <v xml:space="preserve">  If Wert = hvacSHT_BASEBOARDHEATER then Res = ".BASEBOARDHEATER."</v>
      </c>
      <c r="I1050" s="44" t="str">
        <f>"  If wert = ""." &amp; Tabelle7[[#This Row],[EnuRohValue]] &amp; "."" Then Res = " &amp; Tabelle7[[#This Row],[EnuValue]]</f>
        <v xml:space="preserve">  If wert = ".BASEBOARDHEATER." Then Res = hvacSHT_BASEBOARDHEATER</v>
      </c>
    </row>
    <row r="1051" spans="2:9" x14ac:dyDescent="0.25">
      <c r="B1051" s="44">
        <v>6</v>
      </c>
      <c r="C1051" s="45" t="s">
        <v>1633</v>
      </c>
      <c r="D1051" s="44" t="s">
        <v>4512</v>
      </c>
      <c r="E1051" s="44" t="str">
        <f>VLOOKUP(Tabelle7[[#This Row],[EnumName]],Enum[[IFC-Name]:[Präfix]],5,FALSE)&amp;Tabelle7[[#This Row],[EnuRohValue]]</f>
        <v>hvacSHT_FINNEDTUBEUNIT</v>
      </c>
      <c r="F1051" s="44">
        <f>COUNTIF(Tabelle7[EnuValue],Tabelle7[[#This Row],[EnuValue]])</f>
        <v>1</v>
      </c>
      <c r="G1051" s="44" t="str">
        <f xml:space="preserve"> "  " &amp; Tabelle7[[#This Row],[EnuValue]] &amp; " = " &amp; Tabelle7[[#This Row],[Wert]]</f>
        <v xml:space="preserve">  hvacSHT_FINNEDTUBEUNIT = 6</v>
      </c>
      <c r="H1051" s="44" t="str">
        <f>"  If Wert = " &amp; Tabelle7[[#This Row],[EnuValue]] &amp; " then Res = ""." &amp; Tabelle7[[#This Row],[EnuRohValue]] &amp; "."""</f>
        <v xml:space="preserve">  If Wert = hvacSHT_FINNEDTUBEUNIT then Res = ".FINNEDTUBEUNIT."</v>
      </c>
      <c r="I1051" s="44" t="str">
        <f>"  If wert = ""." &amp; Tabelle7[[#This Row],[EnuRohValue]] &amp; "."" Then Res = " &amp; Tabelle7[[#This Row],[EnuValue]]</f>
        <v xml:space="preserve">  If wert = ".FINNEDTUBEUNIT." Then Res = hvacSHT_FINNEDTUBEUNIT</v>
      </c>
    </row>
    <row r="1052" spans="2:9" x14ac:dyDescent="0.25">
      <c r="B1052" s="44">
        <v>7</v>
      </c>
      <c r="C1052" s="45" t="s">
        <v>1633</v>
      </c>
      <c r="D1052" s="44" t="s">
        <v>4513</v>
      </c>
      <c r="E1052" s="44" t="str">
        <f>VLOOKUP(Tabelle7[[#This Row],[EnumName]],Enum[[IFC-Name]:[Präfix]],5,FALSE)&amp;Tabelle7[[#This Row],[EnuRohValue]]</f>
        <v>hvacSHT_UNITHEATER</v>
      </c>
      <c r="F1052" s="44">
        <f>COUNTIF(Tabelle7[EnuValue],Tabelle7[[#This Row],[EnuValue]])</f>
        <v>1</v>
      </c>
      <c r="G1052" s="44" t="str">
        <f xml:space="preserve"> "  " &amp; Tabelle7[[#This Row],[EnuValue]] &amp; " = " &amp; Tabelle7[[#This Row],[Wert]]</f>
        <v xml:space="preserve">  hvacSHT_UNITHEATER = 7</v>
      </c>
      <c r="H1052" s="44" t="str">
        <f>"  If Wert = " &amp; Tabelle7[[#This Row],[EnuValue]] &amp; " then Res = ""." &amp; Tabelle7[[#This Row],[EnuRohValue]] &amp; "."""</f>
        <v xml:space="preserve">  If Wert = hvacSHT_UNITHEATER then Res = ".UNITHEATER."</v>
      </c>
      <c r="I1052" s="44" t="str">
        <f>"  If wert = ""." &amp; Tabelle7[[#This Row],[EnuRohValue]] &amp; "."" Then Res = " &amp; Tabelle7[[#This Row],[EnuValue]]</f>
        <v xml:space="preserve">  If wert = ".UNITHEATER." Then Res = hvacSHT_UNITHEATER</v>
      </c>
    </row>
    <row r="1053" spans="2:9" x14ac:dyDescent="0.25">
      <c r="B1053" s="44">
        <v>8</v>
      </c>
      <c r="C1053" s="45" t="s">
        <v>1633</v>
      </c>
      <c r="D1053" s="44" t="s">
        <v>3682</v>
      </c>
      <c r="E1053" s="44" t="str">
        <f>VLOOKUP(Tabelle7[[#This Row],[EnumName]],Enum[[IFC-Name]:[Präfix]],5,FALSE)&amp;Tabelle7[[#This Row],[EnuRohValue]]</f>
        <v>hvacSHT_USERDEFINED</v>
      </c>
      <c r="F1053" s="44">
        <f>COUNTIF(Tabelle7[EnuValue],Tabelle7[[#This Row],[EnuValue]])</f>
        <v>1</v>
      </c>
      <c r="G1053" s="44" t="str">
        <f xml:space="preserve"> "  " &amp; Tabelle7[[#This Row],[EnuValue]] &amp; " = " &amp; Tabelle7[[#This Row],[Wert]]</f>
        <v xml:space="preserve">  hvacSHT_USERDEFINED = 8</v>
      </c>
      <c r="H1053" s="44" t="str">
        <f>"  If Wert = " &amp; Tabelle7[[#This Row],[EnuValue]] &amp; " then Res = ""." &amp; Tabelle7[[#This Row],[EnuRohValue]] &amp; "."""</f>
        <v xml:space="preserve">  If Wert = hvacSHT_USERDEFINED then Res = ".USERDEFINED."</v>
      </c>
      <c r="I1053" s="44" t="str">
        <f>"  If wert = ""." &amp; Tabelle7[[#This Row],[EnuRohValue]] &amp; "."" Then Res = " &amp; Tabelle7[[#This Row],[EnuValue]]</f>
        <v xml:space="preserve">  If wert = ".USERDEFINED." Then Res = hvacSHT_USERDEFINED</v>
      </c>
    </row>
    <row r="1054" spans="2:9" x14ac:dyDescent="0.25">
      <c r="B1054" s="44">
        <v>9</v>
      </c>
      <c r="C1054" s="45" t="s">
        <v>1633</v>
      </c>
      <c r="D1054" s="44" t="s">
        <v>3683</v>
      </c>
      <c r="E1054" s="44" t="str">
        <f>VLOOKUP(Tabelle7[[#This Row],[EnumName]],Enum[[IFC-Name]:[Präfix]],5,FALSE)&amp;Tabelle7[[#This Row],[EnuRohValue]]</f>
        <v>hvacSHT_NOTDEFINED</v>
      </c>
      <c r="F1054" s="44">
        <f>COUNTIF(Tabelle7[EnuValue],Tabelle7[[#This Row],[EnuValue]])</f>
        <v>1</v>
      </c>
      <c r="G1054" s="44" t="str">
        <f xml:space="preserve"> "  " &amp; Tabelle7[[#This Row],[EnuValue]] &amp; " = " &amp; Tabelle7[[#This Row],[Wert]]</f>
        <v xml:space="preserve">  hvacSHT_NOTDEFINED = 9</v>
      </c>
      <c r="H1054" s="44" t="str">
        <f>"  If Wert = " &amp; Tabelle7[[#This Row],[EnuValue]] &amp; " then Res = ""." &amp; Tabelle7[[#This Row],[EnuRohValue]] &amp; "."""</f>
        <v xml:space="preserve">  If Wert = hvacSHT_NOTDEFINED then Res = ".NOTDEFINED."</v>
      </c>
      <c r="I1054" s="44" t="str">
        <f>"  If wert = ""." &amp; Tabelle7[[#This Row],[EnuRohValue]] &amp; "."" Then Res = " &amp; Tabelle7[[#This Row],[EnuValue]]</f>
        <v xml:space="preserve">  If wert = ".NOTDEFINED." Then Res = hvacSHT_NOTDEFINED</v>
      </c>
    </row>
    <row r="1055" spans="2:9" x14ac:dyDescent="0.25">
      <c r="B1055" s="44">
        <v>1</v>
      </c>
      <c r="C1055" s="45" t="s">
        <v>1634</v>
      </c>
      <c r="D1055" s="44" t="s">
        <v>3682</v>
      </c>
      <c r="E1055" s="44" t="str">
        <f>VLOOKUP(Tabelle7[[#This Row],[EnumName]],Enum[[IFC-Name]:[Präfix]],5,FALSE)&amp;Tabelle7[[#This Row],[EnuRohValue]]</f>
        <v>pocST_USERDEFINED</v>
      </c>
      <c r="F1055" s="44">
        <f>COUNTIF(Tabelle7[EnuValue],Tabelle7[[#This Row],[EnuValue]])</f>
        <v>1</v>
      </c>
      <c r="G1055" s="44" t="str">
        <f xml:space="preserve"> "  " &amp; Tabelle7[[#This Row],[EnuValue]] &amp; " = " &amp; Tabelle7[[#This Row],[Wert]]</f>
        <v xml:space="preserve">  pocST_USERDEFINED = 1</v>
      </c>
      <c r="H1055" s="44" t="str">
        <f>"  If Wert = " &amp; Tabelle7[[#This Row],[EnuValue]] &amp; " then Res = ""." &amp; Tabelle7[[#This Row],[EnuRohValue]] &amp; "."""</f>
        <v xml:space="preserve">  If Wert = pocST_USERDEFINED then Res = ".USERDEFINED."</v>
      </c>
      <c r="I1055" s="44" t="str">
        <f>"  If wert = ""." &amp; Tabelle7[[#This Row],[EnuRohValue]] &amp; "."" Then Res = " &amp; Tabelle7[[#This Row],[EnuValue]]</f>
        <v xml:space="preserve">  If wert = ".USERDEFINED." Then Res = pocST_USERDEFINED</v>
      </c>
    </row>
    <row r="1056" spans="2:9" x14ac:dyDescent="0.25">
      <c r="B1056" s="44">
        <v>2</v>
      </c>
      <c r="C1056" s="45" t="s">
        <v>1634</v>
      </c>
      <c r="D1056" s="44" t="s">
        <v>3683</v>
      </c>
      <c r="E1056" s="44" t="str">
        <f>VLOOKUP(Tabelle7[[#This Row],[EnumName]],Enum[[IFC-Name]:[Präfix]],5,FALSE)&amp;Tabelle7[[#This Row],[EnuRohValue]]</f>
        <v>pocST_NOTDEFINED</v>
      </c>
      <c r="F1056" s="44">
        <f>COUNTIF(Tabelle7[EnuValue],Tabelle7[[#This Row],[EnuValue]])</f>
        <v>1</v>
      </c>
      <c r="G1056" s="44" t="str">
        <f xml:space="preserve"> "  " &amp; Tabelle7[[#This Row],[EnuValue]] &amp; " = " &amp; Tabelle7[[#This Row],[Wert]]</f>
        <v xml:space="preserve">  pocST_NOTDEFINED = 2</v>
      </c>
      <c r="H1056" s="44" t="str">
        <f>"  If Wert = " &amp; Tabelle7[[#This Row],[EnuValue]] &amp; " then Res = ""." &amp; Tabelle7[[#This Row],[EnuRohValue]] &amp; "."""</f>
        <v xml:space="preserve">  If Wert = pocST_NOTDEFINED then Res = ".NOTDEFINED."</v>
      </c>
      <c r="I1056" s="44" t="str">
        <f>"  If wert = ""." &amp; Tabelle7[[#This Row],[EnuRohValue]] &amp; "."" Then Res = " &amp; Tabelle7[[#This Row],[EnuValue]]</f>
        <v xml:space="preserve">  If wert = ".NOTDEFINED." Then Res = pocST_NOTDEFINED</v>
      </c>
    </row>
    <row r="1057" spans="2:9" x14ac:dyDescent="0.25">
      <c r="B1057" s="44">
        <v>1</v>
      </c>
      <c r="C1057" s="45" t="s">
        <v>1635</v>
      </c>
      <c r="D1057" s="44" t="s">
        <v>4514</v>
      </c>
      <c r="E1057" s="44" t="str">
        <f>VLOOKUP(Tabelle7[[#This Row],[EnumName]],Enum[[IFC-Name]:[Präfix]],5,FALSE)&amp;Tabelle7[[#This Row],[EnuRohValue]]</f>
        <v>pfpStTT_BIRDCAGE</v>
      </c>
      <c r="F1057" s="44">
        <f>COUNTIF(Tabelle7[EnuValue],Tabelle7[[#This Row],[EnuValue]])</f>
        <v>1</v>
      </c>
      <c r="G1057" s="44" t="str">
        <f xml:space="preserve"> "  " &amp; Tabelle7[[#This Row],[EnuValue]] &amp; " = " &amp; Tabelle7[[#This Row],[Wert]]</f>
        <v xml:space="preserve">  pfpStTT_BIRDCAGE = 1</v>
      </c>
      <c r="H1057" s="44" t="str">
        <f>"  If Wert = " &amp; Tabelle7[[#This Row],[EnuValue]] &amp; " then Res = ""." &amp; Tabelle7[[#This Row],[EnuRohValue]] &amp; "."""</f>
        <v xml:space="preserve">  If Wert = pfpStTT_BIRDCAGE then Res = ".BIRDCAGE."</v>
      </c>
      <c r="I1057" s="44" t="str">
        <f>"  If wert = ""." &amp; Tabelle7[[#This Row],[EnuRohValue]] &amp; "."" Then Res = " &amp; Tabelle7[[#This Row],[EnuValue]]</f>
        <v xml:space="preserve">  If wert = ".BIRDCAGE." Then Res = pfpStTT_BIRDCAGE</v>
      </c>
    </row>
    <row r="1058" spans="2:9" x14ac:dyDescent="0.25">
      <c r="B1058" s="44">
        <v>2</v>
      </c>
      <c r="C1058" s="45" t="s">
        <v>1635</v>
      </c>
      <c r="D1058" s="44" t="s">
        <v>4515</v>
      </c>
      <c r="E1058" s="44" t="str">
        <f>VLOOKUP(Tabelle7[[#This Row],[EnumName]],Enum[[IFC-Name]:[Präfix]],5,FALSE)&amp;Tabelle7[[#This Row],[EnuRohValue]]</f>
        <v>pfpStTT_COWL</v>
      </c>
      <c r="F1058" s="44">
        <f>COUNTIF(Tabelle7[EnuValue],Tabelle7[[#This Row],[EnuValue]])</f>
        <v>1</v>
      </c>
      <c r="G1058" s="44" t="str">
        <f xml:space="preserve"> "  " &amp; Tabelle7[[#This Row],[EnuValue]] &amp; " = " &amp; Tabelle7[[#This Row],[Wert]]</f>
        <v xml:space="preserve">  pfpStTT_COWL = 2</v>
      </c>
      <c r="H1058" s="44" t="str">
        <f>"  If Wert = " &amp; Tabelle7[[#This Row],[EnuValue]] &amp; " then Res = ""." &amp; Tabelle7[[#This Row],[EnuRohValue]] &amp; "."""</f>
        <v xml:space="preserve">  If Wert = pfpStTT_COWL then Res = ".COWL."</v>
      </c>
      <c r="I1058" s="44" t="str">
        <f>"  If wert = ""." &amp; Tabelle7[[#This Row],[EnuRohValue]] &amp; "."" Then Res = " &amp; Tabelle7[[#This Row],[EnuValue]]</f>
        <v xml:space="preserve">  If wert = ".COWL." Then Res = pfpStTT_COWL</v>
      </c>
    </row>
    <row r="1059" spans="2:9" x14ac:dyDescent="0.25">
      <c r="B1059" s="44">
        <v>3</v>
      </c>
      <c r="C1059" s="45" t="s">
        <v>1635</v>
      </c>
      <c r="D1059" s="44" t="s">
        <v>4516</v>
      </c>
      <c r="E1059" s="44" t="str">
        <f>VLOOKUP(Tabelle7[[#This Row],[EnumName]],Enum[[IFC-Name]:[Präfix]],5,FALSE)&amp;Tabelle7[[#This Row],[EnuRohValue]]</f>
        <v>pfpStTT_RAINWATERHOPPER</v>
      </c>
      <c r="F1059" s="44">
        <f>COUNTIF(Tabelle7[EnuValue],Tabelle7[[#This Row],[EnuValue]])</f>
        <v>1</v>
      </c>
      <c r="G1059" s="44" t="str">
        <f xml:space="preserve"> "  " &amp; Tabelle7[[#This Row],[EnuValue]] &amp; " = " &amp; Tabelle7[[#This Row],[Wert]]</f>
        <v xml:space="preserve">  pfpStTT_RAINWATERHOPPER = 3</v>
      </c>
      <c r="H1059" s="44" t="str">
        <f>"  If Wert = " &amp; Tabelle7[[#This Row],[EnuValue]] &amp; " then Res = ""." &amp; Tabelle7[[#This Row],[EnuRohValue]] &amp; "."""</f>
        <v xml:space="preserve">  If Wert = pfpStTT_RAINWATERHOPPER then Res = ".RAINWATERHOPPER."</v>
      </c>
      <c r="I1059" s="44" t="str">
        <f>"  If wert = ""." &amp; Tabelle7[[#This Row],[EnuRohValue]] &amp; "."" Then Res = " &amp; Tabelle7[[#This Row],[EnuValue]]</f>
        <v xml:space="preserve">  If wert = ".RAINWATERHOPPER." Then Res = pfpStTT_RAINWATERHOPPER</v>
      </c>
    </row>
    <row r="1060" spans="2:9" x14ac:dyDescent="0.25">
      <c r="B1060" s="44">
        <v>4</v>
      </c>
      <c r="C1060" s="45" t="s">
        <v>1635</v>
      </c>
      <c r="D1060" s="44" t="s">
        <v>3682</v>
      </c>
      <c r="E1060" s="44" t="str">
        <f>VLOOKUP(Tabelle7[[#This Row],[EnumName]],Enum[[IFC-Name]:[Präfix]],5,FALSE)&amp;Tabelle7[[#This Row],[EnuRohValue]]</f>
        <v>pfpStTT_USERDEFINED</v>
      </c>
      <c r="F1060" s="44">
        <f>COUNTIF(Tabelle7[EnuValue],Tabelle7[[#This Row],[EnuValue]])</f>
        <v>1</v>
      </c>
      <c r="G1060" s="44" t="str">
        <f xml:space="preserve"> "  " &amp; Tabelle7[[#This Row],[EnuValue]] &amp; " = " &amp; Tabelle7[[#This Row],[Wert]]</f>
        <v xml:space="preserve">  pfpStTT_USERDEFINED = 4</v>
      </c>
      <c r="H1060" s="44" t="str">
        <f>"  If Wert = " &amp; Tabelle7[[#This Row],[EnuValue]] &amp; " then Res = ""." &amp; Tabelle7[[#This Row],[EnuRohValue]] &amp; "."""</f>
        <v xml:space="preserve">  If Wert = pfpStTT_USERDEFINED then Res = ".USERDEFINED."</v>
      </c>
      <c r="I1060" s="44" t="str">
        <f>"  If wert = ""." &amp; Tabelle7[[#This Row],[EnuRohValue]] &amp; "."" Then Res = " &amp; Tabelle7[[#This Row],[EnuValue]]</f>
        <v xml:space="preserve">  If wert = ".USERDEFINED." Then Res = pfpStTT_USERDEFINED</v>
      </c>
    </row>
    <row r="1061" spans="2:9" x14ac:dyDescent="0.25">
      <c r="B1061" s="44">
        <v>5</v>
      </c>
      <c r="C1061" s="45" t="s">
        <v>1635</v>
      </c>
      <c r="D1061" s="44" t="s">
        <v>3683</v>
      </c>
      <c r="E1061" s="44" t="str">
        <f>VLOOKUP(Tabelle7[[#This Row],[EnumName]],Enum[[IFC-Name]:[Präfix]],5,FALSE)&amp;Tabelle7[[#This Row],[EnuRohValue]]</f>
        <v>pfpStTT_NOTDEFINED</v>
      </c>
      <c r="F1061" s="44">
        <f>COUNTIF(Tabelle7[EnuValue],Tabelle7[[#This Row],[EnuValue]])</f>
        <v>1</v>
      </c>
      <c r="G1061" s="44" t="str">
        <f xml:space="preserve"> "  " &amp; Tabelle7[[#This Row],[EnuValue]] &amp; " = " &amp; Tabelle7[[#This Row],[Wert]]</f>
        <v xml:space="preserve">  pfpStTT_NOTDEFINED = 5</v>
      </c>
      <c r="H1061" s="44" t="str">
        <f>"  If Wert = " &amp; Tabelle7[[#This Row],[EnuValue]] &amp; " then Res = ""." &amp; Tabelle7[[#This Row],[EnuRohValue]] &amp; "."""</f>
        <v xml:space="preserve">  If Wert = pfpStTT_NOTDEFINED then Res = ".NOTDEFINED."</v>
      </c>
      <c r="I1061" s="44" t="str">
        <f>"  If wert = ""." &amp; Tabelle7[[#This Row],[EnuRohValue]] &amp; "."" Then Res = " &amp; Tabelle7[[#This Row],[EnuValue]]</f>
        <v xml:space="preserve">  If wert = ".NOTDEFINED." Then Res = pfpStTT_NOTDEFINED</v>
      </c>
    </row>
    <row r="1062" spans="2:9" x14ac:dyDescent="0.25">
      <c r="B1062" s="44">
        <v>1</v>
      </c>
      <c r="C1062" s="45" t="s">
        <v>1636</v>
      </c>
      <c r="D1062" s="44" t="s">
        <v>4346</v>
      </c>
      <c r="E1062" s="44" t="str">
        <f>VLOOKUP(Tabelle7[[#This Row],[EnumName]],Enum[[IFC-Name]:[Präfix]],5,FALSE)&amp;Tabelle7[[#This Row],[EnuRohValue]]</f>
        <v>sbeSFT_STRAIGHT</v>
      </c>
      <c r="F1062" s="44">
        <f>COUNTIF(Tabelle7[EnuValue],Tabelle7[[#This Row],[EnuValue]])</f>
        <v>1</v>
      </c>
      <c r="G1062" s="44" t="str">
        <f xml:space="preserve"> "  " &amp; Tabelle7[[#This Row],[EnuValue]] &amp; " = " &amp; Tabelle7[[#This Row],[Wert]]</f>
        <v xml:space="preserve">  sbeSFT_STRAIGHT = 1</v>
      </c>
      <c r="H1062" s="44" t="str">
        <f>"  If Wert = " &amp; Tabelle7[[#This Row],[EnuValue]] &amp; " then Res = ""." &amp; Tabelle7[[#This Row],[EnuRohValue]] &amp; "."""</f>
        <v xml:space="preserve">  If Wert = sbeSFT_STRAIGHT then Res = ".STRAIGHT."</v>
      </c>
      <c r="I1062" s="44" t="str">
        <f>"  If wert = ""." &amp; Tabelle7[[#This Row],[EnuRohValue]] &amp; "."" Then Res = " &amp; Tabelle7[[#This Row],[EnuValue]]</f>
        <v xml:space="preserve">  If wert = ".STRAIGHT." Then Res = sbeSFT_STRAIGHT</v>
      </c>
    </row>
    <row r="1063" spans="2:9" x14ac:dyDescent="0.25">
      <c r="B1063" s="44">
        <v>2</v>
      </c>
      <c r="C1063" s="45" t="s">
        <v>1636</v>
      </c>
      <c r="D1063" s="44" t="s">
        <v>4517</v>
      </c>
      <c r="E1063" s="44" t="str">
        <f>VLOOKUP(Tabelle7[[#This Row],[EnumName]],Enum[[IFC-Name]:[Präfix]],5,FALSE)&amp;Tabelle7[[#This Row],[EnuRohValue]]</f>
        <v>sbeSFT_WINDER</v>
      </c>
      <c r="F1063" s="44">
        <f>COUNTIF(Tabelle7[EnuValue],Tabelle7[[#This Row],[EnuValue]])</f>
        <v>1</v>
      </c>
      <c r="G1063" s="44" t="str">
        <f xml:space="preserve"> "  " &amp; Tabelle7[[#This Row],[EnuValue]] &amp; " = " &amp; Tabelle7[[#This Row],[Wert]]</f>
        <v xml:space="preserve">  sbeSFT_WINDER = 2</v>
      </c>
      <c r="H1063" s="44" t="str">
        <f>"  If Wert = " &amp; Tabelle7[[#This Row],[EnuValue]] &amp; " then Res = ""." &amp; Tabelle7[[#This Row],[EnuRohValue]] &amp; "."""</f>
        <v xml:space="preserve">  If Wert = sbeSFT_WINDER then Res = ".WINDER."</v>
      </c>
      <c r="I1063" s="44" t="str">
        <f>"  If wert = ""." &amp; Tabelle7[[#This Row],[EnuRohValue]] &amp; "."" Then Res = " &amp; Tabelle7[[#This Row],[EnuValue]]</f>
        <v xml:space="preserve">  If wert = ".WINDER." Then Res = sbeSFT_WINDER</v>
      </c>
    </row>
    <row r="1064" spans="2:9" x14ac:dyDescent="0.25">
      <c r="B1064" s="44">
        <v>3</v>
      </c>
      <c r="C1064" s="45" t="s">
        <v>1636</v>
      </c>
      <c r="D1064" s="44" t="s">
        <v>4347</v>
      </c>
      <c r="E1064" s="44" t="str">
        <f>VLOOKUP(Tabelle7[[#This Row],[EnumName]],Enum[[IFC-Name]:[Präfix]],5,FALSE)&amp;Tabelle7[[#This Row],[EnuRohValue]]</f>
        <v>sbeSFT_SPIRAL</v>
      </c>
      <c r="F1064" s="44">
        <f>COUNTIF(Tabelle7[EnuValue],Tabelle7[[#This Row],[EnuValue]])</f>
        <v>1</v>
      </c>
      <c r="G1064" s="44" t="str">
        <f xml:space="preserve"> "  " &amp; Tabelle7[[#This Row],[EnuValue]] &amp; " = " &amp; Tabelle7[[#This Row],[Wert]]</f>
        <v xml:space="preserve">  sbeSFT_SPIRAL = 3</v>
      </c>
      <c r="H1064" s="44" t="str">
        <f>"  If Wert = " &amp; Tabelle7[[#This Row],[EnuValue]] &amp; " then Res = ""." &amp; Tabelle7[[#This Row],[EnuRohValue]] &amp; "."""</f>
        <v xml:space="preserve">  If Wert = sbeSFT_SPIRAL then Res = ".SPIRAL."</v>
      </c>
      <c r="I1064" s="44" t="str">
        <f>"  If wert = ""." &amp; Tabelle7[[#This Row],[EnuRohValue]] &amp; "."" Then Res = " &amp; Tabelle7[[#This Row],[EnuValue]]</f>
        <v xml:space="preserve">  If wert = ".SPIRAL." Then Res = sbeSFT_SPIRAL</v>
      </c>
    </row>
    <row r="1065" spans="2:9" x14ac:dyDescent="0.25">
      <c r="B1065" s="44">
        <v>4</v>
      </c>
      <c r="C1065" s="45" t="s">
        <v>1636</v>
      </c>
      <c r="D1065" s="44" t="s">
        <v>4518</v>
      </c>
      <c r="E1065" s="44" t="str">
        <f>VLOOKUP(Tabelle7[[#This Row],[EnumName]],Enum[[IFC-Name]:[Präfix]],5,FALSE)&amp;Tabelle7[[#This Row],[EnuRohValue]]</f>
        <v>sbeSFT_CURVED</v>
      </c>
      <c r="F1065" s="44">
        <f>COUNTIF(Tabelle7[EnuValue],Tabelle7[[#This Row],[EnuValue]])</f>
        <v>1</v>
      </c>
      <c r="G1065" s="44" t="str">
        <f xml:space="preserve"> "  " &amp; Tabelle7[[#This Row],[EnuValue]] &amp; " = " &amp; Tabelle7[[#This Row],[Wert]]</f>
        <v xml:space="preserve">  sbeSFT_CURVED = 4</v>
      </c>
      <c r="H1065" s="44" t="str">
        <f>"  If Wert = " &amp; Tabelle7[[#This Row],[EnuValue]] &amp; " then Res = ""." &amp; Tabelle7[[#This Row],[EnuRohValue]] &amp; "."""</f>
        <v xml:space="preserve">  If Wert = sbeSFT_CURVED then Res = ".CURVED."</v>
      </c>
      <c r="I1065" s="44" t="str">
        <f>"  If wert = ""." &amp; Tabelle7[[#This Row],[EnuRohValue]] &amp; "."" Then Res = " &amp; Tabelle7[[#This Row],[EnuValue]]</f>
        <v xml:space="preserve">  If wert = ".CURVED." Then Res = sbeSFT_CURVED</v>
      </c>
    </row>
    <row r="1066" spans="2:9" x14ac:dyDescent="0.25">
      <c r="B1066" s="44">
        <v>5</v>
      </c>
      <c r="C1066" s="45" t="s">
        <v>1636</v>
      </c>
      <c r="D1066" s="44" t="s">
        <v>4411</v>
      </c>
      <c r="E1066" s="44" t="str">
        <f>VLOOKUP(Tabelle7[[#This Row],[EnumName]],Enum[[IFC-Name]:[Präfix]],5,FALSE)&amp;Tabelle7[[#This Row],[EnuRohValue]]</f>
        <v>sbeSFT_FREEFORM</v>
      </c>
      <c r="F1066" s="44">
        <f>COUNTIF(Tabelle7[EnuValue],Tabelle7[[#This Row],[EnuValue]])</f>
        <v>1</v>
      </c>
      <c r="G1066" s="44" t="str">
        <f xml:space="preserve"> "  " &amp; Tabelle7[[#This Row],[EnuValue]] &amp; " = " &amp; Tabelle7[[#This Row],[Wert]]</f>
        <v xml:space="preserve">  sbeSFT_FREEFORM = 5</v>
      </c>
      <c r="H1066" s="44" t="str">
        <f>"  If Wert = " &amp; Tabelle7[[#This Row],[EnuValue]] &amp; " then Res = ""." &amp; Tabelle7[[#This Row],[EnuRohValue]] &amp; "."""</f>
        <v xml:space="preserve">  If Wert = sbeSFT_FREEFORM then Res = ".FREEFORM."</v>
      </c>
      <c r="I1066" s="44" t="str">
        <f>"  If wert = ""." &amp; Tabelle7[[#This Row],[EnuRohValue]] &amp; "."" Then Res = " &amp; Tabelle7[[#This Row],[EnuValue]]</f>
        <v xml:space="preserve">  If wert = ".FREEFORM." Then Res = sbeSFT_FREEFORM</v>
      </c>
    </row>
    <row r="1067" spans="2:9" x14ac:dyDescent="0.25">
      <c r="B1067" s="44">
        <v>6</v>
      </c>
      <c r="C1067" s="45" t="s">
        <v>1636</v>
      </c>
      <c r="D1067" s="44" t="s">
        <v>3682</v>
      </c>
      <c r="E1067" s="44" t="str">
        <f>VLOOKUP(Tabelle7[[#This Row],[EnumName]],Enum[[IFC-Name]:[Präfix]],5,FALSE)&amp;Tabelle7[[#This Row],[EnuRohValue]]</f>
        <v>sbeSFT_USERDEFINED</v>
      </c>
      <c r="F1067" s="44">
        <f>COUNTIF(Tabelle7[EnuValue],Tabelle7[[#This Row],[EnuValue]])</f>
        <v>1</v>
      </c>
      <c r="G1067" s="44" t="str">
        <f xml:space="preserve"> "  " &amp; Tabelle7[[#This Row],[EnuValue]] &amp; " = " &amp; Tabelle7[[#This Row],[Wert]]</f>
        <v xml:space="preserve">  sbeSFT_USERDEFINED = 6</v>
      </c>
      <c r="H1067" s="44" t="str">
        <f>"  If Wert = " &amp; Tabelle7[[#This Row],[EnuValue]] &amp; " then Res = ""." &amp; Tabelle7[[#This Row],[EnuRohValue]] &amp; "."""</f>
        <v xml:space="preserve">  If Wert = sbeSFT_USERDEFINED then Res = ".USERDEFINED."</v>
      </c>
      <c r="I1067" s="44" t="str">
        <f>"  If wert = ""." &amp; Tabelle7[[#This Row],[EnuRohValue]] &amp; "."" Then Res = " &amp; Tabelle7[[#This Row],[EnuValue]]</f>
        <v xml:space="preserve">  If wert = ".USERDEFINED." Then Res = sbeSFT_USERDEFINED</v>
      </c>
    </row>
    <row r="1068" spans="2:9" x14ac:dyDescent="0.25">
      <c r="B1068" s="44">
        <v>7</v>
      </c>
      <c r="C1068" s="45" t="s">
        <v>1636</v>
      </c>
      <c r="D1068" s="44" t="s">
        <v>3683</v>
      </c>
      <c r="E1068" s="44" t="str">
        <f>VLOOKUP(Tabelle7[[#This Row],[EnumName]],Enum[[IFC-Name]:[Präfix]],5,FALSE)&amp;Tabelle7[[#This Row],[EnuRohValue]]</f>
        <v>sbeSFT_NOTDEFINED</v>
      </c>
      <c r="F1068" s="44">
        <f>COUNTIF(Tabelle7[EnuValue],Tabelle7[[#This Row],[EnuValue]])</f>
        <v>1</v>
      </c>
      <c r="G1068" s="44" t="str">
        <f xml:space="preserve"> "  " &amp; Tabelle7[[#This Row],[EnuValue]] &amp; " = " &amp; Tabelle7[[#This Row],[Wert]]</f>
        <v xml:space="preserve">  sbeSFT_NOTDEFINED = 7</v>
      </c>
      <c r="H1068" s="44" t="str">
        <f>"  If Wert = " &amp; Tabelle7[[#This Row],[EnuValue]] &amp; " then Res = ""." &amp; Tabelle7[[#This Row],[EnuRohValue]] &amp; "."""</f>
        <v xml:space="preserve">  If Wert = sbeSFT_NOTDEFINED then Res = ".NOTDEFINED."</v>
      </c>
      <c r="I1068" s="44" t="str">
        <f>"  If wert = ""." &amp; Tabelle7[[#This Row],[EnuRohValue]] &amp; "."" Then Res = " &amp; Tabelle7[[#This Row],[EnuValue]]</f>
        <v xml:space="preserve">  If wert = ".NOTDEFINED." Then Res = sbeSFT_NOTDEFINED</v>
      </c>
    </row>
    <row r="1069" spans="2:9" x14ac:dyDescent="0.25">
      <c r="B1069" s="44">
        <v>1</v>
      </c>
      <c r="C1069" s="45" t="s">
        <v>1637</v>
      </c>
      <c r="D1069" s="44" t="s">
        <v>4519</v>
      </c>
      <c r="E1069" s="44" t="str">
        <f>VLOOKUP(Tabelle7[[#This Row],[EnumName]],Enum[[IFC-Name]:[Präfix]],5,FALSE)&amp;Tabelle7[[#This Row],[EnuRohValue]]</f>
        <v>sbeST_STRAIGHT_RUN_STAIR</v>
      </c>
      <c r="F1069" s="44">
        <f>COUNTIF(Tabelle7[EnuValue],Tabelle7[[#This Row],[EnuValue]])</f>
        <v>1</v>
      </c>
      <c r="G1069" s="44" t="str">
        <f xml:space="preserve"> "  " &amp; Tabelle7[[#This Row],[EnuValue]] &amp; " = " &amp; Tabelle7[[#This Row],[Wert]]</f>
        <v xml:space="preserve">  sbeST_STRAIGHT_RUN_STAIR = 1</v>
      </c>
      <c r="H1069" s="44" t="str">
        <f>"  If Wert = " &amp; Tabelle7[[#This Row],[EnuValue]] &amp; " then Res = ""." &amp; Tabelle7[[#This Row],[EnuRohValue]] &amp; "."""</f>
        <v xml:space="preserve">  If Wert = sbeST_STRAIGHT_RUN_STAIR then Res = ".STRAIGHT_RUN_STAIR."</v>
      </c>
      <c r="I1069" s="44" t="str">
        <f>"  If wert = ""." &amp; Tabelle7[[#This Row],[EnuRohValue]] &amp; "."" Then Res = " &amp; Tabelle7[[#This Row],[EnuValue]]</f>
        <v xml:space="preserve">  If wert = ".STRAIGHT_RUN_STAIR." Then Res = sbeST_STRAIGHT_RUN_STAIR</v>
      </c>
    </row>
    <row r="1070" spans="2:9" x14ac:dyDescent="0.25">
      <c r="B1070" s="44">
        <v>2</v>
      </c>
      <c r="C1070" s="45" t="s">
        <v>1637</v>
      </c>
      <c r="D1070" s="44" t="s">
        <v>4520</v>
      </c>
      <c r="E1070" s="44" t="str">
        <f>VLOOKUP(Tabelle7[[#This Row],[EnumName]],Enum[[IFC-Name]:[Präfix]],5,FALSE)&amp;Tabelle7[[#This Row],[EnuRohValue]]</f>
        <v>sbeST_TWO_STRAIGHT_RUN_STAIR</v>
      </c>
      <c r="F1070" s="44">
        <f>COUNTIF(Tabelle7[EnuValue],Tabelle7[[#This Row],[EnuValue]])</f>
        <v>1</v>
      </c>
      <c r="G1070" s="44" t="str">
        <f xml:space="preserve"> "  " &amp; Tabelle7[[#This Row],[EnuValue]] &amp; " = " &amp; Tabelle7[[#This Row],[Wert]]</f>
        <v xml:space="preserve">  sbeST_TWO_STRAIGHT_RUN_STAIR = 2</v>
      </c>
      <c r="H1070" s="44" t="str">
        <f>"  If Wert = " &amp; Tabelle7[[#This Row],[EnuValue]] &amp; " then Res = ""." &amp; Tabelle7[[#This Row],[EnuRohValue]] &amp; "."""</f>
        <v xml:space="preserve">  If Wert = sbeST_TWO_STRAIGHT_RUN_STAIR then Res = ".TWO_STRAIGHT_RUN_STAIR."</v>
      </c>
      <c r="I1070" s="44" t="str">
        <f>"  If wert = ""." &amp; Tabelle7[[#This Row],[EnuRohValue]] &amp; "."" Then Res = " &amp; Tabelle7[[#This Row],[EnuValue]]</f>
        <v xml:space="preserve">  If wert = ".TWO_STRAIGHT_RUN_STAIR." Then Res = sbeST_TWO_STRAIGHT_RUN_STAIR</v>
      </c>
    </row>
    <row r="1071" spans="2:9" x14ac:dyDescent="0.25">
      <c r="B1071" s="44">
        <v>3</v>
      </c>
      <c r="C1071" s="45" t="s">
        <v>1637</v>
      </c>
      <c r="D1071" s="44" t="s">
        <v>4521</v>
      </c>
      <c r="E1071" s="44" t="str">
        <f>VLOOKUP(Tabelle7[[#This Row],[EnumName]],Enum[[IFC-Name]:[Präfix]],5,FALSE)&amp;Tabelle7[[#This Row],[EnuRohValue]]</f>
        <v>sbeST_QUARTER_WINDING_STAIR</v>
      </c>
      <c r="F1071" s="44">
        <f>COUNTIF(Tabelle7[EnuValue],Tabelle7[[#This Row],[EnuValue]])</f>
        <v>1</v>
      </c>
      <c r="G1071" s="44" t="str">
        <f xml:space="preserve"> "  " &amp; Tabelle7[[#This Row],[EnuValue]] &amp; " = " &amp; Tabelle7[[#This Row],[Wert]]</f>
        <v xml:space="preserve">  sbeST_QUARTER_WINDING_STAIR = 3</v>
      </c>
      <c r="H1071" s="44" t="str">
        <f>"  If Wert = " &amp; Tabelle7[[#This Row],[EnuValue]] &amp; " then Res = ""." &amp; Tabelle7[[#This Row],[EnuRohValue]] &amp; "."""</f>
        <v xml:space="preserve">  If Wert = sbeST_QUARTER_WINDING_STAIR then Res = ".QUARTER_WINDING_STAIR."</v>
      </c>
      <c r="I1071" s="44" t="str">
        <f>"  If wert = ""." &amp; Tabelle7[[#This Row],[EnuRohValue]] &amp; "."" Then Res = " &amp; Tabelle7[[#This Row],[EnuValue]]</f>
        <v xml:space="preserve">  If wert = ".QUARTER_WINDING_STAIR." Then Res = sbeST_QUARTER_WINDING_STAIR</v>
      </c>
    </row>
    <row r="1072" spans="2:9" x14ac:dyDescent="0.25">
      <c r="B1072" s="44">
        <v>4</v>
      </c>
      <c r="C1072" s="45" t="s">
        <v>1637</v>
      </c>
      <c r="D1072" s="44" t="s">
        <v>4522</v>
      </c>
      <c r="E1072" s="44" t="str">
        <f>VLOOKUP(Tabelle7[[#This Row],[EnumName]],Enum[[IFC-Name]:[Präfix]],5,FALSE)&amp;Tabelle7[[#This Row],[EnuRohValue]]</f>
        <v>sbeST_QUARTER_TURN_STAIR</v>
      </c>
      <c r="F1072" s="44">
        <f>COUNTIF(Tabelle7[EnuValue],Tabelle7[[#This Row],[EnuValue]])</f>
        <v>1</v>
      </c>
      <c r="G1072" s="44" t="str">
        <f xml:space="preserve"> "  " &amp; Tabelle7[[#This Row],[EnuValue]] &amp; " = " &amp; Tabelle7[[#This Row],[Wert]]</f>
        <v xml:space="preserve">  sbeST_QUARTER_TURN_STAIR = 4</v>
      </c>
      <c r="H1072" s="44" t="str">
        <f>"  If Wert = " &amp; Tabelle7[[#This Row],[EnuValue]] &amp; " then Res = ""." &amp; Tabelle7[[#This Row],[EnuRohValue]] &amp; "."""</f>
        <v xml:space="preserve">  If Wert = sbeST_QUARTER_TURN_STAIR then Res = ".QUARTER_TURN_STAIR."</v>
      </c>
      <c r="I1072" s="44" t="str">
        <f>"  If wert = ""." &amp; Tabelle7[[#This Row],[EnuRohValue]] &amp; "."" Then Res = " &amp; Tabelle7[[#This Row],[EnuValue]]</f>
        <v xml:space="preserve">  If wert = ".QUARTER_TURN_STAIR." Then Res = sbeST_QUARTER_TURN_STAIR</v>
      </c>
    </row>
    <row r="1073" spans="2:9" x14ac:dyDescent="0.25">
      <c r="B1073" s="44">
        <v>5</v>
      </c>
      <c r="C1073" s="45" t="s">
        <v>1637</v>
      </c>
      <c r="D1073" s="44" t="s">
        <v>4523</v>
      </c>
      <c r="E1073" s="44" t="str">
        <f>VLOOKUP(Tabelle7[[#This Row],[EnumName]],Enum[[IFC-Name]:[Präfix]],5,FALSE)&amp;Tabelle7[[#This Row],[EnuRohValue]]</f>
        <v>sbeST_HALF_WINDING_STAIR</v>
      </c>
      <c r="F1073" s="44">
        <f>COUNTIF(Tabelle7[EnuValue],Tabelle7[[#This Row],[EnuValue]])</f>
        <v>1</v>
      </c>
      <c r="G1073" s="44" t="str">
        <f xml:space="preserve"> "  " &amp; Tabelle7[[#This Row],[EnuValue]] &amp; " = " &amp; Tabelle7[[#This Row],[Wert]]</f>
        <v xml:space="preserve">  sbeST_HALF_WINDING_STAIR = 5</v>
      </c>
      <c r="H1073" s="44" t="str">
        <f>"  If Wert = " &amp; Tabelle7[[#This Row],[EnuValue]] &amp; " then Res = ""." &amp; Tabelle7[[#This Row],[EnuRohValue]] &amp; "."""</f>
        <v xml:space="preserve">  If Wert = sbeST_HALF_WINDING_STAIR then Res = ".HALF_WINDING_STAIR."</v>
      </c>
      <c r="I1073" s="44" t="str">
        <f>"  If wert = ""." &amp; Tabelle7[[#This Row],[EnuRohValue]] &amp; "."" Then Res = " &amp; Tabelle7[[#This Row],[EnuValue]]</f>
        <v xml:space="preserve">  If wert = ".HALF_WINDING_STAIR." Then Res = sbeST_HALF_WINDING_STAIR</v>
      </c>
    </row>
    <row r="1074" spans="2:9" x14ac:dyDescent="0.25">
      <c r="B1074" s="44">
        <v>6</v>
      </c>
      <c r="C1074" s="45" t="s">
        <v>1637</v>
      </c>
      <c r="D1074" s="44" t="s">
        <v>4524</v>
      </c>
      <c r="E1074" s="44" t="str">
        <f>VLOOKUP(Tabelle7[[#This Row],[EnumName]],Enum[[IFC-Name]:[Präfix]],5,FALSE)&amp;Tabelle7[[#This Row],[EnuRohValue]]</f>
        <v>sbeST_HALF_TURN_STAIR</v>
      </c>
      <c r="F1074" s="44">
        <f>COUNTIF(Tabelle7[EnuValue],Tabelle7[[#This Row],[EnuValue]])</f>
        <v>1</v>
      </c>
      <c r="G1074" s="44" t="str">
        <f xml:space="preserve"> "  " &amp; Tabelle7[[#This Row],[EnuValue]] &amp; " = " &amp; Tabelle7[[#This Row],[Wert]]</f>
        <v xml:space="preserve">  sbeST_HALF_TURN_STAIR = 6</v>
      </c>
      <c r="H1074" s="44" t="str">
        <f>"  If Wert = " &amp; Tabelle7[[#This Row],[EnuValue]] &amp; " then Res = ""." &amp; Tabelle7[[#This Row],[EnuRohValue]] &amp; "."""</f>
        <v xml:space="preserve">  If Wert = sbeST_HALF_TURN_STAIR then Res = ".HALF_TURN_STAIR."</v>
      </c>
      <c r="I1074" s="44" t="str">
        <f>"  If wert = ""." &amp; Tabelle7[[#This Row],[EnuRohValue]] &amp; "."" Then Res = " &amp; Tabelle7[[#This Row],[EnuValue]]</f>
        <v xml:space="preserve">  If wert = ".HALF_TURN_STAIR." Then Res = sbeST_HALF_TURN_STAIR</v>
      </c>
    </row>
    <row r="1075" spans="2:9" x14ac:dyDescent="0.25">
      <c r="B1075" s="44">
        <v>7</v>
      </c>
      <c r="C1075" s="45" t="s">
        <v>1637</v>
      </c>
      <c r="D1075" s="44" t="s">
        <v>4525</v>
      </c>
      <c r="E1075" s="44" t="str">
        <f>VLOOKUP(Tabelle7[[#This Row],[EnumName]],Enum[[IFC-Name]:[Präfix]],5,FALSE)&amp;Tabelle7[[#This Row],[EnuRohValue]]</f>
        <v>sbeST_TWO_QUARTER_WINDING_STAIR</v>
      </c>
      <c r="F1075" s="44">
        <f>COUNTIF(Tabelle7[EnuValue],Tabelle7[[#This Row],[EnuValue]])</f>
        <v>1</v>
      </c>
      <c r="G1075" s="44" t="str">
        <f xml:space="preserve"> "  " &amp; Tabelle7[[#This Row],[EnuValue]] &amp; " = " &amp; Tabelle7[[#This Row],[Wert]]</f>
        <v xml:space="preserve">  sbeST_TWO_QUARTER_WINDING_STAIR = 7</v>
      </c>
      <c r="H1075" s="44" t="str">
        <f>"  If Wert = " &amp; Tabelle7[[#This Row],[EnuValue]] &amp; " then Res = ""." &amp; Tabelle7[[#This Row],[EnuRohValue]] &amp; "."""</f>
        <v xml:space="preserve">  If Wert = sbeST_TWO_QUARTER_WINDING_STAIR then Res = ".TWO_QUARTER_WINDING_STAIR."</v>
      </c>
      <c r="I1075" s="44" t="str">
        <f>"  If wert = ""." &amp; Tabelle7[[#This Row],[EnuRohValue]] &amp; "."" Then Res = " &amp; Tabelle7[[#This Row],[EnuValue]]</f>
        <v xml:space="preserve">  If wert = ".TWO_QUARTER_WINDING_STAIR." Then Res = sbeST_TWO_QUARTER_WINDING_STAIR</v>
      </c>
    </row>
    <row r="1076" spans="2:9" x14ac:dyDescent="0.25">
      <c r="B1076" s="44">
        <v>8</v>
      </c>
      <c r="C1076" s="45" t="s">
        <v>1637</v>
      </c>
      <c r="D1076" s="44" t="s">
        <v>4526</v>
      </c>
      <c r="E1076" s="44" t="str">
        <f>VLOOKUP(Tabelle7[[#This Row],[EnumName]],Enum[[IFC-Name]:[Präfix]],5,FALSE)&amp;Tabelle7[[#This Row],[EnuRohValue]]</f>
        <v>sbeST_TWO_QUARTER_TURN_STAIR</v>
      </c>
      <c r="F1076" s="44">
        <f>COUNTIF(Tabelle7[EnuValue],Tabelle7[[#This Row],[EnuValue]])</f>
        <v>1</v>
      </c>
      <c r="G1076" s="44" t="str">
        <f xml:space="preserve"> "  " &amp; Tabelle7[[#This Row],[EnuValue]] &amp; " = " &amp; Tabelle7[[#This Row],[Wert]]</f>
        <v xml:space="preserve">  sbeST_TWO_QUARTER_TURN_STAIR = 8</v>
      </c>
      <c r="H1076" s="44" t="str">
        <f>"  If Wert = " &amp; Tabelle7[[#This Row],[EnuValue]] &amp; " then Res = ""." &amp; Tabelle7[[#This Row],[EnuRohValue]] &amp; "."""</f>
        <v xml:space="preserve">  If Wert = sbeST_TWO_QUARTER_TURN_STAIR then Res = ".TWO_QUARTER_TURN_STAIR."</v>
      </c>
      <c r="I1076" s="44" t="str">
        <f>"  If wert = ""." &amp; Tabelle7[[#This Row],[EnuRohValue]] &amp; "."" Then Res = " &amp; Tabelle7[[#This Row],[EnuValue]]</f>
        <v xml:space="preserve">  If wert = ".TWO_QUARTER_TURN_STAIR." Then Res = sbeST_TWO_QUARTER_TURN_STAIR</v>
      </c>
    </row>
    <row r="1077" spans="2:9" x14ac:dyDescent="0.25">
      <c r="B1077" s="44">
        <v>9</v>
      </c>
      <c r="C1077" s="45" t="s">
        <v>1637</v>
      </c>
      <c r="D1077" s="44" t="s">
        <v>4527</v>
      </c>
      <c r="E1077" s="44" t="str">
        <f>VLOOKUP(Tabelle7[[#This Row],[EnumName]],Enum[[IFC-Name]:[Präfix]],5,FALSE)&amp;Tabelle7[[#This Row],[EnuRohValue]]</f>
        <v>sbeST_THREE_QUARTER_WINDING_STAIR</v>
      </c>
      <c r="F1077" s="44">
        <f>COUNTIF(Tabelle7[EnuValue],Tabelle7[[#This Row],[EnuValue]])</f>
        <v>1</v>
      </c>
      <c r="G1077" s="44" t="str">
        <f xml:space="preserve"> "  " &amp; Tabelle7[[#This Row],[EnuValue]] &amp; " = " &amp; Tabelle7[[#This Row],[Wert]]</f>
        <v xml:space="preserve">  sbeST_THREE_QUARTER_WINDING_STAIR = 9</v>
      </c>
      <c r="H1077" s="44" t="str">
        <f>"  If Wert = " &amp; Tabelle7[[#This Row],[EnuValue]] &amp; " then Res = ""." &amp; Tabelle7[[#This Row],[EnuRohValue]] &amp; "."""</f>
        <v xml:space="preserve">  If Wert = sbeST_THREE_QUARTER_WINDING_STAIR then Res = ".THREE_QUARTER_WINDING_STAIR."</v>
      </c>
      <c r="I1077" s="44" t="str">
        <f>"  If wert = ""." &amp; Tabelle7[[#This Row],[EnuRohValue]] &amp; "."" Then Res = " &amp; Tabelle7[[#This Row],[EnuValue]]</f>
        <v xml:space="preserve">  If wert = ".THREE_QUARTER_WINDING_STAIR." Then Res = sbeST_THREE_QUARTER_WINDING_STAIR</v>
      </c>
    </row>
    <row r="1078" spans="2:9" x14ac:dyDescent="0.25">
      <c r="B1078" s="44">
        <v>10</v>
      </c>
      <c r="C1078" s="45" t="s">
        <v>1637</v>
      </c>
      <c r="D1078" s="44" t="s">
        <v>4528</v>
      </c>
      <c r="E1078" s="44" t="str">
        <f>VLOOKUP(Tabelle7[[#This Row],[EnumName]],Enum[[IFC-Name]:[Präfix]],5,FALSE)&amp;Tabelle7[[#This Row],[EnuRohValue]]</f>
        <v>sbeST_THREE_QUARTER_TURN_STAIR</v>
      </c>
      <c r="F1078" s="44">
        <f>COUNTIF(Tabelle7[EnuValue],Tabelle7[[#This Row],[EnuValue]])</f>
        <v>1</v>
      </c>
      <c r="G1078" s="44" t="str">
        <f xml:space="preserve"> "  " &amp; Tabelle7[[#This Row],[EnuValue]] &amp; " = " &amp; Tabelle7[[#This Row],[Wert]]</f>
        <v xml:space="preserve">  sbeST_THREE_QUARTER_TURN_STAIR = 10</v>
      </c>
      <c r="H1078" s="44" t="str">
        <f>"  If Wert = " &amp; Tabelle7[[#This Row],[EnuValue]] &amp; " then Res = ""." &amp; Tabelle7[[#This Row],[EnuRohValue]] &amp; "."""</f>
        <v xml:space="preserve">  If Wert = sbeST_THREE_QUARTER_TURN_STAIR then Res = ".THREE_QUARTER_TURN_STAIR."</v>
      </c>
      <c r="I1078" s="44" t="str">
        <f>"  If wert = ""." &amp; Tabelle7[[#This Row],[EnuRohValue]] &amp; "."" Then Res = " &amp; Tabelle7[[#This Row],[EnuValue]]</f>
        <v xml:space="preserve">  If wert = ".THREE_QUARTER_TURN_STAIR." Then Res = sbeST_THREE_QUARTER_TURN_STAIR</v>
      </c>
    </row>
    <row r="1079" spans="2:9" x14ac:dyDescent="0.25">
      <c r="B1079" s="44">
        <v>11</v>
      </c>
      <c r="C1079" s="45" t="s">
        <v>1637</v>
      </c>
      <c r="D1079" s="44" t="s">
        <v>4529</v>
      </c>
      <c r="E1079" s="44" t="str">
        <f>VLOOKUP(Tabelle7[[#This Row],[EnumName]],Enum[[IFC-Name]:[Präfix]],5,FALSE)&amp;Tabelle7[[#This Row],[EnuRohValue]]</f>
        <v>sbeST_SPIRAL_STAIR</v>
      </c>
      <c r="F1079" s="44">
        <f>COUNTIF(Tabelle7[EnuValue],Tabelle7[[#This Row],[EnuValue]])</f>
        <v>1</v>
      </c>
      <c r="G1079" s="44" t="str">
        <f xml:space="preserve"> "  " &amp; Tabelle7[[#This Row],[EnuValue]] &amp; " = " &amp; Tabelle7[[#This Row],[Wert]]</f>
        <v xml:space="preserve">  sbeST_SPIRAL_STAIR = 11</v>
      </c>
      <c r="H1079" s="44" t="str">
        <f>"  If Wert = " &amp; Tabelle7[[#This Row],[EnuValue]] &amp; " then Res = ""." &amp; Tabelle7[[#This Row],[EnuRohValue]] &amp; "."""</f>
        <v xml:space="preserve">  If Wert = sbeST_SPIRAL_STAIR then Res = ".SPIRAL_STAIR."</v>
      </c>
      <c r="I1079" s="44" t="str">
        <f>"  If wert = ""." &amp; Tabelle7[[#This Row],[EnuRohValue]] &amp; "."" Then Res = " &amp; Tabelle7[[#This Row],[EnuValue]]</f>
        <v xml:space="preserve">  If wert = ".SPIRAL_STAIR." Then Res = sbeST_SPIRAL_STAIR</v>
      </c>
    </row>
    <row r="1080" spans="2:9" x14ac:dyDescent="0.25">
      <c r="B1080" s="44">
        <v>12</v>
      </c>
      <c r="C1080" s="45" t="s">
        <v>1637</v>
      </c>
      <c r="D1080" s="44" t="s">
        <v>4530</v>
      </c>
      <c r="E1080" s="44" t="str">
        <f>VLOOKUP(Tabelle7[[#This Row],[EnumName]],Enum[[IFC-Name]:[Präfix]],5,FALSE)&amp;Tabelle7[[#This Row],[EnuRohValue]]</f>
        <v>sbeST_DOUBLE_RETURN_STAIR</v>
      </c>
      <c r="F1080" s="44">
        <f>COUNTIF(Tabelle7[EnuValue],Tabelle7[[#This Row],[EnuValue]])</f>
        <v>1</v>
      </c>
      <c r="G1080" s="44" t="str">
        <f xml:space="preserve"> "  " &amp; Tabelle7[[#This Row],[EnuValue]] &amp; " = " &amp; Tabelle7[[#This Row],[Wert]]</f>
        <v xml:space="preserve">  sbeST_DOUBLE_RETURN_STAIR = 12</v>
      </c>
      <c r="H1080" s="44" t="str">
        <f>"  If Wert = " &amp; Tabelle7[[#This Row],[EnuValue]] &amp; " then Res = ""." &amp; Tabelle7[[#This Row],[EnuRohValue]] &amp; "."""</f>
        <v xml:space="preserve">  If Wert = sbeST_DOUBLE_RETURN_STAIR then Res = ".DOUBLE_RETURN_STAIR."</v>
      </c>
      <c r="I1080" s="44" t="str">
        <f>"  If wert = ""." &amp; Tabelle7[[#This Row],[EnuRohValue]] &amp; "."" Then Res = " &amp; Tabelle7[[#This Row],[EnuValue]]</f>
        <v xml:space="preserve">  If wert = ".DOUBLE_RETURN_STAIR." Then Res = sbeST_DOUBLE_RETURN_STAIR</v>
      </c>
    </row>
    <row r="1081" spans="2:9" x14ac:dyDescent="0.25">
      <c r="B1081" s="44">
        <v>13</v>
      </c>
      <c r="C1081" s="45" t="s">
        <v>1637</v>
      </c>
      <c r="D1081" s="44" t="s">
        <v>4531</v>
      </c>
      <c r="E1081" s="44" t="str">
        <f>VLOOKUP(Tabelle7[[#This Row],[EnumName]],Enum[[IFC-Name]:[Präfix]],5,FALSE)&amp;Tabelle7[[#This Row],[EnuRohValue]]</f>
        <v>sbeST_CURVED_RUN_STAIR</v>
      </c>
      <c r="F1081" s="44">
        <f>COUNTIF(Tabelle7[EnuValue],Tabelle7[[#This Row],[EnuValue]])</f>
        <v>1</v>
      </c>
      <c r="G1081" s="44" t="str">
        <f xml:space="preserve"> "  " &amp; Tabelle7[[#This Row],[EnuValue]] &amp; " = " &amp; Tabelle7[[#This Row],[Wert]]</f>
        <v xml:space="preserve">  sbeST_CURVED_RUN_STAIR = 13</v>
      </c>
      <c r="H1081" s="44" t="str">
        <f>"  If Wert = " &amp; Tabelle7[[#This Row],[EnuValue]] &amp; " then Res = ""." &amp; Tabelle7[[#This Row],[EnuRohValue]] &amp; "."""</f>
        <v xml:space="preserve">  If Wert = sbeST_CURVED_RUN_STAIR then Res = ".CURVED_RUN_STAIR."</v>
      </c>
      <c r="I1081" s="44" t="str">
        <f>"  If wert = ""." &amp; Tabelle7[[#This Row],[EnuRohValue]] &amp; "."" Then Res = " &amp; Tabelle7[[#This Row],[EnuValue]]</f>
        <v xml:space="preserve">  If wert = ".CURVED_RUN_STAIR." Then Res = sbeST_CURVED_RUN_STAIR</v>
      </c>
    </row>
    <row r="1082" spans="2:9" x14ac:dyDescent="0.25">
      <c r="B1082" s="44">
        <v>14</v>
      </c>
      <c r="C1082" s="45" t="s">
        <v>1637</v>
      </c>
      <c r="D1082" s="44" t="s">
        <v>4532</v>
      </c>
      <c r="E1082" s="44" t="str">
        <f>VLOOKUP(Tabelle7[[#This Row],[EnumName]],Enum[[IFC-Name]:[Präfix]],5,FALSE)&amp;Tabelle7[[#This Row],[EnuRohValue]]</f>
        <v>sbeST_TWO_CURVED_RUN_STAIR</v>
      </c>
      <c r="F1082" s="44">
        <f>COUNTIF(Tabelle7[EnuValue],Tabelle7[[#This Row],[EnuValue]])</f>
        <v>1</v>
      </c>
      <c r="G1082" s="44" t="str">
        <f xml:space="preserve"> "  " &amp; Tabelle7[[#This Row],[EnuValue]] &amp; " = " &amp; Tabelle7[[#This Row],[Wert]]</f>
        <v xml:space="preserve">  sbeST_TWO_CURVED_RUN_STAIR = 14</v>
      </c>
      <c r="H1082" s="44" t="str">
        <f>"  If Wert = " &amp; Tabelle7[[#This Row],[EnuValue]] &amp; " then Res = ""." &amp; Tabelle7[[#This Row],[EnuRohValue]] &amp; "."""</f>
        <v xml:space="preserve">  If Wert = sbeST_TWO_CURVED_RUN_STAIR then Res = ".TWO_CURVED_RUN_STAIR."</v>
      </c>
      <c r="I1082" s="44" t="str">
        <f>"  If wert = ""." &amp; Tabelle7[[#This Row],[EnuRohValue]] &amp; "."" Then Res = " &amp; Tabelle7[[#This Row],[EnuValue]]</f>
        <v xml:space="preserve">  If wert = ".TWO_CURVED_RUN_STAIR." Then Res = sbeST_TWO_CURVED_RUN_STAIR</v>
      </c>
    </row>
    <row r="1083" spans="2:9" x14ac:dyDescent="0.25">
      <c r="B1083" s="44">
        <v>15</v>
      </c>
      <c r="C1083" s="45" t="s">
        <v>1637</v>
      </c>
      <c r="D1083" s="44" t="s">
        <v>3682</v>
      </c>
      <c r="E1083" s="44" t="str">
        <f>VLOOKUP(Tabelle7[[#This Row],[EnumName]],Enum[[IFC-Name]:[Präfix]],5,FALSE)&amp;Tabelle7[[#This Row],[EnuRohValue]]</f>
        <v>sbeST_USERDEFINED</v>
      </c>
      <c r="F1083" s="44">
        <f>COUNTIF(Tabelle7[EnuValue],Tabelle7[[#This Row],[EnuValue]])</f>
        <v>2</v>
      </c>
      <c r="G1083" s="44" t="str">
        <f xml:space="preserve"> "  " &amp; Tabelle7[[#This Row],[EnuValue]] &amp; " = " &amp; Tabelle7[[#This Row],[Wert]]</f>
        <v xml:space="preserve">  sbeST_USERDEFINED = 15</v>
      </c>
      <c r="H1083" s="44" t="str">
        <f>"  If Wert = " &amp; Tabelle7[[#This Row],[EnuValue]] &amp; " then Res = ""." &amp; Tabelle7[[#This Row],[EnuRohValue]] &amp; "."""</f>
        <v xml:space="preserve">  If Wert = sbeST_USERDEFINED then Res = ".USERDEFINED."</v>
      </c>
      <c r="I1083" s="44" t="str">
        <f>"  If wert = ""." &amp; Tabelle7[[#This Row],[EnuRohValue]] &amp; "."" Then Res = " &amp; Tabelle7[[#This Row],[EnuValue]]</f>
        <v xml:space="preserve">  If wert = ".USERDEFINED." Then Res = sbeST_USERDEFINED</v>
      </c>
    </row>
    <row r="1084" spans="2:9" x14ac:dyDescent="0.25">
      <c r="B1084" s="44">
        <v>16</v>
      </c>
      <c r="C1084" s="45" t="s">
        <v>1637</v>
      </c>
      <c r="D1084" s="44" t="s">
        <v>3683</v>
      </c>
      <c r="E1084" s="44" t="str">
        <f>VLOOKUP(Tabelle7[[#This Row],[EnumName]],Enum[[IFC-Name]:[Präfix]],5,FALSE)&amp;Tabelle7[[#This Row],[EnuRohValue]]</f>
        <v>sbeST_NOTDEFINED</v>
      </c>
      <c r="F1084" s="44">
        <f>COUNTIF(Tabelle7[EnuValue],Tabelle7[[#This Row],[EnuValue]])</f>
        <v>2</v>
      </c>
      <c r="G1084" s="44" t="str">
        <f xml:space="preserve"> "  " &amp; Tabelle7[[#This Row],[EnuValue]] &amp; " = " &amp; Tabelle7[[#This Row],[Wert]]</f>
        <v xml:space="preserve">  sbeST_NOTDEFINED = 16</v>
      </c>
      <c r="H1084" s="44" t="str">
        <f>"  If Wert = " &amp; Tabelle7[[#This Row],[EnuValue]] &amp; " then Res = ""." &amp; Tabelle7[[#This Row],[EnuRohValue]] &amp; "."""</f>
        <v xml:space="preserve">  If Wert = sbeST_NOTDEFINED then Res = ".NOTDEFINED."</v>
      </c>
      <c r="I1084" s="44" t="str">
        <f>"  If wert = ""." &amp; Tabelle7[[#This Row],[EnuRohValue]] &amp; "."" Then Res = " &amp; Tabelle7[[#This Row],[EnuValue]]</f>
        <v xml:space="preserve">  If wert = ".NOTDEFINED." Then Res = sbeST_NOTDEFINED</v>
      </c>
    </row>
    <row r="1085" spans="2:9" x14ac:dyDescent="0.25">
      <c r="B1085" s="44">
        <v>1</v>
      </c>
      <c r="C1085" s="45" t="s">
        <v>1638</v>
      </c>
      <c r="D1085" s="44" t="s">
        <v>4533</v>
      </c>
      <c r="E1085" s="44" t="str">
        <f>VLOOKUP(Tabelle7[[#This Row],[EnumName]],Enum[[IFC-Name]:[Präfix]],5,FALSE)&amp;Tabelle7[[#This Row],[EnuRohValue]]</f>
        <v>utlS_READWRITE</v>
      </c>
      <c r="F1085" s="44">
        <f>COUNTIF(Tabelle7[EnuValue],Tabelle7[[#This Row],[EnuValue]])</f>
        <v>1</v>
      </c>
      <c r="G1085" s="44" t="str">
        <f xml:space="preserve"> "  " &amp; Tabelle7[[#This Row],[EnuValue]] &amp; " = " &amp; Tabelle7[[#This Row],[Wert]]</f>
        <v xml:space="preserve">  utlS_READWRITE = 1</v>
      </c>
      <c r="H1085" s="44" t="str">
        <f>"  If Wert = " &amp; Tabelle7[[#This Row],[EnuValue]] &amp; " then Res = ""." &amp; Tabelle7[[#This Row],[EnuRohValue]] &amp; "."""</f>
        <v xml:space="preserve">  If Wert = utlS_READWRITE then Res = ".READWRITE."</v>
      </c>
      <c r="I1085" s="44" t="str">
        <f>"  If wert = ""." &amp; Tabelle7[[#This Row],[EnuRohValue]] &amp; "."" Then Res = " &amp; Tabelle7[[#This Row],[EnuValue]]</f>
        <v xml:space="preserve">  If wert = ".READWRITE." Then Res = utlS_READWRITE</v>
      </c>
    </row>
    <row r="1086" spans="2:9" x14ac:dyDescent="0.25">
      <c r="B1086" s="44">
        <v>2</v>
      </c>
      <c r="C1086" s="45" t="s">
        <v>1638</v>
      </c>
      <c r="D1086" s="44" t="s">
        <v>4534</v>
      </c>
      <c r="E1086" s="44" t="str">
        <f>VLOOKUP(Tabelle7[[#This Row],[EnumName]],Enum[[IFC-Name]:[Präfix]],5,FALSE)&amp;Tabelle7[[#This Row],[EnuRohValue]]</f>
        <v>utlS_READONLY</v>
      </c>
      <c r="F1086" s="44">
        <f>COUNTIF(Tabelle7[EnuValue],Tabelle7[[#This Row],[EnuValue]])</f>
        <v>1</v>
      </c>
      <c r="G1086" s="44" t="str">
        <f xml:space="preserve"> "  " &amp; Tabelle7[[#This Row],[EnuValue]] &amp; " = " &amp; Tabelle7[[#This Row],[Wert]]</f>
        <v xml:space="preserve">  utlS_READONLY = 2</v>
      </c>
      <c r="H1086" s="44" t="str">
        <f>"  If Wert = " &amp; Tabelle7[[#This Row],[EnuValue]] &amp; " then Res = ""." &amp; Tabelle7[[#This Row],[EnuRohValue]] &amp; "."""</f>
        <v xml:space="preserve">  If Wert = utlS_READONLY then Res = ".READONLY."</v>
      </c>
      <c r="I1086" s="44" t="str">
        <f>"  If wert = ""." &amp; Tabelle7[[#This Row],[EnuRohValue]] &amp; "."" Then Res = " &amp; Tabelle7[[#This Row],[EnuValue]]</f>
        <v xml:space="preserve">  If wert = ".READONLY." Then Res = utlS_READONLY</v>
      </c>
    </row>
    <row r="1087" spans="2:9" x14ac:dyDescent="0.25">
      <c r="B1087" s="44">
        <v>3</v>
      </c>
      <c r="C1087" s="45" t="s">
        <v>1638</v>
      </c>
      <c r="D1087" s="44" t="s">
        <v>4535</v>
      </c>
      <c r="E1087" s="44" t="str">
        <f>VLOOKUP(Tabelle7[[#This Row],[EnumName]],Enum[[IFC-Name]:[Präfix]],5,FALSE)&amp;Tabelle7[[#This Row],[EnuRohValue]]</f>
        <v>utlS_LOCKED</v>
      </c>
      <c r="F1087" s="44">
        <f>COUNTIF(Tabelle7[EnuValue],Tabelle7[[#This Row],[EnuValue]])</f>
        <v>1</v>
      </c>
      <c r="G1087" s="44" t="str">
        <f xml:space="preserve"> "  " &amp; Tabelle7[[#This Row],[EnuValue]] &amp; " = " &amp; Tabelle7[[#This Row],[Wert]]</f>
        <v xml:space="preserve">  utlS_LOCKED = 3</v>
      </c>
      <c r="H1087" s="44" t="str">
        <f>"  If Wert = " &amp; Tabelle7[[#This Row],[EnuValue]] &amp; " then Res = ""." &amp; Tabelle7[[#This Row],[EnuRohValue]] &amp; "."""</f>
        <v xml:space="preserve">  If Wert = utlS_LOCKED then Res = ".LOCKED."</v>
      </c>
      <c r="I1087" s="44" t="str">
        <f>"  If wert = ""." &amp; Tabelle7[[#This Row],[EnuRohValue]] &amp; "."" Then Res = " &amp; Tabelle7[[#This Row],[EnuValue]]</f>
        <v xml:space="preserve">  If wert = ".LOCKED." Then Res = utlS_LOCKED</v>
      </c>
    </row>
    <row r="1088" spans="2:9" x14ac:dyDescent="0.25">
      <c r="B1088" s="44">
        <v>4</v>
      </c>
      <c r="C1088" s="45" t="s">
        <v>1638</v>
      </c>
      <c r="D1088" s="44" t="s">
        <v>4536</v>
      </c>
      <c r="E1088" s="44" t="str">
        <f>VLOOKUP(Tabelle7[[#This Row],[EnumName]],Enum[[IFC-Name]:[Präfix]],5,FALSE)&amp;Tabelle7[[#This Row],[EnuRohValue]]</f>
        <v>utlS_READWRITELOCKED</v>
      </c>
      <c r="F1088" s="44">
        <f>COUNTIF(Tabelle7[EnuValue],Tabelle7[[#This Row],[EnuValue]])</f>
        <v>1</v>
      </c>
      <c r="G1088" s="44" t="str">
        <f xml:space="preserve"> "  " &amp; Tabelle7[[#This Row],[EnuValue]] &amp; " = " &amp; Tabelle7[[#This Row],[Wert]]</f>
        <v xml:space="preserve">  utlS_READWRITELOCKED = 4</v>
      </c>
      <c r="H1088" s="44" t="str">
        <f>"  If Wert = " &amp; Tabelle7[[#This Row],[EnuValue]] &amp; " then Res = ""." &amp; Tabelle7[[#This Row],[EnuRohValue]] &amp; "."""</f>
        <v xml:space="preserve">  If Wert = utlS_READWRITELOCKED then Res = ".READWRITELOCKED."</v>
      </c>
      <c r="I1088" s="44" t="str">
        <f>"  If wert = ""." &amp; Tabelle7[[#This Row],[EnuRohValue]] &amp; "."" Then Res = " &amp; Tabelle7[[#This Row],[EnuValue]]</f>
        <v xml:space="preserve">  If wert = ".READWRITELOCKED." Then Res = utlS_READWRITELOCKED</v>
      </c>
    </row>
    <row r="1089" spans="2:9" x14ac:dyDescent="0.25">
      <c r="B1089" s="44">
        <v>5</v>
      </c>
      <c r="C1089" s="45" t="s">
        <v>1638</v>
      </c>
      <c r="D1089" s="44" t="s">
        <v>4537</v>
      </c>
      <c r="E1089" s="44" t="str">
        <f>VLOOKUP(Tabelle7[[#This Row],[EnumName]],Enum[[IFC-Name]:[Präfix]],5,FALSE)&amp;Tabelle7[[#This Row],[EnuRohValue]]</f>
        <v>utlS_READONLYLOCKED</v>
      </c>
      <c r="F1089" s="44">
        <f>COUNTIF(Tabelle7[EnuValue],Tabelle7[[#This Row],[EnuValue]])</f>
        <v>1</v>
      </c>
      <c r="G1089" s="44" t="str">
        <f xml:space="preserve"> "  " &amp; Tabelle7[[#This Row],[EnuValue]] &amp; " = " &amp; Tabelle7[[#This Row],[Wert]]</f>
        <v xml:space="preserve">  utlS_READONLYLOCKED = 5</v>
      </c>
      <c r="H1089" s="44" t="str">
        <f>"  If Wert = " &amp; Tabelle7[[#This Row],[EnuValue]] &amp; " then Res = ""." &amp; Tabelle7[[#This Row],[EnuRohValue]] &amp; "."""</f>
        <v xml:space="preserve">  If Wert = utlS_READONLYLOCKED then Res = ".READONLYLOCKED."</v>
      </c>
      <c r="I1089" s="44" t="str">
        <f>"  If wert = ""." &amp; Tabelle7[[#This Row],[EnuRohValue]] &amp; "."" Then Res = " &amp; Tabelle7[[#This Row],[EnuValue]]</f>
        <v xml:space="preserve">  If wert = ".READONLYLOCKED." Then Res = utlS_READONLYLOCKED</v>
      </c>
    </row>
    <row r="1090" spans="2:9" x14ac:dyDescent="0.25">
      <c r="B1090" s="44">
        <v>1</v>
      </c>
      <c r="C1090" s="45" t="s">
        <v>1639</v>
      </c>
      <c r="D1090" s="44" t="s">
        <v>4538</v>
      </c>
      <c r="E1090" s="44" t="str">
        <f>VLOOKUP(Tabelle7[[#This Row],[EnumName]],Enum[[IFC-Name]:[Präfix]],5,FALSE)&amp;Tabelle7[[#This Row],[EnuRohValue]]</f>
        <v>stcSCT_RIGID_JOINED_MEMBER</v>
      </c>
      <c r="F1090" s="44">
        <f>COUNTIF(Tabelle7[EnuValue],Tabelle7[[#This Row],[EnuValue]])</f>
        <v>1</v>
      </c>
      <c r="G1090" s="44" t="str">
        <f xml:space="preserve"> "  " &amp; Tabelle7[[#This Row],[EnuValue]] &amp; " = " &amp; Tabelle7[[#This Row],[Wert]]</f>
        <v xml:space="preserve">  stcSCT_RIGID_JOINED_MEMBER = 1</v>
      </c>
      <c r="H1090" s="44" t="str">
        <f>"  If Wert = " &amp; Tabelle7[[#This Row],[EnuValue]] &amp; " then Res = ""." &amp; Tabelle7[[#This Row],[EnuRohValue]] &amp; "."""</f>
        <v xml:space="preserve">  If Wert = stcSCT_RIGID_JOINED_MEMBER then Res = ".RIGID_JOINED_MEMBER."</v>
      </c>
      <c r="I1090" s="44" t="str">
        <f>"  If wert = ""." &amp; Tabelle7[[#This Row],[EnuRohValue]] &amp; "."" Then Res = " &amp; Tabelle7[[#This Row],[EnuValue]]</f>
        <v xml:space="preserve">  If wert = ".RIGID_JOINED_MEMBER." Then Res = stcSCT_RIGID_JOINED_MEMBER</v>
      </c>
    </row>
    <row r="1091" spans="2:9" x14ac:dyDescent="0.25">
      <c r="B1091" s="44">
        <v>2</v>
      </c>
      <c r="C1091" s="45" t="s">
        <v>1639</v>
      </c>
      <c r="D1091" s="44" t="s">
        <v>4539</v>
      </c>
      <c r="E1091" s="44" t="str">
        <f>VLOOKUP(Tabelle7[[#This Row],[EnumName]],Enum[[IFC-Name]:[Präfix]],5,FALSE)&amp;Tabelle7[[#This Row],[EnuRohValue]]</f>
        <v>stcSCT_PIN_JOINED_MEMBER</v>
      </c>
      <c r="F1091" s="44">
        <f>COUNTIF(Tabelle7[EnuValue],Tabelle7[[#This Row],[EnuValue]])</f>
        <v>1</v>
      </c>
      <c r="G1091" s="44" t="str">
        <f xml:space="preserve"> "  " &amp; Tabelle7[[#This Row],[EnuValue]] &amp; " = " &amp; Tabelle7[[#This Row],[Wert]]</f>
        <v xml:space="preserve">  stcSCT_PIN_JOINED_MEMBER = 2</v>
      </c>
      <c r="H1091" s="44" t="str">
        <f>"  If Wert = " &amp; Tabelle7[[#This Row],[EnuValue]] &amp; " then Res = ""." &amp; Tabelle7[[#This Row],[EnuRohValue]] &amp; "."""</f>
        <v xml:space="preserve">  If Wert = stcSCT_PIN_JOINED_MEMBER then Res = ".PIN_JOINED_MEMBER."</v>
      </c>
      <c r="I1091" s="44" t="str">
        <f>"  If wert = ""." &amp; Tabelle7[[#This Row],[EnuRohValue]] &amp; "."" Then Res = " &amp; Tabelle7[[#This Row],[EnuValue]]</f>
        <v xml:space="preserve">  If wert = ".PIN_JOINED_MEMBER." Then Res = stcSCT_PIN_JOINED_MEMBER</v>
      </c>
    </row>
    <row r="1092" spans="2:9" x14ac:dyDescent="0.25">
      <c r="B1092" s="44">
        <v>3</v>
      </c>
      <c r="C1092" s="45" t="s">
        <v>1639</v>
      </c>
      <c r="D1092" s="44" t="s">
        <v>4540</v>
      </c>
      <c r="E1092" s="44" t="str">
        <f>VLOOKUP(Tabelle7[[#This Row],[EnumName]],Enum[[IFC-Name]:[Präfix]],5,FALSE)&amp;Tabelle7[[#This Row],[EnuRohValue]]</f>
        <v>stcSCT_CABLE</v>
      </c>
      <c r="F1092" s="44">
        <f>COUNTIF(Tabelle7[EnuValue],Tabelle7[[#This Row],[EnuValue]])</f>
        <v>1</v>
      </c>
      <c r="G1092" s="44" t="str">
        <f xml:space="preserve"> "  " &amp; Tabelle7[[#This Row],[EnuValue]] &amp; " = " &amp; Tabelle7[[#This Row],[Wert]]</f>
        <v xml:space="preserve">  stcSCT_CABLE = 3</v>
      </c>
      <c r="H1092" s="44" t="str">
        <f>"  If Wert = " &amp; Tabelle7[[#This Row],[EnuValue]] &amp; " then Res = ""." &amp; Tabelle7[[#This Row],[EnuRohValue]] &amp; "."""</f>
        <v xml:space="preserve">  If Wert = stcSCT_CABLE then Res = ".CABLE."</v>
      </c>
      <c r="I1092" s="44" t="str">
        <f>"  If wert = ""." &amp; Tabelle7[[#This Row],[EnuRohValue]] &amp; "."" Then Res = " &amp; Tabelle7[[#This Row],[EnuValue]]</f>
        <v xml:space="preserve">  If wert = ".CABLE." Then Res = stcSCT_CABLE</v>
      </c>
    </row>
    <row r="1093" spans="2:9" x14ac:dyDescent="0.25">
      <c r="B1093" s="44">
        <v>4</v>
      </c>
      <c r="C1093" s="45" t="s">
        <v>1639</v>
      </c>
      <c r="D1093" s="44" t="s">
        <v>4541</v>
      </c>
      <c r="E1093" s="44" t="str">
        <f>VLOOKUP(Tabelle7[[#This Row],[EnumName]],Enum[[IFC-Name]:[Präfix]],5,FALSE)&amp;Tabelle7[[#This Row],[EnuRohValue]]</f>
        <v>stcSCT_TENSION_MEMBER</v>
      </c>
      <c r="F1093" s="44">
        <f>COUNTIF(Tabelle7[EnuValue],Tabelle7[[#This Row],[EnuValue]])</f>
        <v>1</v>
      </c>
      <c r="G1093" s="44" t="str">
        <f xml:space="preserve"> "  " &amp; Tabelle7[[#This Row],[EnuValue]] &amp; " = " &amp; Tabelle7[[#This Row],[Wert]]</f>
        <v xml:space="preserve">  stcSCT_TENSION_MEMBER = 4</v>
      </c>
      <c r="H1093" s="44" t="str">
        <f>"  If Wert = " &amp; Tabelle7[[#This Row],[EnuValue]] &amp; " then Res = ""." &amp; Tabelle7[[#This Row],[EnuRohValue]] &amp; "."""</f>
        <v xml:space="preserve">  If Wert = stcSCT_TENSION_MEMBER then Res = ".TENSION_MEMBER."</v>
      </c>
      <c r="I1093" s="44" t="str">
        <f>"  If wert = ""." &amp; Tabelle7[[#This Row],[EnuRohValue]] &amp; "."" Then Res = " &amp; Tabelle7[[#This Row],[EnuValue]]</f>
        <v xml:space="preserve">  If wert = ".TENSION_MEMBER." Then Res = stcSCT_TENSION_MEMBER</v>
      </c>
    </row>
    <row r="1094" spans="2:9" x14ac:dyDescent="0.25">
      <c r="B1094" s="44">
        <v>5</v>
      </c>
      <c r="C1094" s="45" t="s">
        <v>1639</v>
      </c>
      <c r="D1094" s="44" t="s">
        <v>4542</v>
      </c>
      <c r="E1094" s="44" t="str">
        <f>VLOOKUP(Tabelle7[[#This Row],[EnumName]],Enum[[IFC-Name]:[Präfix]],5,FALSE)&amp;Tabelle7[[#This Row],[EnuRohValue]]</f>
        <v>stcSCT_COMPRESSION_MEMBER</v>
      </c>
      <c r="F1094" s="44">
        <f>COUNTIF(Tabelle7[EnuValue],Tabelle7[[#This Row],[EnuValue]])</f>
        <v>1</v>
      </c>
      <c r="G1094" s="44" t="str">
        <f xml:space="preserve"> "  " &amp; Tabelle7[[#This Row],[EnuValue]] &amp; " = " &amp; Tabelle7[[#This Row],[Wert]]</f>
        <v xml:space="preserve">  stcSCT_COMPRESSION_MEMBER = 5</v>
      </c>
      <c r="H1094" s="44" t="str">
        <f>"  If Wert = " &amp; Tabelle7[[#This Row],[EnuValue]] &amp; " then Res = ""." &amp; Tabelle7[[#This Row],[EnuRohValue]] &amp; "."""</f>
        <v xml:space="preserve">  If Wert = stcSCT_COMPRESSION_MEMBER then Res = ".COMPRESSION_MEMBER."</v>
      </c>
      <c r="I1094" s="44" t="str">
        <f>"  If wert = ""." &amp; Tabelle7[[#This Row],[EnuRohValue]] &amp; "."" Then Res = " &amp; Tabelle7[[#This Row],[EnuValue]]</f>
        <v xml:space="preserve">  If wert = ".COMPRESSION_MEMBER." Then Res = stcSCT_COMPRESSION_MEMBER</v>
      </c>
    </row>
    <row r="1095" spans="2:9" x14ac:dyDescent="0.25">
      <c r="B1095" s="44">
        <v>6</v>
      </c>
      <c r="C1095" s="45" t="s">
        <v>1639</v>
      </c>
      <c r="D1095" s="44" t="s">
        <v>3682</v>
      </c>
      <c r="E1095" s="44" t="str">
        <f>VLOOKUP(Tabelle7[[#This Row],[EnumName]],Enum[[IFC-Name]:[Präfix]],5,FALSE)&amp;Tabelle7[[#This Row],[EnuRohValue]]</f>
        <v>stcSCT_USERDEFINED</v>
      </c>
      <c r="F1095" s="44">
        <f>COUNTIF(Tabelle7[EnuValue],Tabelle7[[#This Row],[EnuValue]])</f>
        <v>1</v>
      </c>
      <c r="G1095" s="44" t="str">
        <f xml:space="preserve"> "  " &amp; Tabelle7[[#This Row],[EnuValue]] &amp; " = " &amp; Tabelle7[[#This Row],[Wert]]</f>
        <v xml:space="preserve">  stcSCT_USERDEFINED = 6</v>
      </c>
      <c r="H1095" s="44" t="str">
        <f>"  If Wert = " &amp; Tabelle7[[#This Row],[EnuValue]] &amp; " then Res = ""." &amp; Tabelle7[[#This Row],[EnuRohValue]] &amp; "."""</f>
        <v xml:space="preserve">  If Wert = stcSCT_USERDEFINED then Res = ".USERDEFINED."</v>
      </c>
      <c r="I1095" s="44" t="str">
        <f>"  If wert = ""." &amp; Tabelle7[[#This Row],[EnuRohValue]] &amp; "."" Then Res = " &amp; Tabelle7[[#This Row],[EnuValue]]</f>
        <v xml:space="preserve">  If wert = ".USERDEFINED." Then Res = stcSCT_USERDEFINED</v>
      </c>
    </row>
    <row r="1096" spans="2:9" x14ac:dyDescent="0.25">
      <c r="B1096" s="44">
        <v>7</v>
      </c>
      <c r="C1096" s="45" t="s">
        <v>1639</v>
      </c>
      <c r="D1096" s="44" t="s">
        <v>3683</v>
      </c>
      <c r="E1096" s="44" t="str">
        <f>VLOOKUP(Tabelle7[[#This Row],[EnumName]],Enum[[IFC-Name]:[Präfix]],5,FALSE)&amp;Tabelle7[[#This Row],[EnuRohValue]]</f>
        <v>stcSCT_NOTDEFINED</v>
      </c>
      <c r="F1096" s="44">
        <f>COUNTIF(Tabelle7[EnuValue],Tabelle7[[#This Row],[EnuValue]])</f>
        <v>1</v>
      </c>
      <c r="G1096" s="44" t="str">
        <f xml:space="preserve"> "  " &amp; Tabelle7[[#This Row],[EnuValue]] &amp; " = " &amp; Tabelle7[[#This Row],[Wert]]</f>
        <v xml:space="preserve">  stcSCT_NOTDEFINED = 7</v>
      </c>
      <c r="H1096" s="44" t="str">
        <f>"  If Wert = " &amp; Tabelle7[[#This Row],[EnuValue]] &amp; " then Res = ""." &amp; Tabelle7[[#This Row],[EnuRohValue]] &amp; "."""</f>
        <v xml:space="preserve">  If Wert = stcSCT_NOTDEFINED then Res = ".NOTDEFINED."</v>
      </c>
      <c r="I1096" s="44" t="str">
        <f>"  If wert = ""." &amp; Tabelle7[[#This Row],[EnuRohValue]] &amp; "."" Then Res = " &amp; Tabelle7[[#This Row],[EnuValue]]</f>
        <v xml:space="preserve">  If wert = ".NOTDEFINED." Then Res = stcSCT_NOTDEFINED</v>
      </c>
    </row>
    <row r="1097" spans="2:9" x14ac:dyDescent="0.25">
      <c r="B1097" s="44">
        <v>1</v>
      </c>
      <c r="C1097" s="45" t="s">
        <v>1640</v>
      </c>
      <c r="D1097" s="44" t="s">
        <v>4543</v>
      </c>
      <c r="E1097" s="44" t="str">
        <f>VLOOKUP(Tabelle7[[#This Row],[EnumName]],Enum[[IFC-Name]:[Präfix]],5,FALSE)&amp;Tabelle7[[#This Row],[EnuRohValue]]</f>
        <v>stcSST_BENDING_ELEMENT</v>
      </c>
      <c r="F1097" s="44">
        <f>COUNTIF(Tabelle7[EnuValue],Tabelle7[[#This Row],[EnuValue]])</f>
        <v>1</v>
      </c>
      <c r="G1097" s="44" t="str">
        <f xml:space="preserve"> "  " &amp; Tabelle7[[#This Row],[EnuValue]] &amp; " = " &amp; Tabelle7[[#This Row],[Wert]]</f>
        <v xml:space="preserve">  stcSST_BENDING_ELEMENT = 1</v>
      </c>
      <c r="H1097" s="44" t="str">
        <f>"  If Wert = " &amp; Tabelle7[[#This Row],[EnuValue]] &amp; " then Res = ""." &amp; Tabelle7[[#This Row],[EnuRohValue]] &amp; "."""</f>
        <v xml:space="preserve">  If Wert = stcSST_BENDING_ELEMENT then Res = ".BENDING_ELEMENT."</v>
      </c>
      <c r="I1097" s="44" t="str">
        <f>"  If wert = ""." &amp; Tabelle7[[#This Row],[EnuRohValue]] &amp; "."" Then Res = " &amp; Tabelle7[[#This Row],[EnuValue]]</f>
        <v xml:space="preserve">  If wert = ".BENDING_ELEMENT." Then Res = stcSST_BENDING_ELEMENT</v>
      </c>
    </row>
    <row r="1098" spans="2:9" x14ac:dyDescent="0.25">
      <c r="B1098" s="44">
        <v>2</v>
      </c>
      <c r="C1098" s="45" t="s">
        <v>1640</v>
      </c>
      <c r="D1098" s="44" t="s">
        <v>4544</v>
      </c>
      <c r="E1098" s="44" t="str">
        <f>VLOOKUP(Tabelle7[[#This Row],[EnumName]],Enum[[IFC-Name]:[Präfix]],5,FALSE)&amp;Tabelle7[[#This Row],[EnuRohValue]]</f>
        <v>stcSST_MEMBRANE_ELEMENT</v>
      </c>
      <c r="F1098" s="44">
        <f>COUNTIF(Tabelle7[EnuValue],Tabelle7[[#This Row],[EnuValue]])</f>
        <v>1</v>
      </c>
      <c r="G1098" s="44" t="str">
        <f xml:space="preserve"> "  " &amp; Tabelle7[[#This Row],[EnuValue]] &amp; " = " &amp; Tabelle7[[#This Row],[Wert]]</f>
        <v xml:space="preserve">  stcSST_MEMBRANE_ELEMENT = 2</v>
      </c>
      <c r="H1098" s="44" t="str">
        <f>"  If Wert = " &amp; Tabelle7[[#This Row],[EnuValue]] &amp; " then Res = ""." &amp; Tabelle7[[#This Row],[EnuRohValue]] &amp; "."""</f>
        <v xml:space="preserve">  If Wert = stcSST_MEMBRANE_ELEMENT then Res = ".MEMBRANE_ELEMENT."</v>
      </c>
      <c r="I1098" s="44" t="str">
        <f>"  If wert = ""." &amp; Tabelle7[[#This Row],[EnuRohValue]] &amp; "."" Then Res = " &amp; Tabelle7[[#This Row],[EnuValue]]</f>
        <v xml:space="preserve">  If wert = ".MEMBRANE_ELEMENT." Then Res = stcSST_MEMBRANE_ELEMENT</v>
      </c>
    </row>
    <row r="1099" spans="2:9" x14ac:dyDescent="0.25">
      <c r="B1099" s="44">
        <v>3</v>
      </c>
      <c r="C1099" s="45" t="s">
        <v>1640</v>
      </c>
      <c r="D1099" s="44" t="s">
        <v>4545</v>
      </c>
      <c r="E1099" s="44" t="str">
        <f>VLOOKUP(Tabelle7[[#This Row],[EnumName]],Enum[[IFC-Name]:[Präfix]],5,FALSE)&amp;Tabelle7[[#This Row],[EnuRohValue]]</f>
        <v>stcSST_SHELL</v>
      </c>
      <c r="F1099" s="44">
        <f>COUNTIF(Tabelle7[EnuValue],Tabelle7[[#This Row],[EnuValue]])</f>
        <v>1</v>
      </c>
      <c r="G1099" s="44" t="str">
        <f xml:space="preserve"> "  " &amp; Tabelle7[[#This Row],[EnuValue]] &amp; " = " &amp; Tabelle7[[#This Row],[Wert]]</f>
        <v xml:space="preserve">  stcSST_SHELL = 3</v>
      </c>
      <c r="H1099" s="44" t="str">
        <f>"  If Wert = " &amp; Tabelle7[[#This Row],[EnuValue]] &amp; " then Res = ""." &amp; Tabelle7[[#This Row],[EnuRohValue]] &amp; "."""</f>
        <v xml:space="preserve">  If Wert = stcSST_SHELL then Res = ".SHELL."</v>
      </c>
      <c r="I1099" s="44" t="str">
        <f>"  If wert = ""." &amp; Tabelle7[[#This Row],[EnuRohValue]] &amp; "."" Then Res = " &amp; Tabelle7[[#This Row],[EnuValue]]</f>
        <v xml:space="preserve">  If wert = ".SHELL." Then Res = stcSST_SHELL</v>
      </c>
    </row>
    <row r="1100" spans="2:9" x14ac:dyDescent="0.25">
      <c r="B1100" s="44">
        <v>4</v>
      </c>
      <c r="C1100" s="45" t="s">
        <v>1640</v>
      </c>
      <c r="D1100" s="44" t="s">
        <v>3682</v>
      </c>
      <c r="E1100" s="44" t="str">
        <f>VLOOKUP(Tabelle7[[#This Row],[EnumName]],Enum[[IFC-Name]:[Präfix]],5,FALSE)&amp;Tabelle7[[#This Row],[EnuRohValue]]</f>
        <v>stcSST_USERDEFINED</v>
      </c>
      <c r="F1100" s="44">
        <f>COUNTIF(Tabelle7[EnuValue],Tabelle7[[#This Row],[EnuValue]])</f>
        <v>1</v>
      </c>
      <c r="G1100" s="44" t="str">
        <f xml:space="preserve"> "  " &amp; Tabelle7[[#This Row],[EnuValue]] &amp; " = " &amp; Tabelle7[[#This Row],[Wert]]</f>
        <v xml:space="preserve">  stcSST_USERDEFINED = 4</v>
      </c>
      <c r="H1100" s="44" t="str">
        <f>"  If Wert = " &amp; Tabelle7[[#This Row],[EnuValue]] &amp; " then Res = ""." &amp; Tabelle7[[#This Row],[EnuRohValue]] &amp; "."""</f>
        <v xml:space="preserve">  If Wert = stcSST_USERDEFINED then Res = ".USERDEFINED."</v>
      </c>
      <c r="I1100" s="44" t="str">
        <f>"  If wert = ""." &amp; Tabelle7[[#This Row],[EnuRohValue]] &amp; "."" Then Res = " &amp; Tabelle7[[#This Row],[EnuValue]]</f>
        <v xml:space="preserve">  If wert = ".USERDEFINED." Then Res = stcSST_USERDEFINED</v>
      </c>
    </row>
    <row r="1101" spans="2:9" x14ac:dyDescent="0.25">
      <c r="B1101" s="44">
        <v>5</v>
      </c>
      <c r="C1101" s="45" t="s">
        <v>1640</v>
      </c>
      <c r="D1101" s="44" t="s">
        <v>3683</v>
      </c>
      <c r="E1101" s="44" t="str">
        <f>VLOOKUP(Tabelle7[[#This Row],[EnumName]],Enum[[IFC-Name]:[Präfix]],5,FALSE)&amp;Tabelle7[[#This Row],[EnuRohValue]]</f>
        <v>stcSST_NOTDEFINED</v>
      </c>
      <c r="F1101" s="44">
        <f>COUNTIF(Tabelle7[EnuValue],Tabelle7[[#This Row],[EnuValue]])</f>
        <v>1</v>
      </c>
      <c r="G1101" s="44" t="str">
        <f xml:space="preserve"> "  " &amp; Tabelle7[[#This Row],[EnuValue]] &amp; " = " &amp; Tabelle7[[#This Row],[Wert]]</f>
        <v xml:space="preserve">  stcSST_NOTDEFINED = 5</v>
      </c>
      <c r="H1101" s="44" t="str">
        <f>"  If Wert = " &amp; Tabelle7[[#This Row],[EnuValue]] &amp; " then Res = ""." &amp; Tabelle7[[#This Row],[EnuRohValue]] &amp; "."""</f>
        <v xml:space="preserve">  If Wert = stcSST_NOTDEFINED then Res = ".NOTDEFINED."</v>
      </c>
      <c r="I1101" s="44" t="str">
        <f>"  If wert = ""." &amp; Tabelle7[[#This Row],[EnuRohValue]] &amp; "."" Then Res = " &amp; Tabelle7[[#This Row],[EnuValue]]</f>
        <v xml:space="preserve">  If wert = ".NOTDEFINED." Then Res = stcSST_NOTDEFINED</v>
      </c>
    </row>
    <row r="1102" spans="2:9" x14ac:dyDescent="0.25">
      <c r="B1102" s="44">
        <v>1</v>
      </c>
      <c r="C1102" s="45" t="s">
        <v>1641</v>
      </c>
      <c r="D1102" s="44" t="s">
        <v>4011</v>
      </c>
      <c r="E1102" s="44" t="str">
        <f>VLOOKUP(Tabelle7[[#This Row],[EnumName]],Enum[[IFC-Name]:[Präfix]],5,FALSE)&amp;Tabelle7[[#This Row],[EnuRohValue]]</f>
        <v>repSS_POSITIVE</v>
      </c>
      <c r="F1102" s="44">
        <f>COUNTIF(Tabelle7[EnuValue],Tabelle7[[#This Row],[EnuValue]])</f>
        <v>1</v>
      </c>
      <c r="G1102" s="44" t="str">
        <f xml:space="preserve"> "  " &amp; Tabelle7[[#This Row],[EnuValue]] &amp; " = " &amp; Tabelle7[[#This Row],[Wert]]</f>
        <v xml:space="preserve">  repSS_POSITIVE = 1</v>
      </c>
      <c r="H1102" s="44" t="str">
        <f>"  If Wert = " &amp; Tabelle7[[#This Row],[EnuValue]] &amp; " then Res = ""." &amp; Tabelle7[[#This Row],[EnuRohValue]] &amp; "."""</f>
        <v xml:space="preserve">  If Wert = repSS_POSITIVE then Res = ".POSITIVE."</v>
      </c>
      <c r="I1102" s="44" t="str">
        <f>"  If wert = ""." &amp; Tabelle7[[#This Row],[EnuRohValue]] &amp; "."" Then Res = " &amp; Tabelle7[[#This Row],[EnuValue]]</f>
        <v xml:space="preserve">  If wert = ".POSITIVE." Then Res = repSS_POSITIVE</v>
      </c>
    </row>
    <row r="1103" spans="2:9" x14ac:dyDescent="0.25">
      <c r="B1103" s="44">
        <v>2</v>
      </c>
      <c r="C1103" s="45" t="s">
        <v>1641</v>
      </c>
      <c r="D1103" s="44" t="s">
        <v>4012</v>
      </c>
      <c r="E1103" s="44" t="str">
        <f>VLOOKUP(Tabelle7[[#This Row],[EnumName]],Enum[[IFC-Name]:[Präfix]],5,FALSE)&amp;Tabelle7[[#This Row],[EnuRohValue]]</f>
        <v>repSS_NEGATIVE</v>
      </c>
      <c r="F1103" s="44">
        <f>COUNTIF(Tabelle7[EnuValue],Tabelle7[[#This Row],[EnuValue]])</f>
        <v>1</v>
      </c>
      <c r="G1103" s="44" t="str">
        <f xml:space="preserve"> "  " &amp; Tabelle7[[#This Row],[EnuValue]] &amp; " = " &amp; Tabelle7[[#This Row],[Wert]]</f>
        <v xml:space="preserve">  repSS_NEGATIVE = 2</v>
      </c>
      <c r="H1103" s="44" t="str">
        <f>"  If Wert = " &amp; Tabelle7[[#This Row],[EnuValue]] &amp; " then Res = ""." &amp; Tabelle7[[#This Row],[EnuRohValue]] &amp; "."""</f>
        <v xml:space="preserve">  If Wert = repSS_NEGATIVE then Res = ".NEGATIVE."</v>
      </c>
      <c r="I1103" s="44" t="str">
        <f>"  If wert = ""." &amp; Tabelle7[[#This Row],[EnuRohValue]] &amp; "."" Then Res = " &amp; Tabelle7[[#This Row],[EnuValue]]</f>
        <v xml:space="preserve">  If wert = ".NEGATIVE." Then Res = repSS_NEGATIVE</v>
      </c>
    </row>
    <row r="1104" spans="2:9" x14ac:dyDescent="0.25">
      <c r="B1104" s="44">
        <v>3</v>
      </c>
      <c r="C1104" s="45" t="s">
        <v>1641</v>
      </c>
      <c r="D1104" s="44" t="s">
        <v>4546</v>
      </c>
      <c r="E1104" s="44" t="str">
        <f>VLOOKUP(Tabelle7[[#This Row],[EnumName]],Enum[[IFC-Name]:[Präfix]],5,FALSE)&amp;Tabelle7[[#This Row],[EnuRohValue]]</f>
        <v>repSS_BOTH</v>
      </c>
      <c r="F1104" s="44">
        <f>COUNTIF(Tabelle7[EnuValue],Tabelle7[[#This Row],[EnuValue]])</f>
        <v>1</v>
      </c>
      <c r="G1104" s="44" t="str">
        <f xml:space="preserve"> "  " &amp; Tabelle7[[#This Row],[EnuValue]] &amp; " = " &amp; Tabelle7[[#This Row],[Wert]]</f>
        <v xml:space="preserve">  repSS_BOTH = 3</v>
      </c>
      <c r="H1104" s="44" t="str">
        <f>"  If Wert = " &amp; Tabelle7[[#This Row],[EnuValue]] &amp; " then Res = ""." &amp; Tabelle7[[#This Row],[EnuRohValue]] &amp; "."""</f>
        <v xml:space="preserve">  If Wert = repSS_BOTH then Res = ".BOTH."</v>
      </c>
      <c r="I1104" s="44" t="str">
        <f>"  If wert = ""." &amp; Tabelle7[[#This Row],[EnuRohValue]] &amp; "."" Then Res = " &amp; Tabelle7[[#This Row],[EnuValue]]</f>
        <v xml:space="preserve">  If wert = ".BOTH." Then Res = repSS_BOTH</v>
      </c>
    </row>
    <row r="1105" spans="2:9" x14ac:dyDescent="0.25">
      <c r="B1105" s="44">
        <v>1</v>
      </c>
      <c r="C1105" s="45" t="s">
        <v>1642</v>
      </c>
      <c r="D1105" s="44" t="s">
        <v>4547</v>
      </c>
      <c r="E1105" s="44" t="str">
        <f>VLOOKUP(Tabelle7[[#This Row],[EnumName]],Enum[[IFC-Name]:[Präfix]],5,FALSE)&amp;Tabelle7[[#This Row],[EnuRohValue]]</f>
        <v>repST_BUMP</v>
      </c>
      <c r="F1105" s="44">
        <f>COUNTIF(Tabelle7[EnuValue],Tabelle7[[#This Row],[EnuValue]])</f>
        <v>1</v>
      </c>
      <c r="G1105" s="44" t="str">
        <f xml:space="preserve"> "  " &amp; Tabelle7[[#This Row],[EnuValue]] &amp; " = " &amp; Tabelle7[[#This Row],[Wert]]</f>
        <v xml:space="preserve">  repST_BUMP = 1</v>
      </c>
      <c r="H1105" s="44" t="str">
        <f>"  If Wert = " &amp; Tabelle7[[#This Row],[EnuValue]] &amp; " then Res = ""." &amp; Tabelle7[[#This Row],[EnuRohValue]] &amp; "."""</f>
        <v xml:space="preserve">  If Wert = repST_BUMP then Res = ".BUMP."</v>
      </c>
      <c r="I1105" s="44" t="str">
        <f>"  If wert = ""." &amp; Tabelle7[[#This Row],[EnuRohValue]] &amp; "."" Then Res = " &amp; Tabelle7[[#This Row],[EnuValue]]</f>
        <v xml:space="preserve">  If wert = ".BUMP." Then Res = repST_BUMP</v>
      </c>
    </row>
    <row r="1106" spans="2:9" x14ac:dyDescent="0.25">
      <c r="B1106" s="44">
        <v>2</v>
      </c>
      <c r="C1106" s="45" t="s">
        <v>1642</v>
      </c>
      <c r="D1106" s="44" t="s">
        <v>4548</v>
      </c>
      <c r="E1106" s="44" t="str">
        <f>VLOOKUP(Tabelle7[[#This Row],[EnumName]],Enum[[IFC-Name]:[Präfix]],5,FALSE)&amp;Tabelle7[[#This Row],[EnuRohValue]]</f>
        <v>repST_OPACITY</v>
      </c>
      <c r="F1106" s="44">
        <f>COUNTIF(Tabelle7[EnuValue],Tabelle7[[#This Row],[EnuValue]])</f>
        <v>1</v>
      </c>
      <c r="G1106" s="44" t="str">
        <f xml:space="preserve"> "  " &amp; Tabelle7[[#This Row],[EnuValue]] &amp; " = " &amp; Tabelle7[[#This Row],[Wert]]</f>
        <v xml:space="preserve">  repST_OPACITY = 2</v>
      </c>
      <c r="H1106" s="44" t="str">
        <f>"  If Wert = " &amp; Tabelle7[[#This Row],[EnuValue]] &amp; " then Res = ""." &amp; Tabelle7[[#This Row],[EnuRohValue]] &amp; "."""</f>
        <v xml:space="preserve">  If Wert = repST_OPACITY then Res = ".OPACITY."</v>
      </c>
      <c r="I1106" s="44" t="str">
        <f>"  If wert = ""." &amp; Tabelle7[[#This Row],[EnuRohValue]] &amp; "."" Then Res = " &amp; Tabelle7[[#This Row],[EnuValue]]</f>
        <v xml:space="preserve">  If wert = ".OPACITY." Then Res = repST_OPACITY</v>
      </c>
    </row>
    <row r="1107" spans="2:9" x14ac:dyDescent="0.25">
      <c r="B1107" s="44">
        <v>3</v>
      </c>
      <c r="C1107" s="45" t="s">
        <v>1642</v>
      </c>
      <c r="D1107" s="44" t="s">
        <v>4549</v>
      </c>
      <c r="E1107" s="44" t="str">
        <f>VLOOKUP(Tabelle7[[#This Row],[EnumName]],Enum[[IFC-Name]:[Präfix]],5,FALSE)&amp;Tabelle7[[#This Row],[EnuRohValue]]</f>
        <v>repST_REFLECTION</v>
      </c>
      <c r="F1107" s="44">
        <f>COUNTIF(Tabelle7[EnuValue],Tabelle7[[#This Row],[EnuValue]])</f>
        <v>1</v>
      </c>
      <c r="G1107" s="44" t="str">
        <f xml:space="preserve"> "  " &amp; Tabelle7[[#This Row],[EnuValue]] &amp; " = " &amp; Tabelle7[[#This Row],[Wert]]</f>
        <v xml:space="preserve">  repST_REFLECTION = 3</v>
      </c>
      <c r="H1107" s="44" t="str">
        <f>"  If Wert = " &amp; Tabelle7[[#This Row],[EnuValue]] &amp; " then Res = ""." &amp; Tabelle7[[#This Row],[EnuRohValue]] &amp; "."""</f>
        <v xml:space="preserve">  If Wert = repST_REFLECTION then Res = ".REFLECTION."</v>
      </c>
      <c r="I1107" s="44" t="str">
        <f>"  If wert = ""." &amp; Tabelle7[[#This Row],[EnuRohValue]] &amp; "."" Then Res = " &amp; Tabelle7[[#This Row],[EnuValue]]</f>
        <v xml:space="preserve">  If wert = ".REFLECTION." Then Res = repST_REFLECTION</v>
      </c>
    </row>
    <row r="1108" spans="2:9" x14ac:dyDescent="0.25">
      <c r="B1108" s="44">
        <v>4</v>
      </c>
      <c r="C1108" s="45" t="s">
        <v>1642</v>
      </c>
      <c r="D1108" s="44" t="s">
        <v>4550</v>
      </c>
      <c r="E1108" s="44" t="str">
        <f>VLOOKUP(Tabelle7[[#This Row],[EnumName]],Enum[[IFC-Name]:[Präfix]],5,FALSE)&amp;Tabelle7[[#This Row],[EnuRohValue]]</f>
        <v>repST_SELFILLUMINATION</v>
      </c>
      <c r="F1108" s="44">
        <f>COUNTIF(Tabelle7[EnuValue],Tabelle7[[#This Row],[EnuValue]])</f>
        <v>1</v>
      </c>
      <c r="G1108" s="44" t="str">
        <f xml:space="preserve"> "  " &amp; Tabelle7[[#This Row],[EnuValue]] &amp; " = " &amp; Tabelle7[[#This Row],[Wert]]</f>
        <v xml:space="preserve">  repST_SELFILLUMINATION = 4</v>
      </c>
      <c r="H1108" s="44" t="str">
        <f>"  If Wert = " &amp; Tabelle7[[#This Row],[EnuValue]] &amp; " then Res = ""." &amp; Tabelle7[[#This Row],[EnuRohValue]] &amp; "."""</f>
        <v xml:space="preserve">  If Wert = repST_SELFILLUMINATION then Res = ".SELFILLUMINATION."</v>
      </c>
      <c r="I1108" s="44" t="str">
        <f>"  If wert = ""." &amp; Tabelle7[[#This Row],[EnuRohValue]] &amp; "."" Then Res = " &amp; Tabelle7[[#This Row],[EnuValue]]</f>
        <v xml:space="preserve">  If wert = ".SELFILLUMINATION." Then Res = repST_SELFILLUMINATION</v>
      </c>
    </row>
    <row r="1109" spans="2:9" x14ac:dyDescent="0.25">
      <c r="B1109" s="44">
        <v>5</v>
      </c>
      <c r="C1109" s="45" t="s">
        <v>1642</v>
      </c>
      <c r="D1109" s="44" t="s">
        <v>4551</v>
      </c>
      <c r="E1109" s="44" t="str">
        <f>VLOOKUP(Tabelle7[[#This Row],[EnumName]],Enum[[IFC-Name]:[Präfix]],5,FALSE)&amp;Tabelle7[[#This Row],[EnuRohValue]]</f>
        <v>repST_SHININESS</v>
      </c>
      <c r="F1109" s="44">
        <f>COUNTIF(Tabelle7[EnuValue],Tabelle7[[#This Row],[EnuValue]])</f>
        <v>1</v>
      </c>
      <c r="G1109" s="44" t="str">
        <f xml:space="preserve"> "  " &amp; Tabelle7[[#This Row],[EnuValue]] &amp; " = " &amp; Tabelle7[[#This Row],[Wert]]</f>
        <v xml:space="preserve">  repST_SHININESS = 5</v>
      </c>
      <c r="H1109" s="44" t="str">
        <f>"  If Wert = " &amp; Tabelle7[[#This Row],[EnuValue]] &amp; " then Res = ""." &amp; Tabelle7[[#This Row],[EnuRohValue]] &amp; "."""</f>
        <v xml:space="preserve">  If Wert = repST_SHININESS then Res = ".SHININESS."</v>
      </c>
      <c r="I1109" s="44" t="str">
        <f>"  If wert = ""." &amp; Tabelle7[[#This Row],[EnuRohValue]] &amp; "."" Then Res = " &amp; Tabelle7[[#This Row],[EnuValue]]</f>
        <v xml:space="preserve">  If wert = ".SHININESS." Then Res = repST_SHININESS</v>
      </c>
    </row>
    <row r="1110" spans="2:9" x14ac:dyDescent="0.25">
      <c r="B1110" s="44">
        <v>6</v>
      </c>
      <c r="C1110" s="45" t="s">
        <v>1642</v>
      </c>
      <c r="D1110" s="44" t="s">
        <v>4552</v>
      </c>
      <c r="E1110" s="44" t="str">
        <f>VLOOKUP(Tabelle7[[#This Row],[EnumName]],Enum[[IFC-Name]:[Präfix]],5,FALSE)&amp;Tabelle7[[#This Row],[EnuRohValue]]</f>
        <v>repST_SPECULAR</v>
      </c>
      <c r="F1110" s="44">
        <f>COUNTIF(Tabelle7[EnuValue],Tabelle7[[#This Row],[EnuValue]])</f>
        <v>1</v>
      </c>
      <c r="G1110" s="44" t="str">
        <f xml:space="preserve"> "  " &amp; Tabelle7[[#This Row],[EnuValue]] &amp; " = " &amp; Tabelle7[[#This Row],[Wert]]</f>
        <v xml:space="preserve">  repST_SPECULAR = 6</v>
      </c>
      <c r="H1110" s="44" t="str">
        <f>"  If Wert = " &amp; Tabelle7[[#This Row],[EnuValue]] &amp; " then Res = ""." &amp; Tabelle7[[#This Row],[EnuRohValue]] &amp; "."""</f>
        <v xml:space="preserve">  If Wert = repST_SPECULAR then Res = ".SPECULAR."</v>
      </c>
      <c r="I1110" s="44" t="str">
        <f>"  If wert = ""." &amp; Tabelle7[[#This Row],[EnuRohValue]] &amp; "."" Then Res = " &amp; Tabelle7[[#This Row],[EnuValue]]</f>
        <v xml:space="preserve">  If wert = ".SPECULAR." Then Res = repST_SPECULAR</v>
      </c>
    </row>
    <row r="1111" spans="2:9" x14ac:dyDescent="0.25">
      <c r="B1111" s="44">
        <v>7</v>
      </c>
      <c r="C1111" s="45" t="s">
        <v>1642</v>
      </c>
      <c r="D1111" s="44" t="s">
        <v>4553</v>
      </c>
      <c r="E1111" s="44" t="str">
        <f>VLOOKUP(Tabelle7[[#This Row],[EnumName]],Enum[[IFC-Name]:[Präfix]],5,FALSE)&amp;Tabelle7[[#This Row],[EnuRohValue]]</f>
        <v>repST_TEXTURE</v>
      </c>
      <c r="F1111" s="44">
        <f>COUNTIF(Tabelle7[EnuValue],Tabelle7[[#This Row],[EnuValue]])</f>
        <v>1</v>
      </c>
      <c r="G1111" s="44" t="str">
        <f xml:space="preserve"> "  " &amp; Tabelle7[[#This Row],[EnuValue]] &amp; " = " &amp; Tabelle7[[#This Row],[Wert]]</f>
        <v xml:space="preserve">  repST_TEXTURE = 7</v>
      </c>
      <c r="H1111" s="44" t="str">
        <f>"  If Wert = " &amp; Tabelle7[[#This Row],[EnuValue]] &amp; " then Res = ""." &amp; Tabelle7[[#This Row],[EnuRohValue]] &amp; "."""</f>
        <v xml:space="preserve">  If Wert = repST_TEXTURE then Res = ".TEXTURE."</v>
      </c>
      <c r="I1111" s="44" t="str">
        <f>"  If wert = ""." &amp; Tabelle7[[#This Row],[EnuRohValue]] &amp; "."" Then Res = " &amp; Tabelle7[[#This Row],[EnuValue]]</f>
        <v xml:space="preserve">  If wert = ".TEXTURE." Then Res = repST_TEXTURE</v>
      </c>
    </row>
    <row r="1112" spans="2:9" x14ac:dyDescent="0.25">
      <c r="B1112" s="44">
        <v>8</v>
      </c>
      <c r="C1112" s="45" t="s">
        <v>1642</v>
      </c>
      <c r="D1112" s="44" t="s">
        <v>4554</v>
      </c>
      <c r="E1112" s="44" t="str">
        <f>VLOOKUP(Tabelle7[[#This Row],[EnumName]],Enum[[IFC-Name]:[Präfix]],5,FALSE)&amp;Tabelle7[[#This Row],[EnuRohValue]]</f>
        <v>repST_TRANSPARENCYMAP</v>
      </c>
      <c r="F1112" s="44">
        <f>COUNTIF(Tabelle7[EnuValue],Tabelle7[[#This Row],[EnuValue]])</f>
        <v>1</v>
      </c>
      <c r="G1112" s="44" t="str">
        <f xml:space="preserve"> "  " &amp; Tabelle7[[#This Row],[EnuValue]] &amp; " = " &amp; Tabelle7[[#This Row],[Wert]]</f>
        <v xml:space="preserve">  repST_TRANSPARENCYMAP = 8</v>
      </c>
      <c r="H1112" s="44" t="str">
        <f>"  If Wert = " &amp; Tabelle7[[#This Row],[EnuValue]] &amp; " then Res = ""." &amp; Tabelle7[[#This Row],[EnuRohValue]] &amp; "."""</f>
        <v xml:space="preserve">  If Wert = repST_TRANSPARENCYMAP then Res = ".TRANSPARENCYMAP."</v>
      </c>
      <c r="I1112" s="44" t="str">
        <f>"  If wert = ""." &amp; Tabelle7[[#This Row],[EnuRohValue]] &amp; "."" Then Res = " &amp; Tabelle7[[#This Row],[EnuValue]]</f>
        <v xml:space="preserve">  If wert = ".TRANSPARENCYMAP." Then Res = repST_TRANSPARENCYMAP</v>
      </c>
    </row>
    <row r="1113" spans="2:9" x14ac:dyDescent="0.25">
      <c r="B1113" s="44">
        <v>9</v>
      </c>
      <c r="C1113" s="45" t="s">
        <v>1642</v>
      </c>
      <c r="D1113" s="44" t="s">
        <v>3683</v>
      </c>
      <c r="E1113" s="44" t="str">
        <f>VLOOKUP(Tabelle7[[#This Row],[EnumName]],Enum[[IFC-Name]:[Präfix]],5,FALSE)&amp;Tabelle7[[#This Row],[EnuRohValue]]</f>
        <v>repST_NOTDEFINED</v>
      </c>
      <c r="F1113" s="44">
        <f>COUNTIF(Tabelle7[EnuValue],Tabelle7[[#This Row],[EnuValue]])</f>
        <v>1</v>
      </c>
      <c r="G1113" s="44" t="str">
        <f xml:space="preserve"> "  " &amp; Tabelle7[[#This Row],[EnuValue]] &amp; " = " &amp; Tabelle7[[#This Row],[Wert]]</f>
        <v xml:space="preserve">  repST_NOTDEFINED = 9</v>
      </c>
      <c r="H1113" s="44" t="str">
        <f>"  If Wert = " &amp; Tabelle7[[#This Row],[EnuValue]] &amp; " then Res = ""." &amp; Tabelle7[[#This Row],[EnuRohValue]] &amp; "."""</f>
        <v xml:space="preserve">  If Wert = repST_NOTDEFINED then Res = ".NOTDEFINED."</v>
      </c>
      <c r="I1113" s="44" t="str">
        <f>"  If wert = ""." &amp; Tabelle7[[#This Row],[EnuRohValue]] &amp; "."" Then Res = " &amp; Tabelle7[[#This Row],[EnuValue]]</f>
        <v xml:space="preserve">  If wert = ".NOTDEFINED." Then Res = repST_NOTDEFINED</v>
      </c>
    </row>
    <row r="1114" spans="2:9" x14ac:dyDescent="0.25">
      <c r="B1114" s="44">
        <v>1</v>
      </c>
      <c r="C1114" s="45" t="s">
        <v>1643</v>
      </c>
      <c r="D1114" s="44" t="s">
        <v>4555</v>
      </c>
      <c r="E1114" s="44" t="str">
        <f>VLOOKUP(Tabelle7[[#This Row],[EnumName]],Enum[[IFC-Name]:[Präfix]],5,FALSE)&amp;Tabelle7[[#This Row],[EnuRohValue]]</f>
        <v>eleSDT_CONTACTOR</v>
      </c>
      <c r="F1114" s="44">
        <f>COUNTIF(Tabelle7[EnuValue],Tabelle7[[#This Row],[EnuValue]])</f>
        <v>1</v>
      </c>
      <c r="G1114" s="44" t="str">
        <f xml:space="preserve"> "  " &amp; Tabelle7[[#This Row],[EnuValue]] &amp; " = " &amp; Tabelle7[[#This Row],[Wert]]</f>
        <v xml:space="preserve">  eleSDT_CONTACTOR = 1</v>
      </c>
      <c r="H1114" s="44" t="str">
        <f>"  If Wert = " &amp; Tabelle7[[#This Row],[EnuValue]] &amp; " then Res = ""." &amp; Tabelle7[[#This Row],[EnuRohValue]] &amp; "."""</f>
        <v xml:space="preserve">  If Wert = eleSDT_CONTACTOR then Res = ".CONTACTOR."</v>
      </c>
      <c r="I1114" s="44" t="str">
        <f>"  If wert = ""." &amp; Tabelle7[[#This Row],[EnuRohValue]] &amp; "."" Then Res = " &amp; Tabelle7[[#This Row],[EnuValue]]</f>
        <v xml:space="preserve">  If wert = ".CONTACTOR." Then Res = eleSDT_CONTACTOR</v>
      </c>
    </row>
    <row r="1115" spans="2:9" x14ac:dyDescent="0.25">
      <c r="B1115" s="44">
        <v>2</v>
      </c>
      <c r="C1115" s="45" t="s">
        <v>1643</v>
      </c>
      <c r="D1115" s="44" t="s">
        <v>4556</v>
      </c>
      <c r="E1115" s="44" t="str">
        <f>VLOOKUP(Tabelle7[[#This Row],[EnumName]],Enum[[IFC-Name]:[Präfix]],5,FALSE)&amp;Tabelle7[[#This Row],[EnuRohValue]]</f>
        <v>eleSDT_EMERGENCYSTOP</v>
      </c>
      <c r="F1115" s="44">
        <f>COUNTIF(Tabelle7[EnuValue],Tabelle7[[#This Row],[EnuValue]])</f>
        <v>1</v>
      </c>
      <c r="G1115" s="44" t="str">
        <f xml:space="preserve"> "  " &amp; Tabelle7[[#This Row],[EnuValue]] &amp; " = " &amp; Tabelle7[[#This Row],[Wert]]</f>
        <v xml:space="preserve">  eleSDT_EMERGENCYSTOP = 2</v>
      </c>
      <c r="H1115" s="44" t="str">
        <f>"  If Wert = " &amp; Tabelle7[[#This Row],[EnuValue]] &amp; " then Res = ""." &amp; Tabelle7[[#This Row],[EnuRohValue]] &amp; "."""</f>
        <v xml:space="preserve">  If Wert = eleSDT_EMERGENCYSTOP then Res = ".EMERGENCYSTOP."</v>
      </c>
      <c r="I1115" s="44" t="str">
        <f>"  If wert = ""." &amp; Tabelle7[[#This Row],[EnuRohValue]] &amp; "."" Then Res = " &amp; Tabelle7[[#This Row],[EnuValue]]</f>
        <v xml:space="preserve">  If wert = ".EMERGENCYSTOP." Then Res = eleSDT_EMERGENCYSTOP</v>
      </c>
    </row>
    <row r="1116" spans="2:9" x14ac:dyDescent="0.25">
      <c r="B1116" s="44">
        <v>3</v>
      </c>
      <c r="C1116" s="45" t="s">
        <v>1643</v>
      </c>
      <c r="D1116" s="44" t="s">
        <v>4557</v>
      </c>
      <c r="E1116" s="44" t="str">
        <f>VLOOKUP(Tabelle7[[#This Row],[EnumName]],Enum[[IFC-Name]:[Präfix]],5,FALSE)&amp;Tabelle7[[#This Row],[EnuRohValue]]</f>
        <v>eleSDT_STARTER</v>
      </c>
      <c r="F1116" s="44">
        <f>COUNTIF(Tabelle7[EnuValue],Tabelle7[[#This Row],[EnuValue]])</f>
        <v>1</v>
      </c>
      <c r="G1116" s="44" t="str">
        <f xml:space="preserve"> "  " &amp; Tabelle7[[#This Row],[EnuValue]] &amp; " = " &amp; Tabelle7[[#This Row],[Wert]]</f>
        <v xml:space="preserve">  eleSDT_STARTER = 3</v>
      </c>
      <c r="H1116" s="44" t="str">
        <f>"  If Wert = " &amp; Tabelle7[[#This Row],[EnuValue]] &amp; " then Res = ""." &amp; Tabelle7[[#This Row],[EnuRohValue]] &amp; "."""</f>
        <v xml:space="preserve">  If Wert = eleSDT_STARTER then Res = ".STARTER."</v>
      </c>
      <c r="I1116" s="44" t="str">
        <f>"  If wert = ""." &amp; Tabelle7[[#This Row],[EnuRohValue]] &amp; "."" Then Res = " &amp; Tabelle7[[#This Row],[EnuValue]]</f>
        <v xml:space="preserve">  If wert = ".STARTER." Then Res = eleSDT_STARTER</v>
      </c>
    </row>
    <row r="1117" spans="2:9" x14ac:dyDescent="0.25">
      <c r="B1117" s="44">
        <v>4</v>
      </c>
      <c r="C1117" s="45" t="s">
        <v>1643</v>
      </c>
      <c r="D1117" s="44" t="s">
        <v>4558</v>
      </c>
      <c r="E1117" s="44" t="str">
        <f>VLOOKUP(Tabelle7[[#This Row],[EnumName]],Enum[[IFC-Name]:[Präfix]],5,FALSE)&amp;Tabelle7[[#This Row],[EnuRohValue]]</f>
        <v>eleSDT_SWITCHDISCONNECTOR</v>
      </c>
      <c r="F1117" s="44">
        <f>COUNTIF(Tabelle7[EnuValue],Tabelle7[[#This Row],[EnuValue]])</f>
        <v>1</v>
      </c>
      <c r="G1117" s="44" t="str">
        <f xml:space="preserve"> "  " &amp; Tabelle7[[#This Row],[EnuValue]] &amp; " = " &amp; Tabelle7[[#This Row],[Wert]]</f>
        <v xml:space="preserve">  eleSDT_SWITCHDISCONNECTOR = 4</v>
      </c>
      <c r="H1117" s="44" t="str">
        <f>"  If Wert = " &amp; Tabelle7[[#This Row],[EnuValue]] &amp; " then Res = ""." &amp; Tabelle7[[#This Row],[EnuRohValue]] &amp; "."""</f>
        <v xml:space="preserve">  If Wert = eleSDT_SWITCHDISCONNECTOR then Res = ".SWITCHDISCONNECTOR."</v>
      </c>
      <c r="I1117" s="44" t="str">
        <f>"  If wert = ""." &amp; Tabelle7[[#This Row],[EnuRohValue]] &amp; "."" Then Res = " &amp; Tabelle7[[#This Row],[EnuValue]]</f>
        <v xml:space="preserve">  If wert = ".SWITCHDISCONNECTOR." Then Res = eleSDT_SWITCHDISCONNECTOR</v>
      </c>
    </row>
    <row r="1118" spans="2:9" x14ac:dyDescent="0.25">
      <c r="B1118" s="44">
        <v>5</v>
      </c>
      <c r="C1118" s="45" t="s">
        <v>1643</v>
      </c>
      <c r="D1118" s="44" t="s">
        <v>4559</v>
      </c>
      <c r="E1118" s="44" t="str">
        <f>VLOOKUP(Tabelle7[[#This Row],[EnumName]],Enum[[IFC-Name]:[Präfix]],5,FALSE)&amp;Tabelle7[[#This Row],[EnuRohValue]]</f>
        <v>eleSDT_TOGGLESWITCH</v>
      </c>
      <c r="F1118" s="44">
        <f>COUNTIF(Tabelle7[EnuValue],Tabelle7[[#This Row],[EnuValue]])</f>
        <v>1</v>
      </c>
      <c r="G1118" s="44" t="str">
        <f xml:space="preserve"> "  " &amp; Tabelle7[[#This Row],[EnuValue]] &amp; " = " &amp; Tabelle7[[#This Row],[Wert]]</f>
        <v xml:space="preserve">  eleSDT_TOGGLESWITCH = 5</v>
      </c>
      <c r="H1118" s="44" t="str">
        <f>"  If Wert = " &amp; Tabelle7[[#This Row],[EnuValue]] &amp; " then Res = ""." &amp; Tabelle7[[#This Row],[EnuRohValue]] &amp; "."""</f>
        <v xml:space="preserve">  If Wert = eleSDT_TOGGLESWITCH then Res = ".TOGGLESWITCH."</v>
      </c>
      <c r="I1118" s="44" t="str">
        <f>"  If wert = ""." &amp; Tabelle7[[#This Row],[EnuRohValue]] &amp; "."" Then Res = " &amp; Tabelle7[[#This Row],[EnuValue]]</f>
        <v xml:space="preserve">  If wert = ".TOGGLESWITCH." Then Res = eleSDT_TOGGLESWITCH</v>
      </c>
    </row>
    <row r="1119" spans="2:9" x14ac:dyDescent="0.25">
      <c r="B1119" s="44">
        <v>6</v>
      </c>
      <c r="C1119" s="45" t="s">
        <v>1643</v>
      </c>
      <c r="D1119" s="44" t="s">
        <v>3682</v>
      </c>
      <c r="E1119" s="44" t="str">
        <f>VLOOKUP(Tabelle7[[#This Row],[EnumName]],Enum[[IFC-Name]:[Präfix]],5,FALSE)&amp;Tabelle7[[#This Row],[EnuRohValue]]</f>
        <v>eleSDT_USERDEFINED</v>
      </c>
      <c r="F1119" s="44">
        <f>COUNTIF(Tabelle7[EnuValue],Tabelle7[[#This Row],[EnuValue]])</f>
        <v>1</v>
      </c>
      <c r="G1119" s="44" t="str">
        <f xml:space="preserve"> "  " &amp; Tabelle7[[#This Row],[EnuValue]] &amp; " = " &amp; Tabelle7[[#This Row],[Wert]]</f>
        <v xml:space="preserve">  eleSDT_USERDEFINED = 6</v>
      </c>
      <c r="H1119" s="44" t="str">
        <f>"  If Wert = " &amp; Tabelle7[[#This Row],[EnuValue]] &amp; " then Res = ""." &amp; Tabelle7[[#This Row],[EnuRohValue]] &amp; "."""</f>
        <v xml:space="preserve">  If Wert = eleSDT_USERDEFINED then Res = ".USERDEFINED."</v>
      </c>
      <c r="I1119" s="44" t="str">
        <f>"  If wert = ""." &amp; Tabelle7[[#This Row],[EnuRohValue]] &amp; "."" Then Res = " &amp; Tabelle7[[#This Row],[EnuValue]]</f>
        <v xml:space="preserve">  If wert = ".USERDEFINED." Then Res = eleSDT_USERDEFINED</v>
      </c>
    </row>
    <row r="1120" spans="2:9" x14ac:dyDescent="0.25">
      <c r="B1120" s="44">
        <v>7</v>
      </c>
      <c r="C1120" s="45" t="s">
        <v>1643</v>
      </c>
      <c r="D1120" s="44" t="s">
        <v>3683</v>
      </c>
      <c r="E1120" s="44" t="str">
        <f>VLOOKUP(Tabelle7[[#This Row],[EnumName]],Enum[[IFC-Name]:[Präfix]],5,FALSE)&amp;Tabelle7[[#This Row],[EnuRohValue]]</f>
        <v>eleSDT_NOTDEFINED</v>
      </c>
      <c r="F1120" s="44">
        <f>COUNTIF(Tabelle7[EnuValue],Tabelle7[[#This Row],[EnuValue]])</f>
        <v>1</v>
      </c>
      <c r="G1120" s="44" t="str">
        <f xml:space="preserve"> "  " &amp; Tabelle7[[#This Row],[EnuValue]] &amp; " = " &amp; Tabelle7[[#This Row],[Wert]]</f>
        <v xml:space="preserve">  eleSDT_NOTDEFINED = 7</v>
      </c>
      <c r="H1120" s="44" t="str">
        <f>"  If Wert = " &amp; Tabelle7[[#This Row],[EnuValue]] &amp; " then Res = ""." &amp; Tabelle7[[#This Row],[EnuRohValue]] &amp; "."""</f>
        <v xml:space="preserve">  If Wert = eleSDT_NOTDEFINED then Res = ".NOTDEFINED."</v>
      </c>
      <c r="I1120" s="44" t="str">
        <f>"  If wert = ""." &amp; Tabelle7[[#This Row],[EnuRohValue]] &amp; "."" Then Res = " &amp; Tabelle7[[#This Row],[EnuValue]]</f>
        <v xml:space="preserve">  If wert = ".NOTDEFINED." Then Res = eleSDT_NOTDEFINED</v>
      </c>
    </row>
    <row r="1121" spans="2:9" x14ac:dyDescent="0.25">
      <c r="B1121" s="44">
        <v>1</v>
      </c>
      <c r="C1121" s="45" t="s">
        <v>1644</v>
      </c>
      <c r="D1121" s="44" t="s">
        <v>4560</v>
      </c>
      <c r="E1121" s="44" t="str">
        <f>VLOOKUP(Tabelle7[[#This Row],[EnumName]],Enum[[IFC-Name]:[Präfix]],5,FALSE)&amp;Tabelle7[[#This Row],[EnuRohValue]]</f>
        <v>hvacTT_PREFORMED</v>
      </c>
      <c r="F1121" s="44">
        <f>COUNTIF(Tabelle7[EnuValue],Tabelle7[[#This Row],[EnuValue]])</f>
        <v>1</v>
      </c>
      <c r="G1121" s="44" t="str">
        <f xml:space="preserve"> "  " &amp; Tabelle7[[#This Row],[EnuValue]] &amp; " = " &amp; Tabelle7[[#This Row],[Wert]]</f>
        <v xml:space="preserve">  hvacTT_PREFORMED = 1</v>
      </c>
      <c r="H1121" s="44" t="str">
        <f>"  If Wert = " &amp; Tabelle7[[#This Row],[EnuValue]] &amp; " then Res = ""." &amp; Tabelle7[[#This Row],[EnuRohValue]] &amp; "."""</f>
        <v xml:space="preserve">  If Wert = hvacTT_PREFORMED then Res = ".PREFORMED."</v>
      </c>
      <c r="I1121" s="44" t="str">
        <f>"  If wert = ""." &amp; Tabelle7[[#This Row],[EnuRohValue]] &amp; "."" Then Res = " &amp; Tabelle7[[#This Row],[EnuValue]]</f>
        <v xml:space="preserve">  If wert = ".PREFORMED." Then Res = hvacTT_PREFORMED</v>
      </c>
    </row>
    <row r="1122" spans="2:9" x14ac:dyDescent="0.25">
      <c r="B1122" s="44">
        <v>2</v>
      </c>
      <c r="C1122" s="45" t="s">
        <v>1644</v>
      </c>
      <c r="D1122" s="44" t="s">
        <v>4561</v>
      </c>
      <c r="E1122" s="44" t="str">
        <f>VLOOKUP(Tabelle7[[#This Row],[EnumName]],Enum[[IFC-Name]:[Präfix]],5,FALSE)&amp;Tabelle7[[#This Row],[EnuRohValue]]</f>
        <v>hvacTT_SECTIONAL</v>
      </c>
      <c r="F1122" s="44">
        <f>COUNTIF(Tabelle7[EnuValue],Tabelle7[[#This Row],[EnuValue]])</f>
        <v>1</v>
      </c>
      <c r="G1122" s="44" t="str">
        <f xml:space="preserve"> "  " &amp; Tabelle7[[#This Row],[EnuValue]] &amp; " = " &amp; Tabelle7[[#This Row],[Wert]]</f>
        <v xml:space="preserve">  hvacTT_SECTIONAL = 2</v>
      </c>
      <c r="H1122" s="44" t="str">
        <f>"  If Wert = " &amp; Tabelle7[[#This Row],[EnuValue]] &amp; " then Res = ""." &amp; Tabelle7[[#This Row],[EnuRohValue]] &amp; "."""</f>
        <v xml:space="preserve">  If Wert = hvacTT_SECTIONAL then Res = ".SECTIONAL."</v>
      </c>
      <c r="I1122" s="44" t="str">
        <f>"  If wert = ""." &amp; Tabelle7[[#This Row],[EnuRohValue]] &amp; "."" Then Res = " &amp; Tabelle7[[#This Row],[EnuValue]]</f>
        <v xml:space="preserve">  If wert = ".SECTIONAL." Then Res = hvacTT_SECTIONAL</v>
      </c>
    </row>
    <row r="1123" spans="2:9" x14ac:dyDescent="0.25">
      <c r="B1123" s="44">
        <v>3</v>
      </c>
      <c r="C1123" s="45" t="s">
        <v>1644</v>
      </c>
      <c r="D1123" s="44" t="s">
        <v>4562</v>
      </c>
      <c r="E1123" s="44" t="str">
        <f>VLOOKUP(Tabelle7[[#This Row],[EnumName]],Enum[[IFC-Name]:[Präfix]],5,FALSE)&amp;Tabelle7[[#This Row],[EnuRohValue]]</f>
        <v>hvacTT_EXPANSION</v>
      </c>
      <c r="F1123" s="44">
        <f>COUNTIF(Tabelle7[EnuValue],Tabelle7[[#This Row],[EnuValue]])</f>
        <v>1</v>
      </c>
      <c r="G1123" s="44" t="str">
        <f xml:space="preserve"> "  " &amp; Tabelle7[[#This Row],[EnuValue]] &amp; " = " &amp; Tabelle7[[#This Row],[Wert]]</f>
        <v xml:space="preserve">  hvacTT_EXPANSION = 3</v>
      </c>
      <c r="H1123" s="44" t="str">
        <f>"  If Wert = " &amp; Tabelle7[[#This Row],[EnuValue]] &amp; " then Res = ""." &amp; Tabelle7[[#This Row],[EnuRohValue]] &amp; "."""</f>
        <v xml:space="preserve">  If Wert = hvacTT_EXPANSION then Res = ".EXPANSION."</v>
      </c>
      <c r="I1123" s="44" t="str">
        <f>"  If wert = ""." &amp; Tabelle7[[#This Row],[EnuRohValue]] &amp; "."" Then Res = " &amp; Tabelle7[[#This Row],[EnuValue]]</f>
        <v xml:space="preserve">  If wert = ".EXPANSION." Then Res = hvacTT_EXPANSION</v>
      </c>
    </row>
    <row r="1124" spans="2:9" x14ac:dyDescent="0.25">
      <c r="B1124" s="44">
        <v>4</v>
      </c>
      <c r="C1124" s="45" t="s">
        <v>1644</v>
      </c>
      <c r="D1124" s="44" t="s">
        <v>4563</v>
      </c>
      <c r="E1124" s="44" t="str">
        <f>VLOOKUP(Tabelle7[[#This Row],[EnumName]],Enum[[IFC-Name]:[Präfix]],5,FALSE)&amp;Tabelle7[[#This Row],[EnuRohValue]]</f>
        <v>hvacTT_PRESSUREVESSEL</v>
      </c>
      <c r="F1124" s="44">
        <f>COUNTIF(Tabelle7[EnuValue],Tabelle7[[#This Row],[EnuValue]])</f>
        <v>1</v>
      </c>
      <c r="G1124" s="44" t="str">
        <f xml:space="preserve"> "  " &amp; Tabelle7[[#This Row],[EnuValue]] &amp; " = " &amp; Tabelle7[[#This Row],[Wert]]</f>
        <v xml:space="preserve">  hvacTT_PRESSUREVESSEL = 4</v>
      </c>
      <c r="H1124" s="44" t="str">
        <f>"  If Wert = " &amp; Tabelle7[[#This Row],[EnuValue]] &amp; " then Res = ""." &amp; Tabelle7[[#This Row],[EnuRohValue]] &amp; "."""</f>
        <v xml:space="preserve">  If Wert = hvacTT_PRESSUREVESSEL then Res = ".PRESSUREVESSEL."</v>
      </c>
      <c r="I1124" s="44" t="str">
        <f>"  If wert = ""." &amp; Tabelle7[[#This Row],[EnuRohValue]] &amp; "."" Then Res = " &amp; Tabelle7[[#This Row],[EnuValue]]</f>
        <v xml:space="preserve">  If wert = ".PRESSUREVESSEL." Then Res = hvacTT_PRESSUREVESSEL</v>
      </c>
    </row>
    <row r="1125" spans="2:9" x14ac:dyDescent="0.25">
      <c r="B1125" s="44">
        <v>5</v>
      </c>
      <c r="C1125" s="45" t="s">
        <v>1644</v>
      </c>
      <c r="D1125" s="44" t="s">
        <v>3682</v>
      </c>
      <c r="E1125" s="44" t="str">
        <f>VLOOKUP(Tabelle7[[#This Row],[EnumName]],Enum[[IFC-Name]:[Präfix]],5,FALSE)&amp;Tabelle7[[#This Row],[EnuRohValue]]</f>
        <v>hvacTT_USERDEFINED</v>
      </c>
      <c r="F1125" s="44">
        <f>COUNTIF(Tabelle7[EnuValue],Tabelle7[[#This Row],[EnuValue]])</f>
        <v>1</v>
      </c>
      <c r="G1125" s="44" t="str">
        <f xml:space="preserve"> "  " &amp; Tabelle7[[#This Row],[EnuValue]] &amp; " = " &amp; Tabelle7[[#This Row],[Wert]]</f>
        <v xml:space="preserve">  hvacTT_USERDEFINED = 5</v>
      </c>
      <c r="H1125" s="44" t="str">
        <f>"  If Wert = " &amp; Tabelle7[[#This Row],[EnuValue]] &amp; " then Res = ""." &amp; Tabelle7[[#This Row],[EnuRohValue]] &amp; "."""</f>
        <v xml:space="preserve">  If Wert = hvacTT_USERDEFINED then Res = ".USERDEFINED."</v>
      </c>
      <c r="I1125" s="44" t="str">
        <f>"  If wert = ""." &amp; Tabelle7[[#This Row],[EnuRohValue]] &amp; "."" Then Res = " &amp; Tabelle7[[#This Row],[EnuValue]]</f>
        <v xml:space="preserve">  If wert = ".USERDEFINED." Then Res = hvacTT_USERDEFINED</v>
      </c>
    </row>
    <row r="1126" spans="2:9" x14ac:dyDescent="0.25">
      <c r="B1126" s="44">
        <v>6</v>
      </c>
      <c r="C1126" s="45" t="s">
        <v>1644</v>
      </c>
      <c r="D1126" s="44" t="s">
        <v>3683</v>
      </c>
      <c r="E1126" s="44" t="str">
        <f>VLOOKUP(Tabelle7[[#This Row],[EnumName]],Enum[[IFC-Name]:[Präfix]],5,FALSE)&amp;Tabelle7[[#This Row],[EnuRohValue]]</f>
        <v>hvacTT_NOTDEFINED</v>
      </c>
      <c r="F1126" s="44">
        <f>COUNTIF(Tabelle7[EnuValue],Tabelle7[[#This Row],[EnuValue]])</f>
        <v>1</v>
      </c>
      <c r="G1126" s="44" t="str">
        <f xml:space="preserve"> "  " &amp; Tabelle7[[#This Row],[EnuValue]] &amp; " = " &amp; Tabelle7[[#This Row],[Wert]]</f>
        <v xml:space="preserve">  hvacTT_NOTDEFINED = 6</v>
      </c>
      <c r="H1126" s="44" t="str">
        <f>"  If Wert = " &amp; Tabelle7[[#This Row],[EnuValue]] &amp; " then Res = ""." &amp; Tabelle7[[#This Row],[EnuRohValue]] &amp; "."""</f>
        <v xml:space="preserve">  If Wert = hvacTT_NOTDEFINED then Res = ".NOTDEFINED."</v>
      </c>
      <c r="I1126" s="44" t="str">
        <f>"  If wert = ""." &amp; Tabelle7[[#This Row],[EnuRohValue]] &amp; "."" Then Res = " &amp; Tabelle7[[#This Row],[EnuValue]]</f>
        <v xml:space="preserve">  If wert = ".NOTDEFINED." Then Res = hvacTT_NOTDEFINED</v>
      </c>
    </row>
    <row r="1127" spans="2:9" x14ac:dyDescent="0.25">
      <c r="B1127" s="44">
        <v>1</v>
      </c>
      <c r="C1127" s="45" t="s">
        <v>1645</v>
      </c>
      <c r="D1127" s="44" t="s">
        <v>4564</v>
      </c>
      <c r="E1127" s="44" t="str">
        <f>VLOOKUP(Tabelle7[[#This Row],[EnumName]],Enum[[IFC-Name]:[Präfix]],5,FALSE)&amp;Tabelle7[[#This Row],[EnuRohValue]]</f>
        <v>stcTT_STRAND</v>
      </c>
      <c r="F1127" s="44">
        <f>COUNTIF(Tabelle7[EnuValue],Tabelle7[[#This Row],[EnuValue]])</f>
        <v>1</v>
      </c>
      <c r="G1127" s="44" t="str">
        <f xml:space="preserve"> "  " &amp; Tabelle7[[#This Row],[EnuValue]] &amp; " = " &amp; Tabelle7[[#This Row],[Wert]]</f>
        <v xml:space="preserve">  stcTT_STRAND = 1</v>
      </c>
      <c r="H1127" s="44" t="str">
        <f>"  If Wert = " &amp; Tabelle7[[#This Row],[EnuValue]] &amp; " then Res = ""." &amp; Tabelle7[[#This Row],[EnuRohValue]] &amp; "."""</f>
        <v xml:space="preserve">  If Wert = stcTT_STRAND then Res = ".STRAND."</v>
      </c>
      <c r="I1127" s="44" t="str">
        <f>"  If wert = ""." &amp; Tabelle7[[#This Row],[EnuRohValue]] &amp; "."" Then Res = " &amp; Tabelle7[[#This Row],[EnuValue]]</f>
        <v xml:space="preserve">  If wert = ".STRAND." Then Res = stcTT_STRAND</v>
      </c>
    </row>
    <row r="1128" spans="2:9" x14ac:dyDescent="0.25">
      <c r="B1128" s="44">
        <v>2</v>
      </c>
      <c r="C1128" s="45" t="s">
        <v>1645</v>
      </c>
      <c r="D1128" s="44" t="s">
        <v>4565</v>
      </c>
      <c r="E1128" s="44" t="str">
        <f>VLOOKUP(Tabelle7[[#This Row],[EnumName]],Enum[[IFC-Name]:[Präfix]],5,FALSE)&amp;Tabelle7[[#This Row],[EnuRohValue]]</f>
        <v>stcTT_WIRE</v>
      </c>
      <c r="F1128" s="44">
        <f>COUNTIF(Tabelle7[EnuValue],Tabelle7[[#This Row],[EnuValue]])</f>
        <v>1</v>
      </c>
      <c r="G1128" s="44" t="str">
        <f xml:space="preserve"> "  " &amp; Tabelle7[[#This Row],[EnuValue]] &amp; " = " &amp; Tabelle7[[#This Row],[Wert]]</f>
        <v xml:space="preserve">  stcTT_WIRE = 2</v>
      </c>
      <c r="H1128" s="44" t="str">
        <f>"  If Wert = " &amp; Tabelle7[[#This Row],[EnuValue]] &amp; " then Res = ""." &amp; Tabelle7[[#This Row],[EnuRohValue]] &amp; "."""</f>
        <v xml:space="preserve">  If Wert = stcTT_WIRE then Res = ".WIRE."</v>
      </c>
      <c r="I1128" s="44" t="str">
        <f>"  If wert = ""." &amp; Tabelle7[[#This Row],[EnuRohValue]] &amp; "."" Then Res = " &amp; Tabelle7[[#This Row],[EnuValue]]</f>
        <v xml:space="preserve">  If wert = ".WIRE." Then Res = stcTT_WIRE</v>
      </c>
    </row>
    <row r="1129" spans="2:9" x14ac:dyDescent="0.25">
      <c r="B1129" s="44">
        <v>3</v>
      </c>
      <c r="C1129" s="45" t="s">
        <v>1645</v>
      </c>
      <c r="D1129" s="44" t="s">
        <v>4566</v>
      </c>
      <c r="E1129" s="44" t="str">
        <f>VLOOKUP(Tabelle7[[#This Row],[EnumName]],Enum[[IFC-Name]:[Präfix]],5,FALSE)&amp;Tabelle7[[#This Row],[EnuRohValue]]</f>
        <v>stcTT_BAR</v>
      </c>
      <c r="F1129" s="44">
        <f>COUNTIF(Tabelle7[EnuValue],Tabelle7[[#This Row],[EnuValue]])</f>
        <v>1</v>
      </c>
      <c r="G1129" s="44" t="str">
        <f xml:space="preserve"> "  " &amp; Tabelle7[[#This Row],[EnuValue]] &amp; " = " &amp; Tabelle7[[#This Row],[Wert]]</f>
        <v xml:space="preserve">  stcTT_BAR = 3</v>
      </c>
      <c r="H1129" s="44" t="str">
        <f>"  If Wert = " &amp; Tabelle7[[#This Row],[EnuValue]] &amp; " then Res = ""." &amp; Tabelle7[[#This Row],[EnuRohValue]] &amp; "."""</f>
        <v xml:space="preserve">  If Wert = stcTT_BAR then Res = ".BAR."</v>
      </c>
      <c r="I1129" s="44" t="str">
        <f>"  If wert = ""." &amp; Tabelle7[[#This Row],[EnuRohValue]] &amp; "."" Then Res = " &amp; Tabelle7[[#This Row],[EnuValue]]</f>
        <v xml:space="preserve">  If wert = ".BAR." Then Res = stcTT_BAR</v>
      </c>
    </row>
    <row r="1130" spans="2:9" x14ac:dyDescent="0.25">
      <c r="B1130" s="44">
        <v>4</v>
      </c>
      <c r="C1130" s="45" t="s">
        <v>1645</v>
      </c>
      <c r="D1130" s="44" t="s">
        <v>4567</v>
      </c>
      <c r="E1130" s="44" t="str">
        <f>VLOOKUP(Tabelle7[[#This Row],[EnumName]],Enum[[IFC-Name]:[Präfix]],5,FALSE)&amp;Tabelle7[[#This Row],[EnuRohValue]]</f>
        <v>stcTT_COATED</v>
      </c>
      <c r="F1130" s="44">
        <f>COUNTIF(Tabelle7[EnuValue],Tabelle7[[#This Row],[EnuValue]])</f>
        <v>1</v>
      </c>
      <c r="G1130" s="44" t="str">
        <f xml:space="preserve"> "  " &amp; Tabelle7[[#This Row],[EnuValue]] &amp; " = " &amp; Tabelle7[[#This Row],[Wert]]</f>
        <v xml:space="preserve">  stcTT_COATED = 4</v>
      </c>
      <c r="H1130" s="44" t="str">
        <f>"  If Wert = " &amp; Tabelle7[[#This Row],[EnuValue]] &amp; " then Res = ""." &amp; Tabelle7[[#This Row],[EnuRohValue]] &amp; "."""</f>
        <v xml:space="preserve">  If Wert = stcTT_COATED then Res = ".COATED."</v>
      </c>
      <c r="I1130" s="44" t="str">
        <f>"  If wert = ""." &amp; Tabelle7[[#This Row],[EnuRohValue]] &amp; "."" Then Res = " &amp; Tabelle7[[#This Row],[EnuValue]]</f>
        <v xml:space="preserve">  If wert = ".COATED." Then Res = stcTT_COATED</v>
      </c>
    </row>
    <row r="1131" spans="2:9" x14ac:dyDescent="0.25">
      <c r="B1131" s="44">
        <v>5</v>
      </c>
      <c r="C1131" s="45" t="s">
        <v>1645</v>
      </c>
      <c r="D1131" s="44" t="s">
        <v>3682</v>
      </c>
      <c r="E1131" s="44" t="str">
        <f>VLOOKUP(Tabelle7[[#This Row],[EnumName]],Enum[[IFC-Name]:[Präfix]],5,FALSE)&amp;Tabelle7[[#This Row],[EnuRohValue]]</f>
        <v>stcTT_USERDEFINED</v>
      </c>
      <c r="F1131" s="44">
        <f>COUNTIF(Tabelle7[EnuValue],Tabelle7[[#This Row],[EnuValue]])</f>
        <v>1</v>
      </c>
      <c r="G1131" s="44" t="str">
        <f xml:space="preserve"> "  " &amp; Tabelle7[[#This Row],[EnuValue]] &amp; " = " &amp; Tabelle7[[#This Row],[Wert]]</f>
        <v xml:space="preserve">  stcTT_USERDEFINED = 5</v>
      </c>
      <c r="H1131" s="44" t="str">
        <f>"  If Wert = " &amp; Tabelle7[[#This Row],[EnuValue]] &amp; " then Res = ""." &amp; Tabelle7[[#This Row],[EnuRohValue]] &amp; "."""</f>
        <v xml:space="preserve">  If Wert = stcTT_USERDEFINED then Res = ".USERDEFINED."</v>
      </c>
      <c r="I1131" s="44" t="str">
        <f>"  If wert = ""." &amp; Tabelle7[[#This Row],[EnuRohValue]] &amp; "."" Then Res = " &amp; Tabelle7[[#This Row],[EnuValue]]</f>
        <v xml:space="preserve">  If wert = ".USERDEFINED." Then Res = stcTT_USERDEFINED</v>
      </c>
    </row>
    <row r="1132" spans="2:9" x14ac:dyDescent="0.25">
      <c r="B1132" s="44">
        <v>6</v>
      </c>
      <c r="C1132" s="45" t="s">
        <v>1645</v>
      </c>
      <c r="D1132" s="44" t="s">
        <v>3683</v>
      </c>
      <c r="E1132" s="44" t="str">
        <f>VLOOKUP(Tabelle7[[#This Row],[EnumName]],Enum[[IFC-Name]:[Präfix]],5,FALSE)&amp;Tabelle7[[#This Row],[EnuRohValue]]</f>
        <v>stcTT_NOTDEFINED</v>
      </c>
      <c r="F1132" s="44">
        <f>COUNTIF(Tabelle7[EnuValue],Tabelle7[[#This Row],[EnuValue]])</f>
        <v>1</v>
      </c>
      <c r="G1132" s="44" t="str">
        <f xml:space="preserve"> "  " &amp; Tabelle7[[#This Row],[EnuValue]] &amp; " = " &amp; Tabelle7[[#This Row],[Wert]]</f>
        <v xml:space="preserve">  stcTT_NOTDEFINED = 6</v>
      </c>
      <c r="H1132" s="44" t="str">
        <f>"  If Wert = " &amp; Tabelle7[[#This Row],[EnuValue]] &amp; " then Res = ""." &amp; Tabelle7[[#This Row],[EnuRohValue]] &amp; "."""</f>
        <v xml:space="preserve">  If Wert = stcTT_NOTDEFINED then Res = ".NOTDEFINED."</v>
      </c>
      <c r="I1132" s="44" t="str">
        <f>"  If wert = ""." &amp; Tabelle7[[#This Row],[EnuRohValue]] &amp; "."" Then Res = " &amp; Tabelle7[[#This Row],[EnuValue]]</f>
        <v xml:space="preserve">  If wert = ".NOTDEFINED." Then Res = stcTT_NOTDEFINED</v>
      </c>
    </row>
    <row r="1133" spans="2:9" x14ac:dyDescent="0.25">
      <c r="B1133" s="44">
        <v>1</v>
      </c>
      <c r="C1133" s="45" t="s">
        <v>1646</v>
      </c>
      <c r="D1133" s="44" t="s">
        <v>4035</v>
      </c>
      <c r="E1133" s="44" t="str">
        <f>VLOOKUP(Tabelle7[[#This Row],[EnumName]],Enum[[IFC-Name]:[Präfix]],5,FALSE)&amp;Tabelle7[[#This Row],[EnuRohValue]]</f>
        <v>repTP_LEFT</v>
      </c>
      <c r="F1133" s="44">
        <f>COUNTIF(Tabelle7[EnuValue],Tabelle7[[#This Row],[EnuValue]])</f>
        <v>1</v>
      </c>
      <c r="G1133" s="44" t="str">
        <f xml:space="preserve"> "  " &amp; Tabelle7[[#This Row],[EnuValue]] &amp; " = " &amp; Tabelle7[[#This Row],[Wert]]</f>
        <v xml:space="preserve">  repTP_LEFT = 1</v>
      </c>
      <c r="H1133" s="44" t="str">
        <f>"  If Wert = " &amp; Tabelle7[[#This Row],[EnuValue]] &amp; " then Res = ""." &amp; Tabelle7[[#This Row],[EnuRohValue]] &amp; "."""</f>
        <v xml:space="preserve">  If Wert = repTP_LEFT then Res = ".LEFT."</v>
      </c>
      <c r="I1133" s="44" t="str">
        <f>"  If wert = ""." &amp; Tabelle7[[#This Row],[EnuRohValue]] &amp; "."" Then Res = " &amp; Tabelle7[[#This Row],[EnuValue]]</f>
        <v xml:space="preserve">  If wert = ".LEFT." Then Res = repTP_LEFT</v>
      </c>
    </row>
    <row r="1134" spans="2:9" x14ac:dyDescent="0.25">
      <c r="B1134" s="44">
        <v>2</v>
      </c>
      <c r="C1134" s="45" t="s">
        <v>1646</v>
      </c>
      <c r="D1134" s="44" t="s">
        <v>4037</v>
      </c>
      <c r="E1134" s="44" t="str">
        <f>VLOOKUP(Tabelle7[[#This Row],[EnumName]],Enum[[IFC-Name]:[Präfix]],5,FALSE)&amp;Tabelle7[[#This Row],[EnuRohValue]]</f>
        <v>repTP_RIGHT</v>
      </c>
      <c r="F1134" s="44">
        <f>COUNTIF(Tabelle7[EnuValue],Tabelle7[[#This Row],[EnuValue]])</f>
        <v>1</v>
      </c>
      <c r="G1134" s="44" t="str">
        <f xml:space="preserve"> "  " &amp; Tabelle7[[#This Row],[EnuValue]] &amp; " = " &amp; Tabelle7[[#This Row],[Wert]]</f>
        <v xml:space="preserve">  repTP_RIGHT = 2</v>
      </c>
      <c r="H1134" s="44" t="str">
        <f>"  If Wert = " &amp; Tabelle7[[#This Row],[EnuValue]] &amp; " then Res = ""." &amp; Tabelle7[[#This Row],[EnuRohValue]] &amp; "."""</f>
        <v xml:space="preserve">  If Wert = repTP_RIGHT then Res = ".RIGHT."</v>
      </c>
      <c r="I1134" s="44" t="str">
        <f>"  If wert = ""." &amp; Tabelle7[[#This Row],[EnuRohValue]] &amp; "."" Then Res = " &amp; Tabelle7[[#This Row],[EnuValue]]</f>
        <v xml:space="preserve">  If wert = ".RIGHT." Then Res = repTP_RIGHT</v>
      </c>
    </row>
    <row r="1135" spans="2:9" x14ac:dyDescent="0.25">
      <c r="B1135" s="44">
        <v>3</v>
      </c>
      <c r="C1135" s="45" t="s">
        <v>1646</v>
      </c>
      <c r="D1135" s="44" t="s">
        <v>4568</v>
      </c>
      <c r="E1135" s="44" t="str">
        <f>VLOOKUP(Tabelle7[[#This Row],[EnumName]],Enum[[IFC-Name]:[Präfix]],5,FALSE)&amp;Tabelle7[[#This Row],[EnuRohValue]]</f>
        <v>repTP_UP</v>
      </c>
      <c r="F1135" s="44">
        <f>COUNTIF(Tabelle7[EnuValue],Tabelle7[[#This Row],[EnuValue]])</f>
        <v>1</v>
      </c>
      <c r="G1135" s="44" t="str">
        <f xml:space="preserve"> "  " &amp; Tabelle7[[#This Row],[EnuValue]] &amp; " = " &amp; Tabelle7[[#This Row],[Wert]]</f>
        <v xml:space="preserve">  repTP_UP = 3</v>
      </c>
      <c r="H1135" s="44" t="str">
        <f>"  If Wert = " &amp; Tabelle7[[#This Row],[EnuValue]] &amp; " then Res = ""." &amp; Tabelle7[[#This Row],[EnuRohValue]] &amp; "."""</f>
        <v xml:space="preserve">  If Wert = repTP_UP then Res = ".UP."</v>
      </c>
      <c r="I1135" s="44" t="str">
        <f>"  If wert = ""." &amp; Tabelle7[[#This Row],[EnuRohValue]] &amp; "."" Then Res = " &amp; Tabelle7[[#This Row],[EnuValue]]</f>
        <v xml:space="preserve">  If wert = ".UP." Then Res = repTP_UP</v>
      </c>
    </row>
    <row r="1136" spans="2:9" x14ac:dyDescent="0.25">
      <c r="B1136" s="44">
        <v>4</v>
      </c>
      <c r="C1136" s="45" t="s">
        <v>1646</v>
      </c>
      <c r="D1136" s="44" t="s">
        <v>4569</v>
      </c>
      <c r="E1136" s="44" t="str">
        <f>VLOOKUP(Tabelle7[[#This Row],[EnumName]],Enum[[IFC-Name]:[Präfix]],5,FALSE)&amp;Tabelle7[[#This Row],[EnuRohValue]]</f>
        <v>repTP_DOWN</v>
      </c>
      <c r="F1136" s="44">
        <f>COUNTIF(Tabelle7[EnuValue],Tabelle7[[#This Row],[EnuValue]])</f>
        <v>1</v>
      </c>
      <c r="G1136" s="44" t="str">
        <f xml:space="preserve"> "  " &amp; Tabelle7[[#This Row],[EnuValue]] &amp; " = " &amp; Tabelle7[[#This Row],[Wert]]</f>
        <v xml:space="preserve">  repTP_DOWN = 4</v>
      </c>
      <c r="H1136" s="44" t="str">
        <f>"  If Wert = " &amp; Tabelle7[[#This Row],[EnuValue]] &amp; " then Res = ""." &amp; Tabelle7[[#This Row],[EnuRohValue]] &amp; "."""</f>
        <v xml:space="preserve">  If Wert = repTP_DOWN then Res = ".DOWN."</v>
      </c>
      <c r="I1136" s="44" t="str">
        <f>"  If wert = ""." &amp; Tabelle7[[#This Row],[EnuRohValue]] &amp; "."" Then Res = " &amp; Tabelle7[[#This Row],[EnuValue]]</f>
        <v xml:space="preserve">  If wert = ".DOWN." Then Res = repTP_DOWN</v>
      </c>
    </row>
    <row r="1137" spans="2:9" x14ac:dyDescent="0.25">
      <c r="B1137" s="44">
        <v>1</v>
      </c>
      <c r="C1137" s="45" t="s">
        <v>1647</v>
      </c>
      <c r="D1137" s="44" t="s">
        <v>4570</v>
      </c>
      <c r="E1137" s="44" t="str">
        <f>VLOOKUP(Tabelle7[[#This Row],[EnumName]],Enum[[IFC-Name]:[Präfix]],5,FALSE)&amp;Tabelle7[[#This Row],[EnuRohValue]]</f>
        <v>sbsTLS_PEOPLE</v>
      </c>
      <c r="F1137" s="44">
        <f>COUNTIF(Tabelle7[EnuValue],Tabelle7[[#This Row],[EnuValue]])</f>
        <v>1</v>
      </c>
      <c r="G1137" s="44" t="str">
        <f xml:space="preserve"> "  " &amp; Tabelle7[[#This Row],[EnuValue]] &amp; " = " &amp; Tabelle7[[#This Row],[Wert]]</f>
        <v xml:space="preserve">  sbsTLS_PEOPLE = 1</v>
      </c>
      <c r="H1137" s="44" t="str">
        <f>"  If Wert = " &amp; Tabelle7[[#This Row],[EnuValue]] &amp; " then Res = ""." &amp; Tabelle7[[#This Row],[EnuRohValue]] &amp; "."""</f>
        <v xml:space="preserve">  If Wert = sbsTLS_PEOPLE then Res = ".PEOPLE."</v>
      </c>
      <c r="I1137" s="44" t="str">
        <f>"  If wert = ""." &amp; Tabelle7[[#This Row],[EnuRohValue]] &amp; "."" Then Res = " &amp; Tabelle7[[#This Row],[EnuValue]]</f>
        <v xml:space="preserve">  If wert = ".PEOPLE." Then Res = sbsTLS_PEOPLE</v>
      </c>
    </row>
    <row r="1138" spans="2:9" x14ac:dyDescent="0.25">
      <c r="B1138" s="44">
        <v>2</v>
      </c>
      <c r="C1138" s="45" t="s">
        <v>1647</v>
      </c>
      <c r="D1138" s="44" t="s">
        <v>4571</v>
      </c>
      <c r="E1138" s="44" t="str">
        <f>VLOOKUP(Tabelle7[[#This Row],[EnumName]],Enum[[IFC-Name]:[Präfix]],5,FALSE)&amp;Tabelle7[[#This Row],[EnuRohValue]]</f>
        <v>sbsTLS_LIGHTING</v>
      </c>
      <c r="F1138" s="44">
        <f>COUNTIF(Tabelle7[EnuValue],Tabelle7[[#This Row],[EnuValue]])</f>
        <v>1</v>
      </c>
      <c r="G1138" s="44" t="str">
        <f xml:space="preserve"> "  " &amp; Tabelle7[[#This Row],[EnuValue]] &amp; " = " &amp; Tabelle7[[#This Row],[Wert]]</f>
        <v xml:space="preserve">  sbsTLS_LIGHTING = 2</v>
      </c>
      <c r="H1138" s="44" t="str">
        <f>"  If Wert = " &amp; Tabelle7[[#This Row],[EnuValue]] &amp; " then Res = ""." &amp; Tabelle7[[#This Row],[EnuRohValue]] &amp; "."""</f>
        <v xml:space="preserve">  If Wert = sbsTLS_LIGHTING then Res = ".LIGHTING."</v>
      </c>
      <c r="I1138" s="44" t="str">
        <f>"  If wert = ""." &amp; Tabelle7[[#This Row],[EnuRohValue]] &amp; "."" Then Res = " &amp; Tabelle7[[#This Row],[EnuValue]]</f>
        <v xml:space="preserve">  If wert = ".LIGHTING." Then Res = sbsTLS_LIGHTING</v>
      </c>
    </row>
    <row r="1139" spans="2:9" x14ac:dyDescent="0.25">
      <c r="B1139" s="44">
        <v>3</v>
      </c>
      <c r="C1139" s="45" t="s">
        <v>1647</v>
      </c>
      <c r="D1139" s="44" t="s">
        <v>4572</v>
      </c>
      <c r="E1139" s="44" t="str">
        <f>VLOOKUP(Tabelle7[[#This Row],[EnumName]],Enum[[IFC-Name]:[Präfix]],5,FALSE)&amp;Tabelle7[[#This Row],[EnuRohValue]]</f>
        <v>sbsTLS_EQUIPMENT</v>
      </c>
      <c r="F1139" s="44">
        <f>COUNTIF(Tabelle7[EnuValue],Tabelle7[[#This Row],[EnuValue]])</f>
        <v>1</v>
      </c>
      <c r="G1139" s="44" t="str">
        <f xml:space="preserve"> "  " &amp; Tabelle7[[#This Row],[EnuValue]] &amp; " = " &amp; Tabelle7[[#This Row],[Wert]]</f>
        <v xml:space="preserve">  sbsTLS_EQUIPMENT = 3</v>
      </c>
      <c r="H1139" s="44" t="str">
        <f>"  If Wert = " &amp; Tabelle7[[#This Row],[EnuValue]] &amp; " then Res = ""." &amp; Tabelle7[[#This Row],[EnuRohValue]] &amp; "."""</f>
        <v xml:space="preserve">  If Wert = sbsTLS_EQUIPMENT then Res = ".EQUIPMENT."</v>
      </c>
      <c r="I1139" s="44" t="str">
        <f>"  If wert = ""." &amp; Tabelle7[[#This Row],[EnuRohValue]] &amp; "."" Then Res = " &amp; Tabelle7[[#This Row],[EnuValue]]</f>
        <v xml:space="preserve">  If wert = ".EQUIPMENT." Then Res = sbsTLS_EQUIPMENT</v>
      </c>
    </row>
    <row r="1140" spans="2:9" x14ac:dyDescent="0.25">
      <c r="B1140" s="44">
        <v>4</v>
      </c>
      <c r="C1140" s="45" t="s">
        <v>1647</v>
      </c>
      <c r="D1140" s="44" t="s">
        <v>4573</v>
      </c>
      <c r="E1140" s="44" t="str">
        <f>VLOOKUP(Tabelle7[[#This Row],[EnumName]],Enum[[IFC-Name]:[Präfix]],5,FALSE)&amp;Tabelle7[[#This Row],[EnuRohValue]]</f>
        <v>sbsTLS_VENTILATIONINDOORAIR</v>
      </c>
      <c r="F1140" s="44">
        <f>COUNTIF(Tabelle7[EnuValue],Tabelle7[[#This Row],[EnuValue]])</f>
        <v>1</v>
      </c>
      <c r="G1140" s="44" t="str">
        <f xml:space="preserve"> "  " &amp; Tabelle7[[#This Row],[EnuValue]] &amp; " = " &amp; Tabelle7[[#This Row],[Wert]]</f>
        <v xml:space="preserve">  sbsTLS_VENTILATIONINDOORAIR = 4</v>
      </c>
      <c r="H1140" s="44" t="str">
        <f>"  If Wert = " &amp; Tabelle7[[#This Row],[EnuValue]] &amp; " then Res = ""." &amp; Tabelle7[[#This Row],[EnuRohValue]] &amp; "."""</f>
        <v xml:space="preserve">  If Wert = sbsTLS_VENTILATIONINDOORAIR then Res = ".VENTILATIONINDOORAIR."</v>
      </c>
      <c r="I1140" s="44" t="str">
        <f>"  If wert = ""." &amp; Tabelle7[[#This Row],[EnuRohValue]] &amp; "."" Then Res = " &amp; Tabelle7[[#This Row],[EnuValue]]</f>
        <v xml:space="preserve">  If wert = ".VENTILATIONINDOORAIR." Then Res = sbsTLS_VENTILATIONINDOORAIR</v>
      </c>
    </row>
    <row r="1141" spans="2:9" x14ac:dyDescent="0.25">
      <c r="B1141" s="44">
        <v>5</v>
      </c>
      <c r="C1141" s="45" t="s">
        <v>1647</v>
      </c>
      <c r="D1141" s="44" t="s">
        <v>4574</v>
      </c>
      <c r="E1141" s="44" t="str">
        <f>VLOOKUP(Tabelle7[[#This Row],[EnumName]],Enum[[IFC-Name]:[Präfix]],5,FALSE)&amp;Tabelle7[[#This Row],[EnuRohValue]]</f>
        <v>sbsTLS_VENTILATIONOUTSIDEAIR</v>
      </c>
      <c r="F1141" s="44">
        <f>COUNTIF(Tabelle7[EnuValue],Tabelle7[[#This Row],[EnuValue]])</f>
        <v>1</v>
      </c>
      <c r="G1141" s="44" t="str">
        <f xml:space="preserve"> "  " &amp; Tabelle7[[#This Row],[EnuValue]] &amp; " = " &amp; Tabelle7[[#This Row],[Wert]]</f>
        <v xml:space="preserve">  sbsTLS_VENTILATIONOUTSIDEAIR = 5</v>
      </c>
      <c r="H1141" s="44" t="str">
        <f>"  If Wert = " &amp; Tabelle7[[#This Row],[EnuValue]] &amp; " then Res = ""." &amp; Tabelle7[[#This Row],[EnuRohValue]] &amp; "."""</f>
        <v xml:space="preserve">  If Wert = sbsTLS_VENTILATIONOUTSIDEAIR then Res = ".VENTILATIONOUTSIDEAIR."</v>
      </c>
      <c r="I1141" s="44" t="str">
        <f>"  If wert = ""." &amp; Tabelle7[[#This Row],[EnuRohValue]] &amp; "."" Then Res = " &amp; Tabelle7[[#This Row],[EnuValue]]</f>
        <v xml:space="preserve">  If wert = ".VENTILATIONOUTSIDEAIR." Then Res = sbsTLS_VENTILATIONOUTSIDEAIR</v>
      </c>
    </row>
    <row r="1142" spans="2:9" x14ac:dyDescent="0.25">
      <c r="B1142" s="44">
        <v>6</v>
      </c>
      <c r="C1142" s="45" t="s">
        <v>1647</v>
      </c>
      <c r="D1142" s="44" t="s">
        <v>4575</v>
      </c>
      <c r="E1142" s="44" t="str">
        <f>VLOOKUP(Tabelle7[[#This Row],[EnumName]],Enum[[IFC-Name]:[Präfix]],5,FALSE)&amp;Tabelle7[[#This Row],[EnuRohValue]]</f>
        <v>sbsTLS_RECIRCULATEDAIR</v>
      </c>
      <c r="F1142" s="44">
        <f>COUNTIF(Tabelle7[EnuValue],Tabelle7[[#This Row],[EnuValue]])</f>
        <v>1</v>
      </c>
      <c r="G1142" s="44" t="str">
        <f xml:space="preserve"> "  " &amp; Tabelle7[[#This Row],[EnuValue]] &amp; " = " &amp; Tabelle7[[#This Row],[Wert]]</f>
        <v xml:space="preserve">  sbsTLS_RECIRCULATEDAIR = 6</v>
      </c>
      <c r="H1142" s="44" t="str">
        <f>"  If Wert = " &amp; Tabelle7[[#This Row],[EnuValue]] &amp; " then Res = ""." &amp; Tabelle7[[#This Row],[EnuRohValue]] &amp; "."""</f>
        <v xml:space="preserve">  If Wert = sbsTLS_RECIRCULATEDAIR then Res = ".RECIRCULATEDAIR."</v>
      </c>
      <c r="I1142" s="44" t="str">
        <f>"  If wert = ""." &amp; Tabelle7[[#This Row],[EnuRohValue]] &amp; "."" Then Res = " &amp; Tabelle7[[#This Row],[EnuValue]]</f>
        <v xml:space="preserve">  If wert = ".RECIRCULATEDAIR." Then Res = sbsTLS_RECIRCULATEDAIR</v>
      </c>
    </row>
    <row r="1143" spans="2:9" x14ac:dyDescent="0.25">
      <c r="B1143" s="44">
        <v>7</v>
      </c>
      <c r="C1143" s="45" t="s">
        <v>1647</v>
      </c>
      <c r="D1143" s="44" t="s">
        <v>4576</v>
      </c>
      <c r="E1143" s="44" t="str">
        <f>VLOOKUP(Tabelle7[[#This Row],[EnumName]],Enum[[IFC-Name]:[Präfix]],5,FALSE)&amp;Tabelle7[[#This Row],[EnuRohValue]]</f>
        <v>sbsTLS_EXHAUSTAIR</v>
      </c>
      <c r="F1143" s="44">
        <f>COUNTIF(Tabelle7[EnuValue],Tabelle7[[#This Row],[EnuValue]])</f>
        <v>1</v>
      </c>
      <c r="G1143" s="44" t="str">
        <f xml:space="preserve"> "  " &amp; Tabelle7[[#This Row],[EnuValue]] &amp; " = " &amp; Tabelle7[[#This Row],[Wert]]</f>
        <v xml:space="preserve">  sbsTLS_EXHAUSTAIR = 7</v>
      </c>
      <c r="H1143" s="44" t="str">
        <f>"  If Wert = " &amp; Tabelle7[[#This Row],[EnuValue]] &amp; " then Res = ""." &amp; Tabelle7[[#This Row],[EnuRohValue]] &amp; "."""</f>
        <v xml:space="preserve">  If Wert = sbsTLS_EXHAUSTAIR then Res = ".EXHAUSTAIR."</v>
      </c>
      <c r="I1143" s="44" t="str">
        <f>"  If wert = ""." &amp; Tabelle7[[#This Row],[EnuRohValue]] &amp; "."" Then Res = " &amp; Tabelle7[[#This Row],[EnuValue]]</f>
        <v xml:space="preserve">  If wert = ".EXHAUSTAIR." Then Res = sbsTLS_EXHAUSTAIR</v>
      </c>
    </row>
    <row r="1144" spans="2:9" x14ac:dyDescent="0.25">
      <c r="B1144" s="44">
        <v>8</v>
      </c>
      <c r="C1144" s="45" t="s">
        <v>1647</v>
      </c>
      <c r="D1144" s="44" t="s">
        <v>4577</v>
      </c>
      <c r="E1144" s="44" t="str">
        <f>VLOOKUP(Tabelle7[[#This Row],[EnumName]],Enum[[IFC-Name]:[Präfix]],5,FALSE)&amp;Tabelle7[[#This Row],[EnuRohValue]]</f>
        <v>sbsTLS_AIREXCHANGERATE</v>
      </c>
      <c r="F1144" s="44">
        <f>COUNTIF(Tabelle7[EnuValue],Tabelle7[[#This Row],[EnuValue]])</f>
        <v>1</v>
      </c>
      <c r="G1144" s="44" t="str">
        <f xml:space="preserve"> "  " &amp; Tabelle7[[#This Row],[EnuValue]] &amp; " = " &amp; Tabelle7[[#This Row],[Wert]]</f>
        <v xml:space="preserve">  sbsTLS_AIREXCHANGERATE = 8</v>
      </c>
      <c r="H1144" s="44" t="str">
        <f>"  If Wert = " &amp; Tabelle7[[#This Row],[EnuValue]] &amp; " then Res = ""." &amp; Tabelle7[[#This Row],[EnuRohValue]] &amp; "."""</f>
        <v xml:space="preserve">  If Wert = sbsTLS_AIREXCHANGERATE then Res = ".AIREXCHANGERATE."</v>
      </c>
      <c r="I1144" s="44" t="str">
        <f>"  If wert = ""." &amp; Tabelle7[[#This Row],[EnuRohValue]] &amp; "."" Then Res = " &amp; Tabelle7[[#This Row],[EnuValue]]</f>
        <v xml:space="preserve">  If wert = ".AIREXCHANGERATE." Then Res = sbsTLS_AIREXCHANGERATE</v>
      </c>
    </row>
    <row r="1145" spans="2:9" x14ac:dyDescent="0.25">
      <c r="B1145" s="44">
        <v>9</v>
      </c>
      <c r="C1145" s="45" t="s">
        <v>1647</v>
      </c>
      <c r="D1145" s="44" t="s">
        <v>4578</v>
      </c>
      <c r="E1145" s="44" t="str">
        <f>VLOOKUP(Tabelle7[[#This Row],[EnumName]],Enum[[IFC-Name]:[Präfix]],5,FALSE)&amp;Tabelle7[[#This Row],[EnuRohValue]]</f>
        <v>sbsTLS_DRYBULBTEMPERATURE</v>
      </c>
      <c r="F1145" s="44">
        <f>COUNTIF(Tabelle7[EnuValue],Tabelle7[[#This Row],[EnuValue]])</f>
        <v>1</v>
      </c>
      <c r="G1145" s="44" t="str">
        <f xml:space="preserve"> "  " &amp; Tabelle7[[#This Row],[EnuValue]] &amp; " = " &amp; Tabelle7[[#This Row],[Wert]]</f>
        <v xml:space="preserve">  sbsTLS_DRYBULBTEMPERATURE = 9</v>
      </c>
      <c r="H1145" s="44" t="str">
        <f>"  If Wert = " &amp; Tabelle7[[#This Row],[EnuValue]] &amp; " then Res = ""." &amp; Tabelle7[[#This Row],[EnuRohValue]] &amp; "."""</f>
        <v xml:space="preserve">  If Wert = sbsTLS_DRYBULBTEMPERATURE then Res = ".DRYBULBTEMPERATURE."</v>
      </c>
      <c r="I1145" s="44" t="str">
        <f>"  If wert = ""." &amp; Tabelle7[[#This Row],[EnuRohValue]] &amp; "."" Then Res = " &amp; Tabelle7[[#This Row],[EnuValue]]</f>
        <v xml:space="preserve">  If wert = ".DRYBULBTEMPERATURE." Then Res = sbsTLS_DRYBULBTEMPERATURE</v>
      </c>
    </row>
    <row r="1146" spans="2:9" x14ac:dyDescent="0.25">
      <c r="B1146" s="44">
        <v>10</v>
      </c>
      <c r="C1146" s="45" t="s">
        <v>1647</v>
      </c>
      <c r="D1146" s="44" t="s">
        <v>4579</v>
      </c>
      <c r="E1146" s="44" t="str">
        <f>VLOOKUP(Tabelle7[[#This Row],[EnumName]],Enum[[IFC-Name]:[Präfix]],5,FALSE)&amp;Tabelle7[[#This Row],[EnuRohValue]]</f>
        <v>sbsTLS_RELATIVEHUMIDITY</v>
      </c>
      <c r="F1146" s="44">
        <f>COUNTIF(Tabelle7[EnuValue],Tabelle7[[#This Row],[EnuValue]])</f>
        <v>1</v>
      </c>
      <c r="G1146" s="44" t="str">
        <f xml:space="preserve"> "  " &amp; Tabelle7[[#This Row],[EnuValue]] &amp; " = " &amp; Tabelle7[[#This Row],[Wert]]</f>
        <v xml:space="preserve">  sbsTLS_RELATIVEHUMIDITY = 10</v>
      </c>
      <c r="H1146" s="44" t="str">
        <f>"  If Wert = " &amp; Tabelle7[[#This Row],[EnuValue]] &amp; " then Res = ""." &amp; Tabelle7[[#This Row],[EnuRohValue]] &amp; "."""</f>
        <v xml:space="preserve">  If Wert = sbsTLS_RELATIVEHUMIDITY then Res = ".RELATIVEHUMIDITY."</v>
      </c>
      <c r="I1146" s="44" t="str">
        <f>"  If wert = ""." &amp; Tabelle7[[#This Row],[EnuRohValue]] &amp; "."" Then Res = " &amp; Tabelle7[[#This Row],[EnuValue]]</f>
        <v xml:space="preserve">  If wert = ".RELATIVEHUMIDITY." Then Res = sbsTLS_RELATIVEHUMIDITY</v>
      </c>
    </row>
    <row r="1147" spans="2:9" x14ac:dyDescent="0.25">
      <c r="B1147" s="44">
        <v>11</v>
      </c>
      <c r="C1147" s="45" t="s">
        <v>1647</v>
      </c>
      <c r="D1147" s="44" t="s">
        <v>4580</v>
      </c>
      <c r="E1147" s="44" t="str">
        <f>VLOOKUP(Tabelle7[[#This Row],[EnumName]],Enum[[IFC-Name]:[Präfix]],5,FALSE)&amp;Tabelle7[[#This Row],[EnuRohValue]]</f>
        <v>sbsTLS_INFILTRATION</v>
      </c>
      <c r="F1147" s="44">
        <f>COUNTIF(Tabelle7[EnuValue],Tabelle7[[#This Row],[EnuValue]])</f>
        <v>1</v>
      </c>
      <c r="G1147" s="44" t="str">
        <f xml:space="preserve"> "  " &amp; Tabelle7[[#This Row],[EnuValue]] &amp; " = " &amp; Tabelle7[[#This Row],[Wert]]</f>
        <v xml:space="preserve">  sbsTLS_INFILTRATION = 11</v>
      </c>
      <c r="H1147" s="44" t="str">
        <f>"  If Wert = " &amp; Tabelle7[[#This Row],[EnuValue]] &amp; " then Res = ""." &amp; Tabelle7[[#This Row],[EnuRohValue]] &amp; "."""</f>
        <v xml:space="preserve">  If Wert = sbsTLS_INFILTRATION then Res = ".INFILTRATION."</v>
      </c>
      <c r="I1147" s="44" t="str">
        <f>"  If wert = ""." &amp; Tabelle7[[#This Row],[EnuRohValue]] &amp; "."" Then Res = " &amp; Tabelle7[[#This Row],[EnuValue]]</f>
        <v xml:space="preserve">  If wert = ".INFILTRATION." Then Res = sbsTLS_INFILTRATION</v>
      </c>
    </row>
    <row r="1148" spans="2:9" x14ac:dyDescent="0.25">
      <c r="B1148" s="44">
        <v>12</v>
      </c>
      <c r="C1148" s="45" t="s">
        <v>1647</v>
      </c>
      <c r="D1148" s="44" t="s">
        <v>3682</v>
      </c>
      <c r="E1148" s="44" t="str">
        <f>VLOOKUP(Tabelle7[[#This Row],[EnumName]],Enum[[IFC-Name]:[Präfix]],5,FALSE)&amp;Tabelle7[[#This Row],[EnuRohValue]]</f>
        <v>sbsTLS_USERDEFINED</v>
      </c>
      <c r="F1148" s="44">
        <f>COUNTIF(Tabelle7[EnuValue],Tabelle7[[#This Row],[EnuValue]])</f>
        <v>1</v>
      </c>
      <c r="G1148" s="44" t="str">
        <f xml:space="preserve"> "  " &amp; Tabelle7[[#This Row],[EnuValue]] &amp; " = " &amp; Tabelle7[[#This Row],[Wert]]</f>
        <v xml:space="preserve">  sbsTLS_USERDEFINED = 12</v>
      </c>
      <c r="H1148" s="44" t="str">
        <f>"  If Wert = " &amp; Tabelle7[[#This Row],[EnuValue]] &amp; " then Res = ""." &amp; Tabelle7[[#This Row],[EnuRohValue]] &amp; "."""</f>
        <v xml:space="preserve">  If Wert = sbsTLS_USERDEFINED then Res = ".USERDEFINED."</v>
      </c>
      <c r="I1148" s="44" t="str">
        <f>"  If wert = ""." &amp; Tabelle7[[#This Row],[EnuRohValue]] &amp; "."" Then Res = " &amp; Tabelle7[[#This Row],[EnuValue]]</f>
        <v xml:space="preserve">  If wert = ".USERDEFINED." Then Res = sbsTLS_USERDEFINED</v>
      </c>
    </row>
    <row r="1149" spans="2:9" x14ac:dyDescent="0.25">
      <c r="B1149" s="44">
        <v>13</v>
      </c>
      <c r="C1149" s="45" t="s">
        <v>1647</v>
      </c>
      <c r="D1149" s="44" t="s">
        <v>3683</v>
      </c>
      <c r="E1149" s="44" t="str">
        <f>VLOOKUP(Tabelle7[[#This Row],[EnumName]],Enum[[IFC-Name]:[Präfix]],5,FALSE)&amp;Tabelle7[[#This Row],[EnuRohValue]]</f>
        <v>sbsTLS_NOTDEFINED</v>
      </c>
      <c r="F1149" s="44">
        <f>COUNTIF(Tabelle7[EnuValue],Tabelle7[[#This Row],[EnuValue]])</f>
        <v>1</v>
      </c>
      <c r="G1149" s="44" t="str">
        <f xml:space="preserve"> "  " &amp; Tabelle7[[#This Row],[EnuValue]] &amp; " = " &amp; Tabelle7[[#This Row],[Wert]]</f>
        <v xml:space="preserve">  sbsTLS_NOTDEFINED = 13</v>
      </c>
      <c r="H1149" s="44" t="str">
        <f>"  If Wert = " &amp; Tabelle7[[#This Row],[EnuValue]] &amp; " then Res = ""." &amp; Tabelle7[[#This Row],[EnuRohValue]] &amp; "."""</f>
        <v xml:space="preserve">  If Wert = sbsTLS_NOTDEFINED then Res = ".NOTDEFINED."</v>
      </c>
      <c r="I1149" s="44" t="str">
        <f>"  If wert = ""." &amp; Tabelle7[[#This Row],[EnuRohValue]] &amp; "."" Then Res = " &amp; Tabelle7[[#This Row],[EnuValue]]</f>
        <v xml:space="preserve">  If wert = ".NOTDEFINED." Then Res = sbsTLS_NOTDEFINED</v>
      </c>
    </row>
    <row r="1150" spans="2:9" x14ac:dyDescent="0.25">
      <c r="B1150" s="44">
        <v>1</v>
      </c>
      <c r="C1150" s="45" t="s">
        <v>1648</v>
      </c>
      <c r="D1150" s="44" t="s">
        <v>4581</v>
      </c>
      <c r="E1150" s="44" t="str">
        <f>VLOOKUP(Tabelle7[[#This Row],[EnumName]],Enum[[IFC-Name]:[Präfix]],5,FALSE)&amp;Tabelle7[[#This Row],[EnuRohValue]]</f>
        <v>sbsTLT_SENSIBLE</v>
      </c>
      <c r="F1150" s="44">
        <f>COUNTIF(Tabelle7[EnuValue],Tabelle7[[#This Row],[EnuValue]])</f>
        <v>1</v>
      </c>
      <c r="G1150" s="44" t="str">
        <f xml:space="preserve"> "  " &amp; Tabelle7[[#This Row],[EnuValue]] &amp; " = " &amp; Tabelle7[[#This Row],[Wert]]</f>
        <v xml:space="preserve">  sbsTLT_SENSIBLE = 1</v>
      </c>
      <c r="H1150" s="44" t="str">
        <f>"  If Wert = " &amp; Tabelle7[[#This Row],[EnuValue]] &amp; " then Res = ""." &amp; Tabelle7[[#This Row],[EnuRohValue]] &amp; "."""</f>
        <v xml:space="preserve">  If Wert = sbsTLT_SENSIBLE then Res = ".SENSIBLE."</v>
      </c>
      <c r="I1150" s="44" t="str">
        <f>"  If wert = ""." &amp; Tabelle7[[#This Row],[EnuRohValue]] &amp; "."" Then Res = " &amp; Tabelle7[[#This Row],[EnuValue]]</f>
        <v xml:space="preserve">  If wert = ".SENSIBLE." Then Res = sbsTLT_SENSIBLE</v>
      </c>
    </row>
    <row r="1151" spans="2:9" x14ac:dyDescent="0.25">
      <c r="B1151" s="44">
        <v>2</v>
      </c>
      <c r="C1151" s="45" t="s">
        <v>1648</v>
      </c>
      <c r="D1151" s="44" t="s">
        <v>4582</v>
      </c>
      <c r="E1151" s="44" t="str">
        <f>VLOOKUP(Tabelle7[[#This Row],[EnumName]],Enum[[IFC-Name]:[Präfix]],5,FALSE)&amp;Tabelle7[[#This Row],[EnuRohValue]]</f>
        <v>sbsTLT_LATENT</v>
      </c>
      <c r="F1151" s="44">
        <f>COUNTIF(Tabelle7[EnuValue],Tabelle7[[#This Row],[EnuValue]])</f>
        <v>1</v>
      </c>
      <c r="G1151" s="44" t="str">
        <f xml:space="preserve"> "  " &amp; Tabelle7[[#This Row],[EnuValue]] &amp; " = " &amp; Tabelle7[[#This Row],[Wert]]</f>
        <v xml:space="preserve">  sbsTLT_LATENT = 2</v>
      </c>
      <c r="H1151" s="44" t="str">
        <f>"  If Wert = " &amp; Tabelle7[[#This Row],[EnuValue]] &amp; " then Res = ""." &amp; Tabelle7[[#This Row],[EnuRohValue]] &amp; "."""</f>
        <v xml:space="preserve">  If Wert = sbsTLT_LATENT then Res = ".LATENT."</v>
      </c>
      <c r="I1151" s="44" t="str">
        <f>"  If wert = ""." &amp; Tabelle7[[#This Row],[EnuRohValue]] &amp; "."" Then Res = " &amp; Tabelle7[[#This Row],[EnuValue]]</f>
        <v xml:space="preserve">  If wert = ".LATENT." Then Res = sbsTLT_LATENT</v>
      </c>
    </row>
    <row r="1152" spans="2:9" x14ac:dyDescent="0.25">
      <c r="B1152" s="44">
        <v>3</v>
      </c>
      <c r="C1152" s="45" t="s">
        <v>1648</v>
      </c>
      <c r="D1152" s="44" t="s">
        <v>4583</v>
      </c>
      <c r="E1152" s="44" t="str">
        <f>VLOOKUP(Tabelle7[[#This Row],[EnumName]],Enum[[IFC-Name]:[Präfix]],5,FALSE)&amp;Tabelle7[[#This Row],[EnuRohValue]]</f>
        <v>sbsTLT_RADIANT</v>
      </c>
      <c r="F1152" s="44">
        <f>COUNTIF(Tabelle7[EnuValue],Tabelle7[[#This Row],[EnuValue]])</f>
        <v>1</v>
      </c>
      <c r="G1152" s="44" t="str">
        <f xml:space="preserve"> "  " &amp; Tabelle7[[#This Row],[EnuValue]] &amp; " = " &amp; Tabelle7[[#This Row],[Wert]]</f>
        <v xml:space="preserve">  sbsTLT_RADIANT = 3</v>
      </c>
      <c r="H1152" s="44" t="str">
        <f>"  If Wert = " &amp; Tabelle7[[#This Row],[EnuValue]] &amp; " then Res = ""." &amp; Tabelle7[[#This Row],[EnuRohValue]] &amp; "."""</f>
        <v xml:space="preserve">  If Wert = sbsTLT_RADIANT then Res = ".RADIANT."</v>
      </c>
      <c r="I1152" s="44" t="str">
        <f>"  If wert = ""." &amp; Tabelle7[[#This Row],[EnuRohValue]] &amp; "."" Then Res = " &amp; Tabelle7[[#This Row],[EnuValue]]</f>
        <v xml:space="preserve">  If wert = ".RADIANT." Then Res = sbsTLT_RADIANT</v>
      </c>
    </row>
    <row r="1153" spans="2:9" x14ac:dyDescent="0.25">
      <c r="B1153" s="44">
        <v>4</v>
      </c>
      <c r="C1153" s="45" t="s">
        <v>1648</v>
      </c>
      <c r="D1153" s="44" t="s">
        <v>3683</v>
      </c>
      <c r="E1153" s="44" t="str">
        <f>VLOOKUP(Tabelle7[[#This Row],[EnumName]],Enum[[IFC-Name]:[Präfix]],5,FALSE)&amp;Tabelle7[[#This Row],[EnuRohValue]]</f>
        <v>sbsTLT_NOTDEFINED</v>
      </c>
      <c r="F1153" s="44">
        <f>COUNTIF(Tabelle7[EnuValue],Tabelle7[[#This Row],[EnuValue]])</f>
        <v>1</v>
      </c>
      <c r="G1153" s="44" t="str">
        <f xml:space="preserve"> "  " &amp; Tabelle7[[#This Row],[EnuValue]] &amp; " = " &amp; Tabelle7[[#This Row],[Wert]]</f>
        <v xml:space="preserve">  sbsTLT_NOTDEFINED = 4</v>
      </c>
      <c r="H1153" s="44" t="str">
        <f>"  If Wert = " &amp; Tabelle7[[#This Row],[EnuValue]] &amp; " then Res = ""." &amp; Tabelle7[[#This Row],[EnuRohValue]] &amp; "."""</f>
        <v xml:space="preserve">  If Wert = sbsTLT_NOTDEFINED then Res = ".NOTDEFINED."</v>
      </c>
      <c r="I1153" s="44" t="str">
        <f>"  If wert = ""." &amp; Tabelle7[[#This Row],[EnuRohValue]] &amp; "."" Then Res = " &amp; Tabelle7[[#This Row],[EnuValue]]</f>
        <v xml:space="preserve">  If wert = ".NOTDEFINED." Then Res = sbsTLT_NOTDEFINED</v>
      </c>
    </row>
    <row r="1154" spans="2:9" x14ac:dyDescent="0.25">
      <c r="B1154" s="44">
        <v>1</v>
      </c>
      <c r="C1154" s="45" t="s">
        <v>1649</v>
      </c>
      <c r="D1154" s="44" t="s">
        <v>4584</v>
      </c>
      <c r="E1154" s="44" t="str">
        <f>VLOOKUP(Tabelle7[[#This Row],[EnumName]],Enum[[IFC-Name]:[Präfix]],5,FALSE)&amp;Tabelle7[[#This Row],[EnuRohValue]]</f>
        <v>tisTSDT_CONTINUOUS</v>
      </c>
      <c r="F1154" s="44">
        <f>COUNTIF(Tabelle7[EnuValue],Tabelle7[[#This Row],[EnuValue]])</f>
        <v>1</v>
      </c>
      <c r="G1154" s="44" t="str">
        <f xml:space="preserve"> "  " &amp; Tabelle7[[#This Row],[EnuValue]] &amp; " = " &amp; Tabelle7[[#This Row],[Wert]]</f>
        <v xml:space="preserve">  tisTSDT_CONTINUOUS = 1</v>
      </c>
      <c r="H1154" s="44" t="str">
        <f>"  If Wert = " &amp; Tabelle7[[#This Row],[EnuValue]] &amp; " then Res = ""." &amp; Tabelle7[[#This Row],[EnuRohValue]] &amp; "."""</f>
        <v xml:space="preserve">  If Wert = tisTSDT_CONTINUOUS then Res = ".CONTINUOUS."</v>
      </c>
      <c r="I1154" s="44" t="str">
        <f>"  If wert = ""." &amp; Tabelle7[[#This Row],[EnuRohValue]] &amp; "."" Then Res = " &amp; Tabelle7[[#This Row],[EnuValue]]</f>
        <v xml:space="preserve">  If wert = ".CONTINUOUS." Then Res = tisTSDT_CONTINUOUS</v>
      </c>
    </row>
    <row r="1155" spans="2:9" x14ac:dyDescent="0.25">
      <c r="B1155" s="44">
        <v>2</v>
      </c>
      <c r="C1155" s="45" t="s">
        <v>1649</v>
      </c>
      <c r="D1155" s="44" t="s">
        <v>4585</v>
      </c>
      <c r="E1155" s="44" t="str">
        <f>VLOOKUP(Tabelle7[[#This Row],[EnumName]],Enum[[IFC-Name]:[Präfix]],5,FALSE)&amp;Tabelle7[[#This Row],[EnuRohValue]]</f>
        <v>tisTSDT_DISCRETE</v>
      </c>
      <c r="F1155" s="44">
        <f>COUNTIF(Tabelle7[EnuValue],Tabelle7[[#This Row],[EnuValue]])</f>
        <v>1</v>
      </c>
      <c r="G1155" s="44" t="str">
        <f xml:space="preserve"> "  " &amp; Tabelle7[[#This Row],[EnuValue]] &amp; " = " &amp; Tabelle7[[#This Row],[Wert]]</f>
        <v xml:space="preserve">  tisTSDT_DISCRETE = 2</v>
      </c>
      <c r="H1155" s="44" t="str">
        <f>"  If Wert = " &amp; Tabelle7[[#This Row],[EnuValue]] &amp; " then Res = ""." &amp; Tabelle7[[#This Row],[EnuRohValue]] &amp; "."""</f>
        <v xml:space="preserve">  If Wert = tisTSDT_DISCRETE then Res = ".DISCRETE."</v>
      </c>
      <c r="I1155" s="44" t="str">
        <f>"  If wert = ""." &amp; Tabelle7[[#This Row],[EnuRohValue]] &amp; "."" Then Res = " &amp; Tabelle7[[#This Row],[EnuValue]]</f>
        <v xml:space="preserve">  If wert = ".DISCRETE." Then Res = tisTSDT_DISCRETE</v>
      </c>
    </row>
    <row r="1156" spans="2:9" x14ac:dyDescent="0.25">
      <c r="B1156" s="44">
        <v>3</v>
      </c>
      <c r="C1156" s="45" t="s">
        <v>1649</v>
      </c>
      <c r="D1156" s="44" t="s">
        <v>4586</v>
      </c>
      <c r="E1156" s="44" t="str">
        <f>VLOOKUP(Tabelle7[[#This Row],[EnumName]],Enum[[IFC-Name]:[Präfix]],5,FALSE)&amp;Tabelle7[[#This Row],[EnuRohValue]]</f>
        <v>tisTSDT_DISCRETEBINARY</v>
      </c>
      <c r="F1156" s="44">
        <f>COUNTIF(Tabelle7[EnuValue],Tabelle7[[#This Row],[EnuValue]])</f>
        <v>1</v>
      </c>
      <c r="G1156" s="44" t="str">
        <f xml:space="preserve"> "  " &amp; Tabelle7[[#This Row],[EnuValue]] &amp; " = " &amp; Tabelle7[[#This Row],[Wert]]</f>
        <v xml:space="preserve">  tisTSDT_DISCRETEBINARY = 3</v>
      </c>
      <c r="H1156" s="44" t="str">
        <f>"  If Wert = " &amp; Tabelle7[[#This Row],[EnuValue]] &amp; " then Res = ""." &amp; Tabelle7[[#This Row],[EnuRohValue]] &amp; "."""</f>
        <v xml:space="preserve">  If Wert = tisTSDT_DISCRETEBINARY then Res = ".DISCRETEBINARY."</v>
      </c>
      <c r="I1156" s="44" t="str">
        <f>"  If wert = ""." &amp; Tabelle7[[#This Row],[EnuRohValue]] &amp; "."" Then Res = " &amp; Tabelle7[[#This Row],[EnuValue]]</f>
        <v xml:space="preserve">  If wert = ".DISCRETEBINARY." Then Res = tisTSDT_DISCRETEBINARY</v>
      </c>
    </row>
    <row r="1157" spans="2:9" x14ac:dyDescent="0.25">
      <c r="B1157" s="44">
        <v>4</v>
      </c>
      <c r="C1157" s="45" t="s">
        <v>1649</v>
      </c>
      <c r="D1157" s="44" t="s">
        <v>4587</v>
      </c>
      <c r="E1157" s="44" t="str">
        <f>VLOOKUP(Tabelle7[[#This Row],[EnumName]],Enum[[IFC-Name]:[Präfix]],5,FALSE)&amp;Tabelle7[[#This Row],[EnuRohValue]]</f>
        <v>tisTSDT_PIECEWISEBINARY</v>
      </c>
      <c r="F1157" s="44">
        <f>COUNTIF(Tabelle7[EnuValue],Tabelle7[[#This Row],[EnuValue]])</f>
        <v>1</v>
      </c>
      <c r="G1157" s="44" t="str">
        <f xml:space="preserve"> "  " &amp; Tabelle7[[#This Row],[EnuValue]] &amp; " = " &amp; Tabelle7[[#This Row],[Wert]]</f>
        <v xml:space="preserve">  tisTSDT_PIECEWISEBINARY = 4</v>
      </c>
      <c r="H1157" s="44" t="str">
        <f>"  If Wert = " &amp; Tabelle7[[#This Row],[EnuValue]] &amp; " then Res = ""." &amp; Tabelle7[[#This Row],[EnuRohValue]] &amp; "."""</f>
        <v xml:space="preserve">  If Wert = tisTSDT_PIECEWISEBINARY then Res = ".PIECEWISEBINARY."</v>
      </c>
      <c r="I1157" s="44" t="str">
        <f>"  If wert = ""." &amp; Tabelle7[[#This Row],[EnuRohValue]] &amp; "."" Then Res = " &amp; Tabelle7[[#This Row],[EnuValue]]</f>
        <v xml:space="preserve">  If wert = ".PIECEWISEBINARY." Then Res = tisTSDT_PIECEWISEBINARY</v>
      </c>
    </row>
    <row r="1158" spans="2:9" x14ac:dyDescent="0.25">
      <c r="B1158" s="44">
        <v>5</v>
      </c>
      <c r="C1158" s="45" t="s">
        <v>1649</v>
      </c>
      <c r="D1158" s="44" t="s">
        <v>4588</v>
      </c>
      <c r="E1158" s="44" t="str">
        <f>VLOOKUP(Tabelle7[[#This Row],[EnumName]],Enum[[IFC-Name]:[Präfix]],5,FALSE)&amp;Tabelle7[[#This Row],[EnuRohValue]]</f>
        <v>tisTSDT_PIECEWISECONSTANT</v>
      </c>
      <c r="F1158" s="44">
        <f>COUNTIF(Tabelle7[EnuValue],Tabelle7[[#This Row],[EnuValue]])</f>
        <v>1</v>
      </c>
      <c r="G1158" s="44" t="str">
        <f xml:space="preserve"> "  " &amp; Tabelle7[[#This Row],[EnuValue]] &amp; " = " &amp; Tabelle7[[#This Row],[Wert]]</f>
        <v xml:space="preserve">  tisTSDT_PIECEWISECONSTANT = 5</v>
      </c>
      <c r="H1158" s="44" t="str">
        <f>"  If Wert = " &amp; Tabelle7[[#This Row],[EnuValue]] &amp; " then Res = ""." &amp; Tabelle7[[#This Row],[EnuRohValue]] &amp; "."""</f>
        <v xml:space="preserve">  If Wert = tisTSDT_PIECEWISECONSTANT then Res = ".PIECEWISECONSTANT."</v>
      </c>
      <c r="I1158" s="44" t="str">
        <f>"  If wert = ""." &amp; Tabelle7[[#This Row],[EnuRohValue]] &amp; "."" Then Res = " &amp; Tabelle7[[#This Row],[EnuValue]]</f>
        <v xml:space="preserve">  If wert = ".PIECEWISECONSTANT." Then Res = tisTSDT_PIECEWISECONSTANT</v>
      </c>
    </row>
    <row r="1159" spans="2:9" x14ac:dyDescent="0.25">
      <c r="B1159" s="44">
        <v>6</v>
      </c>
      <c r="C1159" s="45" t="s">
        <v>1649</v>
      </c>
      <c r="D1159" s="44" t="s">
        <v>4589</v>
      </c>
      <c r="E1159" s="44" t="str">
        <f>VLOOKUP(Tabelle7[[#This Row],[EnumName]],Enum[[IFC-Name]:[Präfix]],5,FALSE)&amp;Tabelle7[[#This Row],[EnuRohValue]]</f>
        <v>tisTSDT_PIECEWISECONTINUOUS</v>
      </c>
      <c r="F1159" s="44">
        <f>COUNTIF(Tabelle7[EnuValue],Tabelle7[[#This Row],[EnuValue]])</f>
        <v>1</v>
      </c>
      <c r="G1159" s="44" t="str">
        <f xml:space="preserve"> "  " &amp; Tabelle7[[#This Row],[EnuValue]] &amp; " = " &amp; Tabelle7[[#This Row],[Wert]]</f>
        <v xml:space="preserve">  tisTSDT_PIECEWISECONTINUOUS = 6</v>
      </c>
      <c r="H1159" s="44" t="str">
        <f>"  If Wert = " &amp; Tabelle7[[#This Row],[EnuValue]] &amp; " then Res = ""." &amp; Tabelle7[[#This Row],[EnuRohValue]] &amp; "."""</f>
        <v xml:space="preserve">  If Wert = tisTSDT_PIECEWISECONTINUOUS then Res = ".PIECEWISECONTINUOUS."</v>
      </c>
      <c r="I1159" s="44" t="str">
        <f>"  If wert = ""." &amp; Tabelle7[[#This Row],[EnuRohValue]] &amp; "."" Then Res = " &amp; Tabelle7[[#This Row],[EnuValue]]</f>
        <v xml:space="preserve">  If wert = ".PIECEWISECONTINUOUS." Then Res = tisTSDT_PIECEWISECONTINUOUS</v>
      </c>
    </row>
    <row r="1160" spans="2:9" x14ac:dyDescent="0.25">
      <c r="B1160" s="44">
        <v>7</v>
      </c>
      <c r="C1160" s="45" t="s">
        <v>1649</v>
      </c>
      <c r="D1160" s="44" t="s">
        <v>3683</v>
      </c>
      <c r="E1160" s="44" t="str">
        <f>VLOOKUP(Tabelle7[[#This Row],[EnumName]],Enum[[IFC-Name]:[Präfix]],5,FALSE)&amp;Tabelle7[[#This Row],[EnuRohValue]]</f>
        <v>tisTSDT_NOTDEFINED</v>
      </c>
      <c r="F1160" s="44">
        <f>COUNTIF(Tabelle7[EnuValue],Tabelle7[[#This Row],[EnuValue]])</f>
        <v>1</v>
      </c>
      <c r="G1160" s="44" t="str">
        <f xml:space="preserve"> "  " &amp; Tabelle7[[#This Row],[EnuValue]] &amp; " = " &amp; Tabelle7[[#This Row],[Wert]]</f>
        <v xml:space="preserve">  tisTSDT_NOTDEFINED = 7</v>
      </c>
      <c r="H1160" s="44" t="str">
        <f>"  If Wert = " &amp; Tabelle7[[#This Row],[EnuValue]] &amp; " then Res = ""." &amp; Tabelle7[[#This Row],[EnuRohValue]] &amp; "."""</f>
        <v xml:space="preserve">  If Wert = tisTSDT_NOTDEFINED then Res = ".NOTDEFINED."</v>
      </c>
      <c r="I1160" s="44" t="str">
        <f>"  If wert = ""." &amp; Tabelle7[[#This Row],[EnuRohValue]] &amp; "."" Then Res = " &amp; Tabelle7[[#This Row],[EnuValue]]</f>
        <v xml:space="preserve">  If wert = ".NOTDEFINED." Then Res = tisTSDT_NOTDEFINED</v>
      </c>
    </row>
    <row r="1161" spans="2:9" x14ac:dyDescent="0.25">
      <c r="B1161" s="44">
        <v>1</v>
      </c>
      <c r="C1161" s="45" t="s">
        <v>1650</v>
      </c>
      <c r="D1161" s="44" t="s">
        <v>4590</v>
      </c>
      <c r="E1161" s="44" t="str">
        <f>VLOOKUP(Tabelle7[[#This Row],[EnumName]],Enum[[IFC-Name]:[Präfix]],5,FALSE)&amp;Tabelle7[[#This Row],[EnuRohValue]]</f>
        <v>ctrTSST_ANNUAL</v>
      </c>
      <c r="F1161" s="44">
        <f>COUNTIF(Tabelle7[EnuValue],Tabelle7[[#This Row],[EnuValue]])</f>
        <v>1</v>
      </c>
      <c r="G1161" s="44" t="str">
        <f xml:space="preserve"> "  " &amp; Tabelle7[[#This Row],[EnuValue]] &amp; " = " &amp; Tabelle7[[#This Row],[Wert]]</f>
        <v xml:space="preserve">  ctrTSST_ANNUAL = 1</v>
      </c>
      <c r="H1161" s="44" t="str">
        <f>"  If Wert = " &amp; Tabelle7[[#This Row],[EnuValue]] &amp; " then Res = ""." &amp; Tabelle7[[#This Row],[EnuRohValue]] &amp; "."""</f>
        <v xml:space="preserve">  If Wert = ctrTSST_ANNUAL then Res = ".ANNUAL."</v>
      </c>
      <c r="I1161" s="44" t="str">
        <f>"  If wert = ""." &amp; Tabelle7[[#This Row],[EnuRohValue]] &amp; "."" Then Res = " &amp; Tabelle7[[#This Row],[EnuValue]]</f>
        <v xml:space="preserve">  If wert = ".ANNUAL." Then Res = ctrTSST_ANNUAL</v>
      </c>
    </row>
    <row r="1162" spans="2:9" x14ac:dyDescent="0.25">
      <c r="B1162" s="44">
        <v>2</v>
      </c>
      <c r="C1162" s="45" t="s">
        <v>1650</v>
      </c>
      <c r="D1162" s="44" t="s">
        <v>4591</v>
      </c>
      <c r="E1162" s="44" t="str">
        <f>VLOOKUP(Tabelle7[[#This Row],[EnumName]],Enum[[IFC-Name]:[Präfix]],5,FALSE)&amp;Tabelle7[[#This Row],[EnuRohValue]]</f>
        <v>ctrTSST_MONTHLY</v>
      </c>
      <c r="F1162" s="44">
        <f>COUNTIF(Tabelle7[EnuValue],Tabelle7[[#This Row],[EnuValue]])</f>
        <v>1</v>
      </c>
      <c r="G1162" s="44" t="str">
        <f xml:space="preserve"> "  " &amp; Tabelle7[[#This Row],[EnuValue]] &amp; " = " &amp; Tabelle7[[#This Row],[Wert]]</f>
        <v xml:space="preserve">  ctrTSST_MONTHLY = 2</v>
      </c>
      <c r="H1162" s="44" t="str">
        <f>"  If Wert = " &amp; Tabelle7[[#This Row],[EnuValue]] &amp; " then Res = ""." &amp; Tabelle7[[#This Row],[EnuRohValue]] &amp; "."""</f>
        <v xml:space="preserve">  If Wert = ctrTSST_MONTHLY then Res = ".MONTHLY."</v>
      </c>
      <c r="I1162" s="44" t="str">
        <f>"  If wert = ""." &amp; Tabelle7[[#This Row],[EnuRohValue]] &amp; "."" Then Res = " &amp; Tabelle7[[#This Row],[EnuValue]]</f>
        <v xml:space="preserve">  If wert = ".MONTHLY." Then Res = ctrTSST_MONTHLY</v>
      </c>
    </row>
    <row r="1163" spans="2:9" x14ac:dyDescent="0.25">
      <c r="B1163" s="44">
        <v>3</v>
      </c>
      <c r="C1163" s="45" t="s">
        <v>1650</v>
      </c>
      <c r="D1163" s="44" t="s">
        <v>4592</v>
      </c>
      <c r="E1163" s="44" t="str">
        <f>VLOOKUP(Tabelle7[[#This Row],[EnumName]],Enum[[IFC-Name]:[Präfix]],5,FALSE)&amp;Tabelle7[[#This Row],[EnuRohValue]]</f>
        <v>ctrTSST_WEEKLY</v>
      </c>
      <c r="F1163" s="44">
        <f>COUNTIF(Tabelle7[EnuValue],Tabelle7[[#This Row],[EnuValue]])</f>
        <v>1</v>
      </c>
      <c r="G1163" s="44" t="str">
        <f xml:space="preserve"> "  " &amp; Tabelle7[[#This Row],[EnuValue]] &amp; " = " &amp; Tabelle7[[#This Row],[Wert]]</f>
        <v xml:space="preserve">  ctrTSST_WEEKLY = 3</v>
      </c>
      <c r="H1163" s="44" t="str">
        <f>"  If Wert = " &amp; Tabelle7[[#This Row],[EnuValue]] &amp; " then Res = ""." &amp; Tabelle7[[#This Row],[EnuRohValue]] &amp; "."""</f>
        <v xml:space="preserve">  If Wert = ctrTSST_WEEKLY then Res = ".WEEKLY."</v>
      </c>
      <c r="I1163" s="44" t="str">
        <f>"  If wert = ""." &amp; Tabelle7[[#This Row],[EnuRohValue]] &amp; "."" Then Res = " &amp; Tabelle7[[#This Row],[EnuValue]]</f>
        <v xml:space="preserve">  If wert = ".WEEKLY." Then Res = ctrTSST_WEEKLY</v>
      </c>
    </row>
    <row r="1164" spans="2:9" x14ac:dyDescent="0.25">
      <c r="B1164" s="44">
        <v>4</v>
      </c>
      <c r="C1164" s="45" t="s">
        <v>1650</v>
      </c>
      <c r="D1164" s="44" t="s">
        <v>4593</v>
      </c>
      <c r="E1164" s="44" t="str">
        <f>VLOOKUP(Tabelle7[[#This Row],[EnumName]],Enum[[IFC-Name]:[Präfix]],5,FALSE)&amp;Tabelle7[[#This Row],[EnuRohValue]]</f>
        <v>ctrTSST_DAILY</v>
      </c>
      <c r="F1164" s="44">
        <f>COUNTIF(Tabelle7[EnuValue],Tabelle7[[#This Row],[EnuValue]])</f>
        <v>1</v>
      </c>
      <c r="G1164" s="44" t="str">
        <f xml:space="preserve"> "  " &amp; Tabelle7[[#This Row],[EnuValue]] &amp; " = " &amp; Tabelle7[[#This Row],[Wert]]</f>
        <v xml:space="preserve">  ctrTSST_DAILY = 4</v>
      </c>
      <c r="H1164" s="44" t="str">
        <f>"  If Wert = " &amp; Tabelle7[[#This Row],[EnuValue]] &amp; " then Res = ""." &amp; Tabelle7[[#This Row],[EnuRohValue]] &amp; "."""</f>
        <v xml:space="preserve">  If Wert = ctrTSST_DAILY then Res = ".DAILY."</v>
      </c>
      <c r="I1164" s="44" t="str">
        <f>"  If wert = ""." &amp; Tabelle7[[#This Row],[EnuRohValue]] &amp; "."" Then Res = " &amp; Tabelle7[[#This Row],[EnuValue]]</f>
        <v xml:space="preserve">  If wert = ".DAILY." Then Res = ctrTSST_DAILY</v>
      </c>
    </row>
    <row r="1165" spans="2:9" x14ac:dyDescent="0.25">
      <c r="B1165" s="44">
        <v>5</v>
      </c>
      <c r="C1165" s="45" t="s">
        <v>1650</v>
      </c>
      <c r="D1165" s="44" t="s">
        <v>3682</v>
      </c>
      <c r="E1165" s="44" t="str">
        <f>VLOOKUP(Tabelle7[[#This Row],[EnumName]],Enum[[IFC-Name]:[Präfix]],5,FALSE)&amp;Tabelle7[[#This Row],[EnuRohValue]]</f>
        <v>ctrTSST_USERDEFINED</v>
      </c>
      <c r="F1165" s="44">
        <f>COUNTIF(Tabelle7[EnuValue],Tabelle7[[#This Row],[EnuValue]])</f>
        <v>1</v>
      </c>
      <c r="G1165" s="44" t="str">
        <f xml:space="preserve"> "  " &amp; Tabelle7[[#This Row],[EnuValue]] &amp; " = " &amp; Tabelle7[[#This Row],[Wert]]</f>
        <v xml:space="preserve">  ctrTSST_USERDEFINED = 5</v>
      </c>
      <c r="H1165" s="44" t="str">
        <f>"  If Wert = " &amp; Tabelle7[[#This Row],[EnuValue]] &amp; " then Res = ""." &amp; Tabelle7[[#This Row],[EnuRohValue]] &amp; "."""</f>
        <v xml:space="preserve">  If Wert = ctrTSST_USERDEFINED then Res = ".USERDEFINED."</v>
      </c>
      <c r="I1165" s="44" t="str">
        <f>"  If wert = ""." &amp; Tabelle7[[#This Row],[EnuRohValue]] &amp; "."" Then Res = " &amp; Tabelle7[[#This Row],[EnuValue]]</f>
        <v xml:space="preserve">  If wert = ".USERDEFINED." Then Res = ctrTSST_USERDEFINED</v>
      </c>
    </row>
    <row r="1166" spans="2:9" x14ac:dyDescent="0.25">
      <c r="B1166" s="44">
        <v>6</v>
      </c>
      <c r="C1166" s="45" t="s">
        <v>1650</v>
      </c>
      <c r="D1166" s="44" t="s">
        <v>3683</v>
      </c>
      <c r="E1166" s="44" t="str">
        <f>VLOOKUP(Tabelle7[[#This Row],[EnumName]],Enum[[IFC-Name]:[Präfix]],5,FALSE)&amp;Tabelle7[[#This Row],[EnuRohValue]]</f>
        <v>ctrTSST_NOTDEFINED</v>
      </c>
      <c r="F1166" s="44">
        <f>COUNTIF(Tabelle7[EnuValue],Tabelle7[[#This Row],[EnuValue]])</f>
        <v>1</v>
      </c>
      <c r="G1166" s="44" t="str">
        <f xml:space="preserve"> "  " &amp; Tabelle7[[#This Row],[EnuValue]] &amp; " = " &amp; Tabelle7[[#This Row],[Wert]]</f>
        <v xml:space="preserve">  ctrTSST_NOTDEFINED = 6</v>
      </c>
      <c r="H1166" s="44" t="str">
        <f>"  If Wert = " &amp; Tabelle7[[#This Row],[EnuValue]] &amp; " then Res = ""." &amp; Tabelle7[[#This Row],[EnuRohValue]] &amp; "."""</f>
        <v xml:space="preserve">  If Wert = ctrTSST_NOTDEFINED then Res = ".NOTDEFINED."</v>
      </c>
      <c r="I1166" s="44" t="str">
        <f>"  If wert = ""." &amp; Tabelle7[[#This Row],[EnuRohValue]] &amp; "."" Then Res = " &amp; Tabelle7[[#This Row],[EnuValue]]</f>
        <v xml:space="preserve">  If wert = ".NOTDEFINED." Then Res = ctrTSST_NOTDEFINED</v>
      </c>
    </row>
    <row r="1167" spans="2:9" x14ac:dyDescent="0.25">
      <c r="B1167" s="44">
        <v>1</v>
      </c>
      <c r="C1167" s="45" t="s">
        <v>1651</v>
      </c>
      <c r="D1167" s="44" t="s">
        <v>3711</v>
      </c>
      <c r="E1167" s="44" t="str">
        <f>VLOOKUP(Tabelle7[[#This Row],[EnumName]],Enum[[IFC-Name]:[Präfix]],5,FALSE)&amp;Tabelle7[[#This Row],[EnuRohValue]]</f>
        <v>eleTT_CURRENT</v>
      </c>
      <c r="F1167" s="44">
        <f>COUNTIF(Tabelle7[EnuValue],Tabelle7[[#This Row],[EnuValue]])</f>
        <v>1</v>
      </c>
      <c r="G1167" s="44" t="str">
        <f xml:space="preserve"> "  " &amp; Tabelle7[[#This Row],[EnuValue]] &amp; " = " &amp; Tabelle7[[#This Row],[Wert]]</f>
        <v xml:space="preserve">  eleTT_CURRENT = 1</v>
      </c>
      <c r="H1167" s="44" t="str">
        <f>"  If Wert = " &amp; Tabelle7[[#This Row],[EnuValue]] &amp; " then Res = ""." &amp; Tabelle7[[#This Row],[EnuRohValue]] &amp; "."""</f>
        <v xml:space="preserve">  If Wert = eleTT_CURRENT then Res = ".CURRENT."</v>
      </c>
      <c r="I1167" s="44" t="str">
        <f>"  If wert = ""." &amp; Tabelle7[[#This Row],[EnuRohValue]] &amp; "."" Then Res = " &amp; Tabelle7[[#This Row],[EnuValue]]</f>
        <v xml:space="preserve">  If wert = ".CURRENT." Then Res = eleTT_CURRENT</v>
      </c>
    </row>
    <row r="1168" spans="2:9" x14ac:dyDescent="0.25">
      <c r="B1168" s="44">
        <v>2</v>
      </c>
      <c r="C1168" s="45" t="s">
        <v>1651</v>
      </c>
      <c r="D1168" s="44" t="s">
        <v>4594</v>
      </c>
      <c r="E1168" s="44" t="str">
        <f>VLOOKUP(Tabelle7[[#This Row],[EnumName]],Enum[[IFC-Name]:[Präfix]],5,FALSE)&amp;Tabelle7[[#This Row],[EnuRohValue]]</f>
        <v>eleTT_FREQUENCY</v>
      </c>
      <c r="F1168" s="44">
        <f>COUNTIF(Tabelle7[EnuValue],Tabelle7[[#This Row],[EnuValue]])</f>
        <v>1</v>
      </c>
      <c r="G1168" s="44" t="str">
        <f xml:space="preserve"> "  " &amp; Tabelle7[[#This Row],[EnuValue]] &amp; " = " &amp; Tabelle7[[#This Row],[Wert]]</f>
        <v xml:space="preserve">  eleTT_FREQUENCY = 2</v>
      </c>
      <c r="H1168" s="44" t="str">
        <f>"  If Wert = " &amp; Tabelle7[[#This Row],[EnuValue]] &amp; " then Res = ""." &amp; Tabelle7[[#This Row],[EnuRohValue]] &amp; "."""</f>
        <v xml:space="preserve">  If Wert = eleTT_FREQUENCY then Res = ".FREQUENCY."</v>
      </c>
      <c r="I1168" s="44" t="str">
        <f>"  If wert = ""." &amp; Tabelle7[[#This Row],[EnuRohValue]] &amp; "."" Then Res = " &amp; Tabelle7[[#This Row],[EnuValue]]</f>
        <v xml:space="preserve">  If wert = ".FREQUENCY." Then Res = eleTT_FREQUENCY</v>
      </c>
    </row>
    <row r="1169" spans="2:9" x14ac:dyDescent="0.25">
      <c r="B1169" s="44">
        <v>3</v>
      </c>
      <c r="C1169" s="45" t="s">
        <v>1651</v>
      </c>
      <c r="D1169" s="44" t="s">
        <v>4595</v>
      </c>
      <c r="E1169" s="44" t="str">
        <f>VLOOKUP(Tabelle7[[#This Row],[EnumName]],Enum[[IFC-Name]:[Präfix]],5,FALSE)&amp;Tabelle7[[#This Row],[EnuRohValue]]</f>
        <v>eleTT_VOLTAGE</v>
      </c>
      <c r="F1169" s="44">
        <f>COUNTIF(Tabelle7[EnuValue],Tabelle7[[#This Row],[EnuValue]])</f>
        <v>1</v>
      </c>
      <c r="G1169" s="44" t="str">
        <f xml:space="preserve"> "  " &amp; Tabelle7[[#This Row],[EnuValue]] &amp; " = " &amp; Tabelle7[[#This Row],[Wert]]</f>
        <v xml:space="preserve">  eleTT_VOLTAGE = 3</v>
      </c>
      <c r="H1169" s="44" t="str">
        <f>"  If Wert = " &amp; Tabelle7[[#This Row],[EnuValue]] &amp; " then Res = ""." &amp; Tabelle7[[#This Row],[EnuRohValue]] &amp; "."""</f>
        <v xml:space="preserve">  If Wert = eleTT_VOLTAGE then Res = ".VOLTAGE."</v>
      </c>
      <c r="I1169" s="44" t="str">
        <f>"  If wert = ""." &amp; Tabelle7[[#This Row],[EnuRohValue]] &amp; "."" Then Res = " &amp; Tabelle7[[#This Row],[EnuValue]]</f>
        <v xml:space="preserve">  If wert = ".VOLTAGE." Then Res = eleTT_VOLTAGE</v>
      </c>
    </row>
    <row r="1170" spans="2:9" x14ac:dyDescent="0.25">
      <c r="B1170" s="44">
        <v>4</v>
      </c>
      <c r="C1170" s="45" t="s">
        <v>1651</v>
      </c>
      <c r="D1170" s="44" t="s">
        <v>3682</v>
      </c>
      <c r="E1170" s="44" t="str">
        <f>VLOOKUP(Tabelle7[[#This Row],[EnumName]],Enum[[IFC-Name]:[Präfix]],5,FALSE)&amp;Tabelle7[[#This Row],[EnuRohValue]]</f>
        <v>eleTT_USERDEFINED</v>
      </c>
      <c r="F1170" s="44">
        <f>COUNTIF(Tabelle7[EnuValue],Tabelle7[[#This Row],[EnuValue]])</f>
        <v>1</v>
      </c>
      <c r="G1170" s="44" t="str">
        <f xml:space="preserve"> "  " &amp; Tabelle7[[#This Row],[EnuValue]] &amp; " = " &amp; Tabelle7[[#This Row],[Wert]]</f>
        <v xml:space="preserve">  eleTT_USERDEFINED = 4</v>
      </c>
      <c r="H1170" s="44" t="str">
        <f>"  If Wert = " &amp; Tabelle7[[#This Row],[EnuValue]] &amp; " then Res = ""." &amp; Tabelle7[[#This Row],[EnuRohValue]] &amp; "."""</f>
        <v xml:space="preserve">  If Wert = eleTT_USERDEFINED then Res = ".USERDEFINED."</v>
      </c>
      <c r="I1170" s="44" t="str">
        <f>"  If wert = ""." &amp; Tabelle7[[#This Row],[EnuRohValue]] &amp; "."" Then Res = " &amp; Tabelle7[[#This Row],[EnuValue]]</f>
        <v xml:space="preserve">  If wert = ".USERDEFINED." Then Res = eleTT_USERDEFINED</v>
      </c>
    </row>
    <row r="1171" spans="2:9" x14ac:dyDescent="0.25">
      <c r="B1171" s="44">
        <v>5</v>
      </c>
      <c r="C1171" s="45" t="s">
        <v>1651</v>
      </c>
      <c r="D1171" s="44" t="s">
        <v>3683</v>
      </c>
      <c r="E1171" s="44" t="str">
        <f>VLOOKUP(Tabelle7[[#This Row],[EnumName]],Enum[[IFC-Name]:[Präfix]],5,FALSE)&amp;Tabelle7[[#This Row],[EnuRohValue]]</f>
        <v>eleTT_NOTDEFINED</v>
      </c>
      <c r="F1171" s="44">
        <f>COUNTIF(Tabelle7[EnuValue],Tabelle7[[#This Row],[EnuValue]])</f>
        <v>1</v>
      </c>
      <c r="G1171" s="44" t="str">
        <f xml:space="preserve"> "  " &amp; Tabelle7[[#This Row],[EnuValue]] &amp; " = " &amp; Tabelle7[[#This Row],[Wert]]</f>
        <v xml:space="preserve">  eleTT_NOTDEFINED = 5</v>
      </c>
      <c r="H1171" s="44" t="str">
        <f>"  If Wert = " &amp; Tabelle7[[#This Row],[EnuValue]] &amp; " then Res = ""." &amp; Tabelle7[[#This Row],[EnuRohValue]] &amp; "."""</f>
        <v xml:space="preserve">  If Wert = eleTT_NOTDEFINED then Res = ".NOTDEFINED."</v>
      </c>
      <c r="I1171" s="44" t="str">
        <f>"  If wert = ""." &amp; Tabelle7[[#This Row],[EnuRohValue]] &amp; "."" Then Res = " &amp; Tabelle7[[#This Row],[EnuValue]]</f>
        <v xml:space="preserve">  If wert = ".NOTDEFINED." Then Res = eleTT_NOTDEFINED</v>
      </c>
    </row>
    <row r="1172" spans="2:9" x14ac:dyDescent="0.25">
      <c r="B1172" s="44">
        <v>1</v>
      </c>
      <c r="C1172" s="45" t="s">
        <v>1652</v>
      </c>
      <c r="D1172" s="44" t="s">
        <v>4596</v>
      </c>
      <c r="E1172" s="44" t="str">
        <f>VLOOKUP(Tabelle7[[#This Row],[EnumName]],Enum[[IFC-Name]:[Präfix]],5,FALSE)&amp;Tabelle7[[#This Row],[EnuRohValue]]</f>
        <v>geoTC_DISCONTINUOUS</v>
      </c>
      <c r="F1172" s="44">
        <f>COUNTIF(Tabelle7[EnuValue],Tabelle7[[#This Row],[EnuValue]])</f>
        <v>1</v>
      </c>
      <c r="G1172" s="44" t="str">
        <f xml:space="preserve"> "  " &amp; Tabelle7[[#This Row],[EnuValue]] &amp; " = " &amp; Tabelle7[[#This Row],[Wert]]</f>
        <v xml:space="preserve">  geoTC_DISCONTINUOUS = 1</v>
      </c>
      <c r="H1172" s="44" t="str">
        <f>"  If Wert = " &amp; Tabelle7[[#This Row],[EnuValue]] &amp; " then Res = ""." &amp; Tabelle7[[#This Row],[EnuRohValue]] &amp; "."""</f>
        <v xml:space="preserve">  If Wert = geoTC_DISCONTINUOUS then Res = ".DISCONTINUOUS."</v>
      </c>
      <c r="I1172" s="44" t="str">
        <f>"  If wert = ""." &amp; Tabelle7[[#This Row],[EnuRohValue]] &amp; "."" Then Res = " &amp; Tabelle7[[#This Row],[EnuValue]]</f>
        <v xml:space="preserve">  If wert = ".DISCONTINUOUS." Then Res = geoTC_DISCONTINUOUS</v>
      </c>
    </row>
    <row r="1173" spans="2:9" x14ac:dyDescent="0.25">
      <c r="B1173" s="44">
        <v>2</v>
      </c>
      <c r="C1173" s="45" t="s">
        <v>1652</v>
      </c>
      <c r="D1173" s="44" t="s">
        <v>4584</v>
      </c>
      <c r="E1173" s="44" t="str">
        <f>VLOOKUP(Tabelle7[[#This Row],[EnumName]],Enum[[IFC-Name]:[Präfix]],5,FALSE)&amp;Tabelle7[[#This Row],[EnuRohValue]]</f>
        <v>geoTC_CONTINUOUS</v>
      </c>
      <c r="F1173" s="44">
        <f>COUNTIF(Tabelle7[EnuValue],Tabelle7[[#This Row],[EnuValue]])</f>
        <v>1</v>
      </c>
      <c r="G1173" s="44" t="str">
        <f xml:space="preserve"> "  " &amp; Tabelle7[[#This Row],[EnuValue]] &amp; " = " &amp; Tabelle7[[#This Row],[Wert]]</f>
        <v xml:space="preserve">  geoTC_CONTINUOUS = 2</v>
      </c>
      <c r="H1173" s="44" t="str">
        <f>"  If Wert = " &amp; Tabelle7[[#This Row],[EnuValue]] &amp; " then Res = ""." &amp; Tabelle7[[#This Row],[EnuRohValue]] &amp; "."""</f>
        <v xml:space="preserve">  If Wert = geoTC_CONTINUOUS then Res = ".CONTINUOUS."</v>
      </c>
      <c r="I1173" s="44" t="str">
        <f>"  If wert = ""." &amp; Tabelle7[[#This Row],[EnuRohValue]] &amp; "."" Then Res = " &amp; Tabelle7[[#This Row],[EnuValue]]</f>
        <v xml:space="preserve">  If wert = ".CONTINUOUS." Then Res = geoTC_CONTINUOUS</v>
      </c>
    </row>
    <row r="1174" spans="2:9" x14ac:dyDescent="0.25">
      <c r="B1174" s="44">
        <v>3</v>
      </c>
      <c r="C1174" s="45" t="s">
        <v>1652</v>
      </c>
      <c r="D1174" s="44" t="s">
        <v>4597</v>
      </c>
      <c r="E1174" s="44" t="str">
        <f>VLOOKUP(Tabelle7[[#This Row],[EnumName]],Enum[[IFC-Name]:[Präfix]],5,FALSE)&amp;Tabelle7[[#This Row],[EnuRohValue]]</f>
        <v>geoTC_CONTSAMEGRADIENT</v>
      </c>
      <c r="F1174" s="44">
        <f>COUNTIF(Tabelle7[EnuValue],Tabelle7[[#This Row],[EnuValue]])</f>
        <v>1</v>
      </c>
      <c r="G1174" s="44" t="str">
        <f xml:space="preserve"> "  " &amp; Tabelle7[[#This Row],[EnuValue]] &amp; " = " &amp; Tabelle7[[#This Row],[Wert]]</f>
        <v xml:space="preserve">  geoTC_CONTSAMEGRADIENT = 3</v>
      </c>
      <c r="H1174" s="44" t="str">
        <f>"  If Wert = " &amp; Tabelle7[[#This Row],[EnuValue]] &amp; " then Res = ""." &amp; Tabelle7[[#This Row],[EnuRohValue]] &amp; "."""</f>
        <v xml:space="preserve">  If Wert = geoTC_CONTSAMEGRADIENT then Res = ".CONTSAMEGRADIENT."</v>
      </c>
      <c r="I1174" s="44" t="str">
        <f>"  If wert = ""." &amp; Tabelle7[[#This Row],[EnuRohValue]] &amp; "."" Then Res = " &amp; Tabelle7[[#This Row],[EnuValue]]</f>
        <v xml:space="preserve">  If wert = ".CONTSAMEGRADIENT." Then Res = geoTC_CONTSAMEGRADIENT</v>
      </c>
    </row>
    <row r="1175" spans="2:9" x14ac:dyDescent="0.25">
      <c r="B1175" s="44">
        <v>4</v>
      </c>
      <c r="C1175" s="45" t="s">
        <v>1652</v>
      </c>
      <c r="D1175" s="44" t="s">
        <v>4598</v>
      </c>
      <c r="E1175" s="44" t="str">
        <f>VLOOKUP(Tabelle7[[#This Row],[EnumName]],Enum[[IFC-Name]:[Präfix]],5,FALSE)&amp;Tabelle7[[#This Row],[EnuRohValue]]</f>
        <v>geoTC_CONTSAMEGRADIENTSAMECURVATURE</v>
      </c>
      <c r="F1175" s="44">
        <f>COUNTIF(Tabelle7[EnuValue],Tabelle7[[#This Row],[EnuValue]])</f>
        <v>1</v>
      </c>
      <c r="G1175" s="44" t="str">
        <f xml:space="preserve"> "  " &amp; Tabelle7[[#This Row],[EnuValue]] &amp; " = " &amp; Tabelle7[[#This Row],[Wert]]</f>
        <v xml:space="preserve">  geoTC_CONTSAMEGRADIENTSAMECURVATURE = 4</v>
      </c>
      <c r="H1175" s="44" t="str">
        <f>"  If Wert = " &amp; Tabelle7[[#This Row],[EnuValue]] &amp; " then Res = ""." &amp; Tabelle7[[#This Row],[EnuRohValue]] &amp; "."""</f>
        <v xml:space="preserve">  If Wert = geoTC_CONTSAMEGRADIENTSAMECURVATURE then Res = ".CONTSAMEGRADIENTSAMECURVATURE."</v>
      </c>
      <c r="I1175" s="44" t="str">
        <f>"  If wert = ""." &amp; Tabelle7[[#This Row],[EnuRohValue]] &amp; "."" Then Res = " &amp; Tabelle7[[#This Row],[EnuValue]]</f>
        <v xml:space="preserve">  If wert = ".CONTSAMEGRADIENTSAMECURVATURE." Then Res = geoTC_CONTSAMEGRADIENTSAMECURVATURE</v>
      </c>
    </row>
    <row r="1176" spans="2:9" x14ac:dyDescent="0.25">
      <c r="B1176" s="44">
        <v>1</v>
      </c>
      <c r="C1176" s="45" t="s">
        <v>1653</v>
      </c>
      <c r="D1176" s="44" t="s">
        <v>4599</v>
      </c>
      <c r="E1176" s="44" t="str">
        <f>VLOOKUP(Tabelle7[[#This Row],[EnumName]],Enum[[IFC-Name]:[Präfix]],5,FALSE)&amp;Tabelle7[[#This Row],[EnuRohValue]]</f>
        <v>pocTET_ELEVATOR</v>
      </c>
      <c r="F1176" s="44">
        <f>COUNTIF(Tabelle7[EnuValue],Tabelle7[[#This Row],[EnuValue]])</f>
        <v>1</v>
      </c>
      <c r="G1176" s="44" t="str">
        <f xml:space="preserve"> "  " &amp; Tabelle7[[#This Row],[EnuValue]] &amp; " = " &amp; Tabelle7[[#This Row],[Wert]]</f>
        <v xml:space="preserve">  pocTET_ELEVATOR = 1</v>
      </c>
      <c r="H1176" s="44" t="str">
        <f>"  If Wert = " &amp; Tabelle7[[#This Row],[EnuValue]] &amp; " then Res = ""." &amp; Tabelle7[[#This Row],[EnuRohValue]] &amp; "."""</f>
        <v xml:space="preserve">  If Wert = pocTET_ELEVATOR then Res = ".ELEVATOR."</v>
      </c>
      <c r="I1176" s="44" t="str">
        <f>"  If wert = ""." &amp; Tabelle7[[#This Row],[EnuRohValue]] &amp; "."" Then Res = " &amp; Tabelle7[[#This Row],[EnuValue]]</f>
        <v xml:space="preserve">  If wert = ".ELEVATOR." Then Res = pocTET_ELEVATOR</v>
      </c>
    </row>
    <row r="1177" spans="2:9" x14ac:dyDescent="0.25">
      <c r="B1177" s="44">
        <v>2</v>
      </c>
      <c r="C1177" s="45" t="s">
        <v>1653</v>
      </c>
      <c r="D1177" s="44" t="s">
        <v>4600</v>
      </c>
      <c r="E1177" s="44" t="str">
        <f>VLOOKUP(Tabelle7[[#This Row],[EnumName]],Enum[[IFC-Name]:[Präfix]],5,FALSE)&amp;Tabelle7[[#This Row],[EnuRohValue]]</f>
        <v>pocTET_ESCALATOR</v>
      </c>
      <c r="F1177" s="44">
        <f>COUNTIF(Tabelle7[EnuValue],Tabelle7[[#This Row],[EnuValue]])</f>
        <v>1</v>
      </c>
      <c r="G1177" s="44" t="str">
        <f xml:space="preserve"> "  " &amp; Tabelle7[[#This Row],[EnuValue]] &amp; " = " &amp; Tabelle7[[#This Row],[Wert]]</f>
        <v xml:space="preserve">  pocTET_ESCALATOR = 2</v>
      </c>
      <c r="H1177" s="44" t="str">
        <f>"  If Wert = " &amp; Tabelle7[[#This Row],[EnuValue]] &amp; " then Res = ""." &amp; Tabelle7[[#This Row],[EnuRohValue]] &amp; "."""</f>
        <v xml:space="preserve">  If Wert = pocTET_ESCALATOR then Res = ".ESCALATOR."</v>
      </c>
      <c r="I1177" s="44" t="str">
        <f>"  If wert = ""." &amp; Tabelle7[[#This Row],[EnuRohValue]] &amp; "."" Then Res = " &amp; Tabelle7[[#This Row],[EnuValue]]</f>
        <v xml:space="preserve">  If wert = ".ESCALATOR." Then Res = pocTET_ESCALATOR</v>
      </c>
    </row>
    <row r="1178" spans="2:9" x14ac:dyDescent="0.25">
      <c r="B1178" s="44">
        <v>3</v>
      </c>
      <c r="C1178" s="45" t="s">
        <v>1653</v>
      </c>
      <c r="D1178" s="44" t="s">
        <v>4601</v>
      </c>
      <c r="E1178" s="44" t="str">
        <f>VLOOKUP(Tabelle7[[#This Row],[EnumName]],Enum[[IFC-Name]:[Präfix]],5,FALSE)&amp;Tabelle7[[#This Row],[EnuRohValue]]</f>
        <v>pocTET_MOVINGWALKWAY</v>
      </c>
      <c r="F1178" s="44">
        <f>COUNTIF(Tabelle7[EnuValue],Tabelle7[[#This Row],[EnuValue]])</f>
        <v>1</v>
      </c>
      <c r="G1178" s="44" t="str">
        <f xml:space="preserve"> "  " &amp; Tabelle7[[#This Row],[EnuValue]] &amp; " = " &amp; Tabelle7[[#This Row],[Wert]]</f>
        <v xml:space="preserve">  pocTET_MOVINGWALKWAY = 3</v>
      </c>
      <c r="H1178" s="44" t="str">
        <f>"  If Wert = " &amp; Tabelle7[[#This Row],[EnuValue]] &amp; " then Res = ""." &amp; Tabelle7[[#This Row],[EnuRohValue]] &amp; "."""</f>
        <v xml:space="preserve">  If Wert = pocTET_MOVINGWALKWAY then Res = ".MOVINGWALKWAY."</v>
      </c>
      <c r="I1178" s="44" t="str">
        <f>"  If wert = ""." &amp; Tabelle7[[#This Row],[EnuRohValue]] &amp; "."" Then Res = " &amp; Tabelle7[[#This Row],[EnuValue]]</f>
        <v xml:space="preserve">  If wert = ".MOVINGWALKWAY." Then Res = pocTET_MOVINGWALKWAY</v>
      </c>
    </row>
    <row r="1179" spans="2:9" x14ac:dyDescent="0.25">
      <c r="B1179" s="44">
        <v>4</v>
      </c>
      <c r="C1179" s="45" t="s">
        <v>1653</v>
      </c>
      <c r="D1179" s="44" t="s">
        <v>3682</v>
      </c>
      <c r="E1179" s="44" t="str">
        <f>VLOOKUP(Tabelle7[[#This Row],[EnumName]],Enum[[IFC-Name]:[Präfix]],5,FALSE)&amp;Tabelle7[[#This Row],[EnuRohValue]]</f>
        <v>pocTET_USERDEFINED</v>
      </c>
      <c r="F1179" s="44">
        <f>COUNTIF(Tabelle7[EnuValue],Tabelle7[[#This Row],[EnuValue]])</f>
        <v>1</v>
      </c>
      <c r="G1179" s="44" t="str">
        <f xml:space="preserve"> "  " &amp; Tabelle7[[#This Row],[EnuValue]] &amp; " = " &amp; Tabelle7[[#This Row],[Wert]]</f>
        <v xml:space="preserve">  pocTET_USERDEFINED = 4</v>
      </c>
      <c r="H1179" s="44" t="str">
        <f>"  If Wert = " &amp; Tabelle7[[#This Row],[EnuValue]] &amp; " then Res = ""." &amp; Tabelle7[[#This Row],[EnuRohValue]] &amp; "."""</f>
        <v xml:space="preserve">  If Wert = pocTET_USERDEFINED then Res = ".USERDEFINED."</v>
      </c>
      <c r="I1179" s="44" t="str">
        <f>"  If wert = ""." &amp; Tabelle7[[#This Row],[EnuRohValue]] &amp; "."" Then Res = " &amp; Tabelle7[[#This Row],[EnuValue]]</f>
        <v xml:space="preserve">  If wert = ".USERDEFINED." Then Res = pocTET_USERDEFINED</v>
      </c>
    </row>
    <row r="1180" spans="2:9" x14ac:dyDescent="0.25">
      <c r="B1180" s="44">
        <v>5</v>
      </c>
      <c r="C1180" s="45" t="s">
        <v>1653</v>
      </c>
      <c r="D1180" s="44" t="s">
        <v>3683</v>
      </c>
      <c r="E1180" s="44" t="str">
        <f>VLOOKUP(Tabelle7[[#This Row],[EnumName]],Enum[[IFC-Name]:[Präfix]],5,FALSE)&amp;Tabelle7[[#This Row],[EnuRohValue]]</f>
        <v>pocTET_NOTDEFINED</v>
      </c>
      <c r="F1180" s="44">
        <f>COUNTIF(Tabelle7[EnuValue],Tabelle7[[#This Row],[EnuValue]])</f>
        <v>1</v>
      </c>
      <c r="G1180" s="44" t="str">
        <f xml:space="preserve"> "  " &amp; Tabelle7[[#This Row],[EnuValue]] &amp; " = " &amp; Tabelle7[[#This Row],[Wert]]</f>
        <v xml:space="preserve">  pocTET_NOTDEFINED = 5</v>
      </c>
      <c r="H1180" s="44" t="str">
        <f>"  If Wert = " &amp; Tabelle7[[#This Row],[EnuValue]] &amp; " then Res = ""." &amp; Tabelle7[[#This Row],[EnuRohValue]] &amp; "."""</f>
        <v xml:space="preserve">  If Wert = pocTET_NOTDEFINED then Res = ".NOTDEFINED."</v>
      </c>
      <c r="I1180" s="44" t="str">
        <f>"  If wert = ""." &amp; Tabelle7[[#This Row],[EnuRohValue]] &amp; "."" Then Res = " &amp; Tabelle7[[#This Row],[EnuValue]]</f>
        <v xml:space="preserve">  If wert = ".NOTDEFINED." Then Res = pocTET_NOTDEFINED</v>
      </c>
    </row>
    <row r="1181" spans="2:9" x14ac:dyDescent="0.25">
      <c r="B1181" s="44">
        <v>1</v>
      </c>
      <c r="C1181" s="45" t="s">
        <v>1654</v>
      </c>
      <c r="D1181" s="44" t="s">
        <v>4602</v>
      </c>
      <c r="E1181" s="44" t="str">
        <f>VLOOKUP(Tabelle7[[#This Row],[EnumName]],Enum[[IFC-Name]:[Präfix]],5,FALSE)&amp;Tabelle7[[#This Row],[EnuRohValue]]</f>
        <v>geoTP_CARTESIAN</v>
      </c>
      <c r="F1181" s="44">
        <f>COUNTIF(Tabelle7[EnuValue],Tabelle7[[#This Row],[EnuValue]])</f>
        <v>1</v>
      </c>
      <c r="G1181" s="44" t="str">
        <f xml:space="preserve"> "  " &amp; Tabelle7[[#This Row],[EnuValue]] &amp; " = " &amp; Tabelle7[[#This Row],[Wert]]</f>
        <v xml:space="preserve">  geoTP_CARTESIAN = 1</v>
      </c>
      <c r="H1181" s="44" t="str">
        <f>"  If Wert = " &amp; Tabelle7[[#This Row],[EnuValue]] &amp; " then Res = ""." &amp; Tabelle7[[#This Row],[EnuRohValue]] &amp; "."""</f>
        <v xml:space="preserve">  If Wert = geoTP_CARTESIAN then Res = ".CARTESIAN."</v>
      </c>
      <c r="I1181" s="44" t="str">
        <f>"  If wert = ""." &amp; Tabelle7[[#This Row],[EnuRohValue]] &amp; "."" Then Res = " &amp; Tabelle7[[#This Row],[EnuValue]]</f>
        <v xml:space="preserve">  If wert = ".CARTESIAN." Then Res = geoTP_CARTESIAN</v>
      </c>
    </row>
    <row r="1182" spans="2:9" x14ac:dyDescent="0.25">
      <c r="B1182" s="44">
        <v>2</v>
      </c>
      <c r="C1182" s="45" t="s">
        <v>1654</v>
      </c>
      <c r="D1182" s="44" t="s">
        <v>4603</v>
      </c>
      <c r="E1182" s="44" t="str">
        <f>VLOOKUP(Tabelle7[[#This Row],[EnumName]],Enum[[IFC-Name]:[Präfix]],5,FALSE)&amp;Tabelle7[[#This Row],[EnuRohValue]]</f>
        <v>geoTP_PARAMETER</v>
      </c>
      <c r="F1182" s="44">
        <f>COUNTIF(Tabelle7[EnuValue],Tabelle7[[#This Row],[EnuValue]])</f>
        <v>1</v>
      </c>
      <c r="G1182" s="44" t="str">
        <f xml:space="preserve"> "  " &amp; Tabelle7[[#This Row],[EnuValue]] &amp; " = " &amp; Tabelle7[[#This Row],[Wert]]</f>
        <v xml:space="preserve">  geoTP_PARAMETER = 2</v>
      </c>
      <c r="H1182" s="44" t="str">
        <f>"  If Wert = " &amp; Tabelle7[[#This Row],[EnuValue]] &amp; " then Res = ""." &amp; Tabelle7[[#This Row],[EnuRohValue]] &amp; "."""</f>
        <v xml:space="preserve">  If Wert = geoTP_PARAMETER then Res = ".PARAMETER."</v>
      </c>
      <c r="I1182" s="44" t="str">
        <f>"  If wert = ""." &amp; Tabelle7[[#This Row],[EnuRohValue]] &amp; "."" Then Res = " &amp; Tabelle7[[#This Row],[EnuValue]]</f>
        <v xml:space="preserve">  If wert = ".PARAMETER." Then Res = geoTP_PARAMETER</v>
      </c>
    </row>
    <row r="1183" spans="2:9" x14ac:dyDescent="0.25">
      <c r="B1183" s="44">
        <v>3</v>
      </c>
      <c r="C1183" s="45" t="s">
        <v>1654</v>
      </c>
      <c r="D1183" s="44" t="s">
        <v>3770</v>
      </c>
      <c r="E1183" s="44" t="str">
        <f>VLOOKUP(Tabelle7[[#This Row],[EnumName]],Enum[[IFC-Name]:[Präfix]],5,FALSE)&amp;Tabelle7[[#This Row],[EnuRohValue]]</f>
        <v>geoTP_UNSPECIFIED</v>
      </c>
      <c r="F1183" s="44">
        <f>COUNTIF(Tabelle7[EnuValue],Tabelle7[[#This Row],[EnuValue]])</f>
        <v>1</v>
      </c>
      <c r="G1183" s="44" t="str">
        <f xml:space="preserve"> "  " &amp; Tabelle7[[#This Row],[EnuValue]] &amp; " = " &amp; Tabelle7[[#This Row],[Wert]]</f>
        <v xml:space="preserve">  geoTP_UNSPECIFIED = 3</v>
      </c>
      <c r="H1183" s="44" t="str">
        <f>"  If Wert = " &amp; Tabelle7[[#This Row],[EnuValue]] &amp; " then Res = ""." &amp; Tabelle7[[#This Row],[EnuRohValue]] &amp; "."""</f>
        <v xml:space="preserve">  If Wert = geoTP_UNSPECIFIED then Res = ".UNSPECIFIED."</v>
      </c>
      <c r="I1183" s="44" t="str">
        <f>"  If wert = ""." &amp; Tabelle7[[#This Row],[EnuRohValue]] &amp; "."" Then Res = " &amp; Tabelle7[[#This Row],[EnuValue]]</f>
        <v xml:space="preserve">  If wert = ".UNSPECIFIED." Then Res = geoTP_UNSPECIFIED</v>
      </c>
    </row>
    <row r="1184" spans="2:9" x14ac:dyDescent="0.25">
      <c r="B1184" s="44">
        <v>1</v>
      </c>
      <c r="C1184" s="45" t="s">
        <v>1655</v>
      </c>
      <c r="D1184" s="44" t="s">
        <v>4604</v>
      </c>
      <c r="E1184" s="44" t="str">
        <f>VLOOKUP(Tabelle7[[#This Row],[EnumName]],Enum[[IFC-Name]:[Präfix]],5,FALSE)&amp;Tabelle7[[#This Row],[EnuRohValue]]</f>
        <v>hvacTBT_FINNED</v>
      </c>
      <c r="F1184" s="44">
        <f>COUNTIF(Tabelle7[EnuValue],Tabelle7[[#This Row],[EnuValue]])</f>
        <v>1</v>
      </c>
      <c r="G1184" s="44" t="str">
        <f xml:space="preserve"> "  " &amp; Tabelle7[[#This Row],[EnuValue]] &amp; " = " &amp; Tabelle7[[#This Row],[Wert]]</f>
        <v xml:space="preserve">  hvacTBT_FINNED = 1</v>
      </c>
      <c r="H1184" s="44" t="str">
        <f>"  If Wert = " &amp; Tabelle7[[#This Row],[EnuValue]] &amp; " then Res = ""." &amp; Tabelle7[[#This Row],[EnuRohValue]] &amp; "."""</f>
        <v xml:space="preserve">  If Wert = hvacTBT_FINNED then Res = ".FINNED."</v>
      </c>
      <c r="I1184" s="44" t="str">
        <f>"  If wert = ""." &amp; Tabelle7[[#This Row],[EnuRohValue]] &amp; "."" Then Res = " &amp; Tabelle7[[#This Row],[EnuValue]]</f>
        <v xml:space="preserve">  If wert = ".FINNED." Then Res = hvacTBT_FINNED</v>
      </c>
    </row>
    <row r="1185" spans="2:9" x14ac:dyDescent="0.25">
      <c r="B1185" s="44">
        <v>2</v>
      </c>
      <c r="C1185" s="45" t="s">
        <v>1655</v>
      </c>
      <c r="D1185" s="44" t="s">
        <v>3682</v>
      </c>
      <c r="E1185" s="44" t="str">
        <f>VLOOKUP(Tabelle7[[#This Row],[EnumName]],Enum[[IFC-Name]:[Präfix]],5,FALSE)&amp;Tabelle7[[#This Row],[EnuRohValue]]</f>
        <v>hvacTBT_USERDEFINED</v>
      </c>
      <c r="F1185" s="44">
        <f>COUNTIF(Tabelle7[EnuValue],Tabelle7[[#This Row],[EnuValue]])</f>
        <v>1</v>
      </c>
      <c r="G1185" s="44" t="str">
        <f xml:space="preserve"> "  " &amp; Tabelle7[[#This Row],[EnuValue]] &amp; " = " &amp; Tabelle7[[#This Row],[Wert]]</f>
        <v xml:space="preserve">  hvacTBT_USERDEFINED = 2</v>
      </c>
      <c r="H1185" s="44" t="str">
        <f>"  If Wert = " &amp; Tabelle7[[#This Row],[EnuValue]] &amp; " then Res = ""." &amp; Tabelle7[[#This Row],[EnuRohValue]] &amp; "."""</f>
        <v xml:space="preserve">  If Wert = hvacTBT_USERDEFINED then Res = ".USERDEFINED."</v>
      </c>
      <c r="I1185" s="44" t="str">
        <f>"  If wert = ""." &amp; Tabelle7[[#This Row],[EnuRohValue]] &amp; "."" Then Res = " &amp; Tabelle7[[#This Row],[EnuValue]]</f>
        <v xml:space="preserve">  If wert = ".USERDEFINED." Then Res = hvacTBT_USERDEFINED</v>
      </c>
    </row>
    <row r="1186" spans="2:9" x14ac:dyDescent="0.25">
      <c r="B1186" s="44">
        <v>3</v>
      </c>
      <c r="C1186" s="45" t="s">
        <v>1655</v>
      </c>
      <c r="D1186" s="44" t="s">
        <v>3683</v>
      </c>
      <c r="E1186" s="44" t="str">
        <f>VLOOKUP(Tabelle7[[#This Row],[EnumName]],Enum[[IFC-Name]:[Präfix]],5,FALSE)&amp;Tabelle7[[#This Row],[EnuRohValue]]</f>
        <v>hvacTBT_NOTDEFINED</v>
      </c>
      <c r="F1186" s="44">
        <f>COUNTIF(Tabelle7[EnuValue],Tabelle7[[#This Row],[EnuValue]])</f>
        <v>1</v>
      </c>
      <c r="G1186" s="44" t="str">
        <f xml:space="preserve"> "  " &amp; Tabelle7[[#This Row],[EnuValue]] &amp; " = " &amp; Tabelle7[[#This Row],[Wert]]</f>
        <v xml:space="preserve">  hvacTBT_NOTDEFINED = 3</v>
      </c>
      <c r="H1186" s="44" t="str">
        <f>"  If Wert = " &amp; Tabelle7[[#This Row],[EnuValue]] &amp; " then Res = ""." &amp; Tabelle7[[#This Row],[EnuRohValue]] &amp; "."""</f>
        <v xml:space="preserve">  If Wert = hvacTBT_NOTDEFINED then Res = ".NOTDEFINED."</v>
      </c>
      <c r="I1186" s="44" t="str">
        <f>"  If wert = ""." &amp; Tabelle7[[#This Row],[EnuRohValue]] &amp; "."" Then Res = " &amp; Tabelle7[[#This Row],[EnuValue]]</f>
        <v xml:space="preserve">  If wert = ".NOTDEFINED." Then Res = hvacTBT_NOTDEFINED</v>
      </c>
    </row>
    <row r="1187" spans="2:9" x14ac:dyDescent="0.25">
      <c r="B1187" s="44">
        <v>1</v>
      </c>
      <c r="C1187" s="45" t="s">
        <v>1656</v>
      </c>
      <c r="D1187" s="44" t="s">
        <v>4605</v>
      </c>
      <c r="E1187" s="44" t="str">
        <f>VLOOKUP(Tabelle7[[#This Row],[EnumName]],Enum[[IFC-Name]:[Präfix]],5,FALSE)&amp;Tabelle7[[#This Row],[EnuRohValue]]</f>
        <v>mesU_ABSORBEDDOSEUNIT</v>
      </c>
      <c r="F1187" s="44">
        <f>COUNTIF(Tabelle7[EnuValue],Tabelle7[[#This Row],[EnuValue]])</f>
        <v>1</v>
      </c>
      <c r="G1187" s="44" t="str">
        <f xml:space="preserve"> "  " &amp; Tabelle7[[#This Row],[EnuValue]] &amp; " = " &amp; Tabelle7[[#This Row],[Wert]]</f>
        <v xml:space="preserve">  mesU_ABSORBEDDOSEUNIT = 1</v>
      </c>
      <c r="H1187" s="44" t="str">
        <f>"  If Wert = " &amp; Tabelle7[[#This Row],[EnuValue]] &amp; " then Res = ""." &amp; Tabelle7[[#This Row],[EnuRohValue]] &amp; "."""</f>
        <v xml:space="preserve">  If Wert = mesU_ABSORBEDDOSEUNIT then Res = ".ABSORBEDDOSEUNIT."</v>
      </c>
      <c r="I1187" s="44" t="str">
        <f>"  If wert = ""." &amp; Tabelle7[[#This Row],[EnuRohValue]] &amp; "."" Then Res = " &amp; Tabelle7[[#This Row],[EnuValue]]</f>
        <v xml:space="preserve">  If wert = ".ABSORBEDDOSEUNIT." Then Res = mesU_ABSORBEDDOSEUNIT</v>
      </c>
    </row>
    <row r="1188" spans="2:9" x14ac:dyDescent="0.25">
      <c r="B1188" s="44">
        <v>2</v>
      </c>
      <c r="C1188" s="45" t="s">
        <v>1656</v>
      </c>
      <c r="D1188" s="44" t="s">
        <v>4606</v>
      </c>
      <c r="E1188" s="44" t="str">
        <f>VLOOKUP(Tabelle7[[#This Row],[EnumName]],Enum[[IFC-Name]:[Präfix]],5,FALSE)&amp;Tabelle7[[#This Row],[EnuRohValue]]</f>
        <v>mesU_AMOUNTOFSUBSTANCEUNIT</v>
      </c>
      <c r="F1188" s="44">
        <f>COUNTIF(Tabelle7[EnuValue],Tabelle7[[#This Row],[EnuValue]])</f>
        <v>1</v>
      </c>
      <c r="G1188" s="44" t="str">
        <f xml:space="preserve"> "  " &amp; Tabelle7[[#This Row],[EnuValue]] &amp; " = " &amp; Tabelle7[[#This Row],[Wert]]</f>
        <v xml:space="preserve">  mesU_AMOUNTOFSUBSTANCEUNIT = 2</v>
      </c>
      <c r="H1188" s="44" t="str">
        <f>"  If Wert = " &amp; Tabelle7[[#This Row],[EnuValue]] &amp; " then Res = ""." &amp; Tabelle7[[#This Row],[EnuRohValue]] &amp; "."""</f>
        <v xml:space="preserve">  If Wert = mesU_AMOUNTOFSUBSTANCEUNIT then Res = ".AMOUNTOFSUBSTANCEUNIT."</v>
      </c>
      <c r="I1188" s="44" t="str">
        <f>"  If wert = ""." &amp; Tabelle7[[#This Row],[EnuRohValue]] &amp; "."" Then Res = " &amp; Tabelle7[[#This Row],[EnuValue]]</f>
        <v xml:space="preserve">  If wert = ".AMOUNTOFSUBSTANCEUNIT." Then Res = mesU_AMOUNTOFSUBSTANCEUNIT</v>
      </c>
    </row>
    <row r="1189" spans="2:9" x14ac:dyDescent="0.25">
      <c r="B1189" s="44">
        <v>3</v>
      </c>
      <c r="C1189" s="45" t="s">
        <v>1656</v>
      </c>
      <c r="D1189" s="44" t="s">
        <v>4607</v>
      </c>
      <c r="E1189" s="44" t="str">
        <f>VLOOKUP(Tabelle7[[#This Row],[EnumName]],Enum[[IFC-Name]:[Präfix]],5,FALSE)&amp;Tabelle7[[#This Row],[EnuRohValue]]</f>
        <v>mesU_AREAUNIT</v>
      </c>
      <c r="F1189" s="44">
        <f>COUNTIF(Tabelle7[EnuValue],Tabelle7[[#This Row],[EnuValue]])</f>
        <v>1</v>
      </c>
      <c r="G1189" s="44" t="str">
        <f xml:space="preserve"> "  " &amp; Tabelle7[[#This Row],[EnuValue]] &amp; " = " &amp; Tabelle7[[#This Row],[Wert]]</f>
        <v xml:space="preserve">  mesU_AREAUNIT = 3</v>
      </c>
      <c r="H1189" s="44" t="str">
        <f>"  If Wert = " &amp; Tabelle7[[#This Row],[EnuValue]] &amp; " then Res = ""." &amp; Tabelle7[[#This Row],[EnuRohValue]] &amp; "."""</f>
        <v xml:space="preserve">  If Wert = mesU_AREAUNIT then Res = ".AREAUNIT."</v>
      </c>
      <c r="I1189" s="44" t="str">
        <f>"  If wert = ""." &amp; Tabelle7[[#This Row],[EnuRohValue]] &amp; "."" Then Res = " &amp; Tabelle7[[#This Row],[EnuValue]]</f>
        <v xml:space="preserve">  If wert = ".AREAUNIT." Then Res = mesU_AREAUNIT</v>
      </c>
    </row>
    <row r="1190" spans="2:9" x14ac:dyDescent="0.25">
      <c r="B1190" s="44">
        <v>4</v>
      </c>
      <c r="C1190" s="45" t="s">
        <v>1656</v>
      </c>
      <c r="D1190" s="44" t="s">
        <v>4608</v>
      </c>
      <c r="E1190" s="44" t="str">
        <f>VLOOKUP(Tabelle7[[#This Row],[EnumName]],Enum[[IFC-Name]:[Präfix]],5,FALSE)&amp;Tabelle7[[#This Row],[EnuRohValue]]</f>
        <v>mesU_DOSEEQUIVALENTUNIT</v>
      </c>
      <c r="F1190" s="44">
        <f>COUNTIF(Tabelle7[EnuValue],Tabelle7[[#This Row],[EnuValue]])</f>
        <v>1</v>
      </c>
      <c r="G1190" s="44" t="str">
        <f xml:space="preserve"> "  " &amp; Tabelle7[[#This Row],[EnuValue]] &amp; " = " &amp; Tabelle7[[#This Row],[Wert]]</f>
        <v xml:space="preserve">  mesU_DOSEEQUIVALENTUNIT = 4</v>
      </c>
      <c r="H1190" s="44" t="str">
        <f>"  If Wert = " &amp; Tabelle7[[#This Row],[EnuValue]] &amp; " then Res = ""." &amp; Tabelle7[[#This Row],[EnuRohValue]] &amp; "."""</f>
        <v xml:space="preserve">  If Wert = mesU_DOSEEQUIVALENTUNIT then Res = ".DOSEEQUIVALENTUNIT."</v>
      </c>
      <c r="I1190" s="44" t="str">
        <f>"  If wert = ""." &amp; Tabelle7[[#This Row],[EnuRohValue]] &amp; "."" Then Res = " &amp; Tabelle7[[#This Row],[EnuValue]]</f>
        <v xml:space="preserve">  If wert = ".DOSEEQUIVALENTUNIT." Then Res = mesU_DOSEEQUIVALENTUNIT</v>
      </c>
    </row>
    <row r="1191" spans="2:9" x14ac:dyDescent="0.25">
      <c r="B1191" s="44">
        <v>5</v>
      </c>
      <c r="C1191" s="45" t="s">
        <v>1656</v>
      </c>
      <c r="D1191" s="44" t="s">
        <v>4609</v>
      </c>
      <c r="E1191" s="44" t="str">
        <f>VLOOKUP(Tabelle7[[#This Row],[EnumName]],Enum[[IFC-Name]:[Präfix]],5,FALSE)&amp;Tabelle7[[#This Row],[EnuRohValue]]</f>
        <v>mesU_ELECTRICCAPACITANCEUNIT</v>
      </c>
      <c r="F1191" s="44">
        <f>COUNTIF(Tabelle7[EnuValue],Tabelle7[[#This Row],[EnuValue]])</f>
        <v>1</v>
      </c>
      <c r="G1191" s="44" t="str">
        <f xml:space="preserve"> "  " &amp; Tabelle7[[#This Row],[EnuValue]] &amp; " = " &amp; Tabelle7[[#This Row],[Wert]]</f>
        <v xml:space="preserve">  mesU_ELECTRICCAPACITANCEUNIT = 5</v>
      </c>
      <c r="H1191" s="44" t="str">
        <f>"  If Wert = " &amp; Tabelle7[[#This Row],[EnuValue]] &amp; " then Res = ""." &amp; Tabelle7[[#This Row],[EnuRohValue]] &amp; "."""</f>
        <v xml:space="preserve">  If Wert = mesU_ELECTRICCAPACITANCEUNIT then Res = ".ELECTRICCAPACITANCEUNIT."</v>
      </c>
      <c r="I1191" s="44" t="str">
        <f>"  If wert = ""." &amp; Tabelle7[[#This Row],[EnuRohValue]] &amp; "."" Then Res = " &amp; Tabelle7[[#This Row],[EnuValue]]</f>
        <v xml:space="preserve">  If wert = ".ELECTRICCAPACITANCEUNIT." Then Res = mesU_ELECTRICCAPACITANCEUNIT</v>
      </c>
    </row>
    <row r="1192" spans="2:9" x14ac:dyDescent="0.25">
      <c r="B1192" s="44">
        <v>6</v>
      </c>
      <c r="C1192" s="45" t="s">
        <v>1656</v>
      </c>
      <c r="D1192" s="44" t="s">
        <v>4610</v>
      </c>
      <c r="E1192" s="44" t="str">
        <f>VLOOKUP(Tabelle7[[#This Row],[EnumName]],Enum[[IFC-Name]:[Präfix]],5,FALSE)&amp;Tabelle7[[#This Row],[EnuRohValue]]</f>
        <v>mesU_ELECTRICCHARGEUNIT</v>
      </c>
      <c r="F1192" s="44">
        <f>COUNTIF(Tabelle7[EnuValue],Tabelle7[[#This Row],[EnuValue]])</f>
        <v>1</v>
      </c>
      <c r="G1192" s="44" t="str">
        <f xml:space="preserve"> "  " &amp; Tabelle7[[#This Row],[EnuValue]] &amp; " = " &amp; Tabelle7[[#This Row],[Wert]]</f>
        <v xml:space="preserve">  mesU_ELECTRICCHARGEUNIT = 6</v>
      </c>
      <c r="H1192" s="44" t="str">
        <f>"  If Wert = " &amp; Tabelle7[[#This Row],[EnuValue]] &amp; " then Res = ""." &amp; Tabelle7[[#This Row],[EnuRohValue]] &amp; "."""</f>
        <v xml:space="preserve">  If Wert = mesU_ELECTRICCHARGEUNIT then Res = ".ELECTRICCHARGEUNIT."</v>
      </c>
      <c r="I1192" s="44" t="str">
        <f>"  If wert = ""." &amp; Tabelle7[[#This Row],[EnuRohValue]] &amp; "."" Then Res = " &amp; Tabelle7[[#This Row],[EnuValue]]</f>
        <v xml:space="preserve">  If wert = ".ELECTRICCHARGEUNIT." Then Res = mesU_ELECTRICCHARGEUNIT</v>
      </c>
    </row>
    <row r="1193" spans="2:9" x14ac:dyDescent="0.25">
      <c r="B1193" s="44">
        <v>7</v>
      </c>
      <c r="C1193" s="45" t="s">
        <v>1656</v>
      </c>
      <c r="D1193" s="44" t="s">
        <v>4611</v>
      </c>
      <c r="E1193" s="44" t="str">
        <f>VLOOKUP(Tabelle7[[#This Row],[EnumName]],Enum[[IFC-Name]:[Präfix]],5,FALSE)&amp;Tabelle7[[#This Row],[EnuRohValue]]</f>
        <v>mesU_ELECTRICCONDUCTANCEUNIT</v>
      </c>
      <c r="F1193" s="44">
        <f>COUNTIF(Tabelle7[EnuValue],Tabelle7[[#This Row],[EnuValue]])</f>
        <v>1</v>
      </c>
      <c r="G1193" s="44" t="str">
        <f xml:space="preserve"> "  " &amp; Tabelle7[[#This Row],[EnuValue]] &amp; " = " &amp; Tabelle7[[#This Row],[Wert]]</f>
        <v xml:space="preserve">  mesU_ELECTRICCONDUCTANCEUNIT = 7</v>
      </c>
      <c r="H1193" s="44" t="str">
        <f>"  If Wert = " &amp; Tabelle7[[#This Row],[EnuValue]] &amp; " then Res = ""." &amp; Tabelle7[[#This Row],[EnuRohValue]] &amp; "."""</f>
        <v xml:space="preserve">  If Wert = mesU_ELECTRICCONDUCTANCEUNIT then Res = ".ELECTRICCONDUCTANCEUNIT."</v>
      </c>
      <c r="I1193" s="44" t="str">
        <f>"  If wert = ""." &amp; Tabelle7[[#This Row],[EnuRohValue]] &amp; "."" Then Res = " &amp; Tabelle7[[#This Row],[EnuValue]]</f>
        <v xml:space="preserve">  If wert = ".ELECTRICCONDUCTANCEUNIT." Then Res = mesU_ELECTRICCONDUCTANCEUNIT</v>
      </c>
    </row>
    <row r="1194" spans="2:9" x14ac:dyDescent="0.25">
      <c r="B1194" s="44">
        <v>8</v>
      </c>
      <c r="C1194" s="45" t="s">
        <v>1656</v>
      </c>
      <c r="D1194" s="44" t="s">
        <v>4612</v>
      </c>
      <c r="E1194" s="44" t="str">
        <f>VLOOKUP(Tabelle7[[#This Row],[EnumName]],Enum[[IFC-Name]:[Präfix]],5,FALSE)&amp;Tabelle7[[#This Row],[EnuRohValue]]</f>
        <v>mesU_ELECTRICCURRENTUNIT</v>
      </c>
      <c r="F1194" s="44">
        <f>COUNTIF(Tabelle7[EnuValue],Tabelle7[[#This Row],[EnuValue]])</f>
        <v>1</v>
      </c>
      <c r="G1194" s="44" t="str">
        <f xml:space="preserve"> "  " &amp; Tabelle7[[#This Row],[EnuValue]] &amp; " = " &amp; Tabelle7[[#This Row],[Wert]]</f>
        <v xml:space="preserve">  mesU_ELECTRICCURRENTUNIT = 8</v>
      </c>
      <c r="H1194" s="44" t="str">
        <f>"  If Wert = " &amp; Tabelle7[[#This Row],[EnuValue]] &amp; " then Res = ""." &amp; Tabelle7[[#This Row],[EnuRohValue]] &amp; "."""</f>
        <v xml:space="preserve">  If Wert = mesU_ELECTRICCURRENTUNIT then Res = ".ELECTRICCURRENTUNIT."</v>
      </c>
      <c r="I1194" s="44" t="str">
        <f>"  If wert = ""." &amp; Tabelle7[[#This Row],[EnuRohValue]] &amp; "."" Then Res = " &amp; Tabelle7[[#This Row],[EnuValue]]</f>
        <v xml:space="preserve">  If wert = ".ELECTRICCURRENTUNIT." Then Res = mesU_ELECTRICCURRENTUNIT</v>
      </c>
    </row>
    <row r="1195" spans="2:9" x14ac:dyDescent="0.25">
      <c r="B1195" s="44">
        <v>9</v>
      </c>
      <c r="C1195" s="45" t="s">
        <v>1656</v>
      </c>
      <c r="D1195" s="44" t="s">
        <v>4613</v>
      </c>
      <c r="E1195" s="44" t="str">
        <f>VLOOKUP(Tabelle7[[#This Row],[EnumName]],Enum[[IFC-Name]:[Präfix]],5,FALSE)&amp;Tabelle7[[#This Row],[EnuRohValue]]</f>
        <v>mesU_ELECTRICRESISTANCEUNIT</v>
      </c>
      <c r="F1195" s="44">
        <f>COUNTIF(Tabelle7[EnuValue],Tabelle7[[#This Row],[EnuValue]])</f>
        <v>1</v>
      </c>
      <c r="G1195" s="44" t="str">
        <f xml:space="preserve"> "  " &amp; Tabelle7[[#This Row],[EnuValue]] &amp; " = " &amp; Tabelle7[[#This Row],[Wert]]</f>
        <v xml:space="preserve">  mesU_ELECTRICRESISTANCEUNIT = 9</v>
      </c>
      <c r="H1195" s="44" t="str">
        <f>"  If Wert = " &amp; Tabelle7[[#This Row],[EnuValue]] &amp; " then Res = ""." &amp; Tabelle7[[#This Row],[EnuRohValue]] &amp; "."""</f>
        <v xml:space="preserve">  If Wert = mesU_ELECTRICRESISTANCEUNIT then Res = ".ELECTRICRESISTANCEUNIT."</v>
      </c>
      <c r="I1195" s="44" t="str">
        <f>"  If wert = ""." &amp; Tabelle7[[#This Row],[EnuRohValue]] &amp; "."" Then Res = " &amp; Tabelle7[[#This Row],[EnuValue]]</f>
        <v xml:space="preserve">  If wert = ".ELECTRICRESISTANCEUNIT." Then Res = mesU_ELECTRICRESISTANCEUNIT</v>
      </c>
    </row>
    <row r="1196" spans="2:9" x14ac:dyDescent="0.25">
      <c r="B1196" s="44">
        <v>10</v>
      </c>
      <c r="C1196" s="45" t="s">
        <v>1656</v>
      </c>
      <c r="D1196" s="44" t="s">
        <v>4614</v>
      </c>
      <c r="E1196" s="44" t="str">
        <f>VLOOKUP(Tabelle7[[#This Row],[EnumName]],Enum[[IFC-Name]:[Präfix]],5,FALSE)&amp;Tabelle7[[#This Row],[EnuRohValue]]</f>
        <v>mesU_ELECTRICVOLTAGEUNIT</v>
      </c>
      <c r="F1196" s="44">
        <f>COUNTIF(Tabelle7[EnuValue],Tabelle7[[#This Row],[EnuValue]])</f>
        <v>1</v>
      </c>
      <c r="G1196" s="44" t="str">
        <f xml:space="preserve"> "  " &amp; Tabelle7[[#This Row],[EnuValue]] &amp; " = " &amp; Tabelle7[[#This Row],[Wert]]</f>
        <v xml:space="preserve">  mesU_ELECTRICVOLTAGEUNIT = 10</v>
      </c>
      <c r="H1196" s="44" t="str">
        <f>"  If Wert = " &amp; Tabelle7[[#This Row],[EnuValue]] &amp; " then Res = ""." &amp; Tabelle7[[#This Row],[EnuRohValue]] &amp; "."""</f>
        <v xml:space="preserve">  If Wert = mesU_ELECTRICVOLTAGEUNIT then Res = ".ELECTRICVOLTAGEUNIT."</v>
      </c>
      <c r="I1196" s="44" t="str">
        <f>"  If wert = ""." &amp; Tabelle7[[#This Row],[EnuRohValue]] &amp; "."" Then Res = " &amp; Tabelle7[[#This Row],[EnuValue]]</f>
        <v xml:space="preserve">  If wert = ".ELECTRICVOLTAGEUNIT." Then Res = mesU_ELECTRICVOLTAGEUNIT</v>
      </c>
    </row>
    <row r="1197" spans="2:9" x14ac:dyDescent="0.25">
      <c r="B1197" s="44">
        <v>11</v>
      </c>
      <c r="C1197" s="45" t="s">
        <v>1656</v>
      </c>
      <c r="D1197" s="44" t="s">
        <v>4615</v>
      </c>
      <c r="E1197" s="44" t="str">
        <f>VLOOKUP(Tabelle7[[#This Row],[EnumName]],Enum[[IFC-Name]:[Präfix]],5,FALSE)&amp;Tabelle7[[#This Row],[EnuRohValue]]</f>
        <v>mesU_ENERGYUNIT</v>
      </c>
      <c r="F1197" s="44">
        <f>COUNTIF(Tabelle7[EnuValue],Tabelle7[[#This Row],[EnuValue]])</f>
        <v>1</v>
      </c>
      <c r="G1197" s="44" t="str">
        <f xml:space="preserve"> "  " &amp; Tabelle7[[#This Row],[EnuValue]] &amp; " = " &amp; Tabelle7[[#This Row],[Wert]]</f>
        <v xml:space="preserve">  mesU_ENERGYUNIT = 11</v>
      </c>
      <c r="H1197" s="44" t="str">
        <f>"  If Wert = " &amp; Tabelle7[[#This Row],[EnuValue]] &amp; " then Res = ""." &amp; Tabelle7[[#This Row],[EnuRohValue]] &amp; "."""</f>
        <v xml:space="preserve">  If Wert = mesU_ENERGYUNIT then Res = ".ENERGYUNIT."</v>
      </c>
      <c r="I1197" s="44" t="str">
        <f>"  If wert = ""." &amp; Tabelle7[[#This Row],[EnuRohValue]] &amp; "."" Then Res = " &amp; Tabelle7[[#This Row],[EnuValue]]</f>
        <v xml:space="preserve">  If wert = ".ENERGYUNIT." Then Res = mesU_ENERGYUNIT</v>
      </c>
    </row>
    <row r="1198" spans="2:9" x14ac:dyDescent="0.25">
      <c r="B1198" s="44">
        <v>12</v>
      </c>
      <c r="C1198" s="45" t="s">
        <v>1656</v>
      </c>
      <c r="D1198" s="44" t="s">
        <v>4616</v>
      </c>
      <c r="E1198" s="44" t="str">
        <f>VLOOKUP(Tabelle7[[#This Row],[EnumName]],Enum[[IFC-Name]:[Präfix]],5,FALSE)&amp;Tabelle7[[#This Row],[EnuRohValue]]</f>
        <v>mesU_FORCEUNIT</v>
      </c>
      <c r="F1198" s="44">
        <f>COUNTIF(Tabelle7[EnuValue],Tabelle7[[#This Row],[EnuValue]])</f>
        <v>1</v>
      </c>
      <c r="G1198" s="44" t="str">
        <f xml:space="preserve"> "  " &amp; Tabelle7[[#This Row],[EnuValue]] &amp; " = " &amp; Tabelle7[[#This Row],[Wert]]</f>
        <v xml:space="preserve">  mesU_FORCEUNIT = 12</v>
      </c>
      <c r="H1198" s="44" t="str">
        <f>"  If Wert = " &amp; Tabelle7[[#This Row],[EnuValue]] &amp; " then Res = ""." &amp; Tabelle7[[#This Row],[EnuRohValue]] &amp; "."""</f>
        <v xml:space="preserve">  If Wert = mesU_FORCEUNIT then Res = ".FORCEUNIT."</v>
      </c>
      <c r="I1198" s="44" t="str">
        <f>"  If wert = ""." &amp; Tabelle7[[#This Row],[EnuRohValue]] &amp; "."" Then Res = " &amp; Tabelle7[[#This Row],[EnuValue]]</f>
        <v xml:space="preserve">  If wert = ".FORCEUNIT." Then Res = mesU_FORCEUNIT</v>
      </c>
    </row>
    <row r="1199" spans="2:9" x14ac:dyDescent="0.25">
      <c r="B1199" s="44">
        <v>13</v>
      </c>
      <c r="C1199" s="45" t="s">
        <v>1656</v>
      </c>
      <c r="D1199" s="44" t="s">
        <v>4617</v>
      </c>
      <c r="E1199" s="44" t="str">
        <f>VLOOKUP(Tabelle7[[#This Row],[EnumName]],Enum[[IFC-Name]:[Präfix]],5,FALSE)&amp;Tabelle7[[#This Row],[EnuRohValue]]</f>
        <v>mesU_FREQUENCYUNIT</v>
      </c>
      <c r="F1199" s="44">
        <f>COUNTIF(Tabelle7[EnuValue],Tabelle7[[#This Row],[EnuValue]])</f>
        <v>1</v>
      </c>
      <c r="G1199" s="44" t="str">
        <f xml:space="preserve"> "  " &amp; Tabelle7[[#This Row],[EnuValue]] &amp; " = " &amp; Tabelle7[[#This Row],[Wert]]</f>
        <v xml:space="preserve">  mesU_FREQUENCYUNIT = 13</v>
      </c>
      <c r="H1199" s="44" t="str">
        <f>"  If Wert = " &amp; Tabelle7[[#This Row],[EnuValue]] &amp; " then Res = ""." &amp; Tabelle7[[#This Row],[EnuRohValue]] &amp; "."""</f>
        <v xml:space="preserve">  If Wert = mesU_FREQUENCYUNIT then Res = ".FREQUENCYUNIT."</v>
      </c>
      <c r="I1199" s="44" t="str">
        <f>"  If wert = ""." &amp; Tabelle7[[#This Row],[EnuRohValue]] &amp; "."" Then Res = " &amp; Tabelle7[[#This Row],[EnuValue]]</f>
        <v xml:space="preserve">  If wert = ".FREQUENCYUNIT." Then Res = mesU_FREQUENCYUNIT</v>
      </c>
    </row>
    <row r="1200" spans="2:9" x14ac:dyDescent="0.25">
      <c r="B1200" s="44">
        <v>14</v>
      </c>
      <c r="C1200" s="45" t="s">
        <v>1656</v>
      </c>
      <c r="D1200" s="44" t="s">
        <v>4618</v>
      </c>
      <c r="E1200" s="44" t="str">
        <f>VLOOKUP(Tabelle7[[#This Row],[EnumName]],Enum[[IFC-Name]:[Präfix]],5,FALSE)&amp;Tabelle7[[#This Row],[EnuRohValue]]</f>
        <v>mesU_ILLUMINANCEUNIT</v>
      </c>
      <c r="F1200" s="44">
        <f>COUNTIF(Tabelle7[EnuValue],Tabelle7[[#This Row],[EnuValue]])</f>
        <v>1</v>
      </c>
      <c r="G1200" s="44" t="str">
        <f xml:space="preserve"> "  " &amp; Tabelle7[[#This Row],[EnuValue]] &amp; " = " &amp; Tabelle7[[#This Row],[Wert]]</f>
        <v xml:space="preserve">  mesU_ILLUMINANCEUNIT = 14</v>
      </c>
      <c r="H1200" s="44" t="str">
        <f>"  If Wert = " &amp; Tabelle7[[#This Row],[EnuValue]] &amp; " then Res = ""." &amp; Tabelle7[[#This Row],[EnuRohValue]] &amp; "."""</f>
        <v xml:space="preserve">  If Wert = mesU_ILLUMINANCEUNIT then Res = ".ILLUMINANCEUNIT."</v>
      </c>
      <c r="I1200" s="44" t="str">
        <f>"  If wert = ""." &amp; Tabelle7[[#This Row],[EnuRohValue]] &amp; "."" Then Res = " &amp; Tabelle7[[#This Row],[EnuValue]]</f>
        <v xml:space="preserve">  If wert = ".ILLUMINANCEUNIT." Then Res = mesU_ILLUMINANCEUNIT</v>
      </c>
    </row>
    <row r="1201" spans="2:9" x14ac:dyDescent="0.25">
      <c r="B1201" s="44">
        <v>15</v>
      </c>
      <c r="C1201" s="45" t="s">
        <v>1656</v>
      </c>
      <c r="D1201" s="44" t="s">
        <v>4619</v>
      </c>
      <c r="E1201" s="44" t="str">
        <f>VLOOKUP(Tabelle7[[#This Row],[EnumName]],Enum[[IFC-Name]:[Präfix]],5,FALSE)&amp;Tabelle7[[#This Row],[EnuRohValue]]</f>
        <v>mesU_INDUCTANCEUNIT</v>
      </c>
      <c r="F1201" s="44">
        <f>COUNTIF(Tabelle7[EnuValue],Tabelle7[[#This Row],[EnuValue]])</f>
        <v>1</v>
      </c>
      <c r="G1201" s="44" t="str">
        <f xml:space="preserve"> "  " &amp; Tabelle7[[#This Row],[EnuValue]] &amp; " = " &amp; Tabelle7[[#This Row],[Wert]]</f>
        <v xml:space="preserve">  mesU_INDUCTANCEUNIT = 15</v>
      </c>
      <c r="H1201" s="44" t="str">
        <f>"  If Wert = " &amp; Tabelle7[[#This Row],[EnuValue]] &amp; " then Res = ""." &amp; Tabelle7[[#This Row],[EnuRohValue]] &amp; "."""</f>
        <v xml:space="preserve">  If Wert = mesU_INDUCTANCEUNIT then Res = ".INDUCTANCEUNIT."</v>
      </c>
      <c r="I1201" s="44" t="str">
        <f>"  If wert = ""." &amp; Tabelle7[[#This Row],[EnuRohValue]] &amp; "."" Then Res = " &amp; Tabelle7[[#This Row],[EnuValue]]</f>
        <v xml:space="preserve">  If wert = ".INDUCTANCEUNIT." Then Res = mesU_INDUCTANCEUNIT</v>
      </c>
    </row>
    <row r="1202" spans="2:9" x14ac:dyDescent="0.25">
      <c r="B1202" s="44">
        <v>16</v>
      </c>
      <c r="C1202" s="45" t="s">
        <v>1656</v>
      </c>
      <c r="D1202" s="44" t="s">
        <v>4620</v>
      </c>
      <c r="E1202" s="44" t="str">
        <f>VLOOKUP(Tabelle7[[#This Row],[EnumName]],Enum[[IFC-Name]:[Präfix]],5,FALSE)&amp;Tabelle7[[#This Row],[EnuRohValue]]</f>
        <v>mesU_LENGTHUNIT</v>
      </c>
      <c r="F1202" s="44">
        <f>COUNTIF(Tabelle7[EnuValue],Tabelle7[[#This Row],[EnuValue]])</f>
        <v>1</v>
      </c>
      <c r="G1202" s="44" t="str">
        <f xml:space="preserve"> "  " &amp; Tabelle7[[#This Row],[EnuValue]] &amp; " = " &amp; Tabelle7[[#This Row],[Wert]]</f>
        <v xml:space="preserve">  mesU_LENGTHUNIT = 16</v>
      </c>
      <c r="H1202" s="44" t="str">
        <f>"  If Wert = " &amp; Tabelle7[[#This Row],[EnuValue]] &amp; " then Res = ""." &amp; Tabelle7[[#This Row],[EnuRohValue]] &amp; "."""</f>
        <v xml:space="preserve">  If Wert = mesU_LENGTHUNIT then Res = ".LENGTHUNIT."</v>
      </c>
      <c r="I1202" s="44" t="str">
        <f>"  If wert = ""." &amp; Tabelle7[[#This Row],[EnuRohValue]] &amp; "."" Then Res = " &amp; Tabelle7[[#This Row],[EnuValue]]</f>
        <v xml:space="preserve">  If wert = ".LENGTHUNIT." Then Res = mesU_LENGTHUNIT</v>
      </c>
    </row>
    <row r="1203" spans="2:9" x14ac:dyDescent="0.25">
      <c r="B1203" s="44">
        <v>17</v>
      </c>
      <c r="C1203" s="45" t="s">
        <v>1656</v>
      </c>
      <c r="D1203" s="44" t="s">
        <v>4621</v>
      </c>
      <c r="E1203" s="44" t="str">
        <f>VLOOKUP(Tabelle7[[#This Row],[EnumName]],Enum[[IFC-Name]:[Präfix]],5,FALSE)&amp;Tabelle7[[#This Row],[EnuRohValue]]</f>
        <v>mesU_LUMINOUSFLUXUNIT</v>
      </c>
      <c r="F1203" s="44">
        <f>COUNTIF(Tabelle7[EnuValue],Tabelle7[[#This Row],[EnuValue]])</f>
        <v>1</v>
      </c>
      <c r="G1203" s="44" t="str">
        <f xml:space="preserve"> "  " &amp; Tabelle7[[#This Row],[EnuValue]] &amp; " = " &amp; Tabelle7[[#This Row],[Wert]]</f>
        <v xml:space="preserve">  mesU_LUMINOUSFLUXUNIT = 17</v>
      </c>
      <c r="H1203" s="44" t="str">
        <f>"  If Wert = " &amp; Tabelle7[[#This Row],[EnuValue]] &amp; " then Res = ""." &amp; Tabelle7[[#This Row],[EnuRohValue]] &amp; "."""</f>
        <v xml:space="preserve">  If Wert = mesU_LUMINOUSFLUXUNIT then Res = ".LUMINOUSFLUXUNIT."</v>
      </c>
      <c r="I1203" s="44" t="str">
        <f>"  If wert = ""." &amp; Tabelle7[[#This Row],[EnuRohValue]] &amp; "."" Then Res = " &amp; Tabelle7[[#This Row],[EnuValue]]</f>
        <v xml:space="preserve">  If wert = ".LUMINOUSFLUXUNIT." Then Res = mesU_LUMINOUSFLUXUNIT</v>
      </c>
    </row>
    <row r="1204" spans="2:9" x14ac:dyDescent="0.25">
      <c r="B1204" s="44">
        <v>18</v>
      </c>
      <c r="C1204" s="45" t="s">
        <v>1656</v>
      </c>
      <c r="D1204" s="44" t="s">
        <v>4622</v>
      </c>
      <c r="E1204" s="44" t="str">
        <f>VLOOKUP(Tabelle7[[#This Row],[EnumName]],Enum[[IFC-Name]:[Präfix]],5,FALSE)&amp;Tabelle7[[#This Row],[EnuRohValue]]</f>
        <v>mesU_LUMINOUSINTENSITYUNIT</v>
      </c>
      <c r="F1204" s="44">
        <f>COUNTIF(Tabelle7[EnuValue],Tabelle7[[#This Row],[EnuValue]])</f>
        <v>1</v>
      </c>
      <c r="G1204" s="44" t="str">
        <f xml:space="preserve"> "  " &amp; Tabelle7[[#This Row],[EnuValue]] &amp; " = " &amp; Tabelle7[[#This Row],[Wert]]</f>
        <v xml:space="preserve">  mesU_LUMINOUSINTENSITYUNIT = 18</v>
      </c>
      <c r="H1204" s="44" t="str">
        <f>"  If Wert = " &amp; Tabelle7[[#This Row],[EnuValue]] &amp; " then Res = ""." &amp; Tabelle7[[#This Row],[EnuRohValue]] &amp; "."""</f>
        <v xml:space="preserve">  If Wert = mesU_LUMINOUSINTENSITYUNIT then Res = ".LUMINOUSINTENSITYUNIT."</v>
      </c>
      <c r="I1204" s="44" t="str">
        <f>"  If wert = ""." &amp; Tabelle7[[#This Row],[EnuRohValue]] &amp; "."" Then Res = " &amp; Tabelle7[[#This Row],[EnuValue]]</f>
        <v xml:space="preserve">  If wert = ".LUMINOUSINTENSITYUNIT." Then Res = mesU_LUMINOUSINTENSITYUNIT</v>
      </c>
    </row>
    <row r="1205" spans="2:9" x14ac:dyDescent="0.25">
      <c r="B1205" s="44">
        <v>19</v>
      </c>
      <c r="C1205" s="45" t="s">
        <v>1656</v>
      </c>
      <c r="D1205" s="44" t="s">
        <v>4623</v>
      </c>
      <c r="E1205" s="44" t="str">
        <f>VLOOKUP(Tabelle7[[#This Row],[EnumName]],Enum[[IFC-Name]:[Präfix]],5,FALSE)&amp;Tabelle7[[#This Row],[EnuRohValue]]</f>
        <v>mesU_MAGNETICFLUXDENSITYUNIT</v>
      </c>
      <c r="F1205" s="44">
        <f>COUNTIF(Tabelle7[EnuValue],Tabelle7[[#This Row],[EnuValue]])</f>
        <v>1</v>
      </c>
      <c r="G1205" s="44" t="str">
        <f xml:space="preserve"> "  " &amp; Tabelle7[[#This Row],[EnuValue]] &amp; " = " &amp; Tabelle7[[#This Row],[Wert]]</f>
        <v xml:space="preserve">  mesU_MAGNETICFLUXDENSITYUNIT = 19</v>
      </c>
      <c r="H1205" s="44" t="str">
        <f>"  If Wert = " &amp; Tabelle7[[#This Row],[EnuValue]] &amp; " then Res = ""." &amp; Tabelle7[[#This Row],[EnuRohValue]] &amp; "."""</f>
        <v xml:space="preserve">  If Wert = mesU_MAGNETICFLUXDENSITYUNIT then Res = ".MAGNETICFLUXDENSITYUNIT."</v>
      </c>
      <c r="I1205" s="44" t="str">
        <f>"  If wert = ""." &amp; Tabelle7[[#This Row],[EnuRohValue]] &amp; "."" Then Res = " &amp; Tabelle7[[#This Row],[EnuValue]]</f>
        <v xml:space="preserve">  If wert = ".MAGNETICFLUXDENSITYUNIT." Then Res = mesU_MAGNETICFLUXDENSITYUNIT</v>
      </c>
    </row>
    <row r="1206" spans="2:9" x14ac:dyDescent="0.25">
      <c r="B1206" s="44">
        <v>20</v>
      </c>
      <c r="C1206" s="45" t="s">
        <v>1656</v>
      </c>
      <c r="D1206" s="44" t="s">
        <v>4624</v>
      </c>
      <c r="E1206" s="44" t="str">
        <f>VLOOKUP(Tabelle7[[#This Row],[EnumName]],Enum[[IFC-Name]:[Präfix]],5,FALSE)&amp;Tabelle7[[#This Row],[EnuRohValue]]</f>
        <v>mesU_MAGNETICFLUXUNIT</v>
      </c>
      <c r="F1206" s="44">
        <f>COUNTIF(Tabelle7[EnuValue],Tabelle7[[#This Row],[EnuValue]])</f>
        <v>1</v>
      </c>
      <c r="G1206" s="44" t="str">
        <f xml:space="preserve"> "  " &amp; Tabelle7[[#This Row],[EnuValue]] &amp; " = " &amp; Tabelle7[[#This Row],[Wert]]</f>
        <v xml:space="preserve">  mesU_MAGNETICFLUXUNIT = 20</v>
      </c>
      <c r="H1206" s="44" t="str">
        <f>"  If Wert = " &amp; Tabelle7[[#This Row],[EnuValue]] &amp; " then Res = ""." &amp; Tabelle7[[#This Row],[EnuRohValue]] &amp; "."""</f>
        <v xml:space="preserve">  If Wert = mesU_MAGNETICFLUXUNIT then Res = ".MAGNETICFLUXUNIT."</v>
      </c>
      <c r="I1206" s="44" t="str">
        <f>"  If wert = ""." &amp; Tabelle7[[#This Row],[EnuRohValue]] &amp; "."" Then Res = " &amp; Tabelle7[[#This Row],[EnuValue]]</f>
        <v xml:space="preserve">  If wert = ".MAGNETICFLUXUNIT." Then Res = mesU_MAGNETICFLUXUNIT</v>
      </c>
    </row>
    <row r="1207" spans="2:9" x14ac:dyDescent="0.25">
      <c r="B1207" s="44">
        <v>21</v>
      </c>
      <c r="C1207" s="45" t="s">
        <v>1656</v>
      </c>
      <c r="D1207" s="44" t="s">
        <v>4625</v>
      </c>
      <c r="E1207" s="44" t="str">
        <f>VLOOKUP(Tabelle7[[#This Row],[EnumName]],Enum[[IFC-Name]:[Präfix]],5,FALSE)&amp;Tabelle7[[#This Row],[EnuRohValue]]</f>
        <v>mesU_MASSUNIT</v>
      </c>
      <c r="F1207" s="44">
        <f>COUNTIF(Tabelle7[EnuValue],Tabelle7[[#This Row],[EnuValue]])</f>
        <v>1</v>
      </c>
      <c r="G1207" s="44" t="str">
        <f xml:space="preserve"> "  " &amp; Tabelle7[[#This Row],[EnuValue]] &amp; " = " &amp; Tabelle7[[#This Row],[Wert]]</f>
        <v xml:space="preserve">  mesU_MASSUNIT = 21</v>
      </c>
      <c r="H1207" s="44" t="str">
        <f>"  If Wert = " &amp; Tabelle7[[#This Row],[EnuValue]] &amp; " then Res = ""." &amp; Tabelle7[[#This Row],[EnuRohValue]] &amp; "."""</f>
        <v xml:space="preserve">  If Wert = mesU_MASSUNIT then Res = ".MASSUNIT."</v>
      </c>
      <c r="I1207" s="44" t="str">
        <f>"  If wert = ""." &amp; Tabelle7[[#This Row],[EnuRohValue]] &amp; "."" Then Res = " &amp; Tabelle7[[#This Row],[EnuValue]]</f>
        <v xml:space="preserve">  If wert = ".MASSUNIT." Then Res = mesU_MASSUNIT</v>
      </c>
    </row>
    <row r="1208" spans="2:9" x14ac:dyDescent="0.25">
      <c r="B1208" s="44">
        <v>22</v>
      </c>
      <c r="C1208" s="45" t="s">
        <v>1656</v>
      </c>
      <c r="D1208" s="44" t="s">
        <v>4626</v>
      </c>
      <c r="E1208" s="44" t="str">
        <f>VLOOKUP(Tabelle7[[#This Row],[EnumName]],Enum[[IFC-Name]:[Präfix]],5,FALSE)&amp;Tabelle7[[#This Row],[EnuRohValue]]</f>
        <v>mesU_PLANEANGLEUNIT</v>
      </c>
      <c r="F1208" s="44">
        <f>COUNTIF(Tabelle7[EnuValue],Tabelle7[[#This Row],[EnuValue]])</f>
        <v>1</v>
      </c>
      <c r="G1208" s="44" t="str">
        <f xml:space="preserve"> "  " &amp; Tabelle7[[#This Row],[EnuValue]] &amp; " = " &amp; Tabelle7[[#This Row],[Wert]]</f>
        <v xml:space="preserve">  mesU_PLANEANGLEUNIT = 22</v>
      </c>
      <c r="H1208" s="44" t="str">
        <f>"  If Wert = " &amp; Tabelle7[[#This Row],[EnuValue]] &amp; " then Res = ""." &amp; Tabelle7[[#This Row],[EnuRohValue]] &amp; "."""</f>
        <v xml:space="preserve">  If Wert = mesU_PLANEANGLEUNIT then Res = ".PLANEANGLEUNIT."</v>
      </c>
      <c r="I1208" s="44" t="str">
        <f>"  If wert = ""." &amp; Tabelle7[[#This Row],[EnuRohValue]] &amp; "."" Then Res = " &amp; Tabelle7[[#This Row],[EnuValue]]</f>
        <v xml:space="preserve">  If wert = ".PLANEANGLEUNIT." Then Res = mesU_PLANEANGLEUNIT</v>
      </c>
    </row>
    <row r="1209" spans="2:9" x14ac:dyDescent="0.25">
      <c r="B1209" s="44">
        <v>23</v>
      </c>
      <c r="C1209" s="45" t="s">
        <v>1656</v>
      </c>
      <c r="D1209" s="44" t="s">
        <v>4627</v>
      </c>
      <c r="E1209" s="44" t="str">
        <f>VLOOKUP(Tabelle7[[#This Row],[EnumName]],Enum[[IFC-Name]:[Präfix]],5,FALSE)&amp;Tabelle7[[#This Row],[EnuRohValue]]</f>
        <v>mesU_POWERUNIT</v>
      </c>
      <c r="F1209" s="44">
        <f>COUNTIF(Tabelle7[EnuValue],Tabelle7[[#This Row],[EnuValue]])</f>
        <v>1</v>
      </c>
      <c r="G1209" s="44" t="str">
        <f xml:space="preserve"> "  " &amp; Tabelle7[[#This Row],[EnuValue]] &amp; " = " &amp; Tabelle7[[#This Row],[Wert]]</f>
        <v xml:space="preserve">  mesU_POWERUNIT = 23</v>
      </c>
      <c r="H1209" s="44" t="str">
        <f>"  If Wert = " &amp; Tabelle7[[#This Row],[EnuValue]] &amp; " then Res = ""." &amp; Tabelle7[[#This Row],[EnuRohValue]] &amp; "."""</f>
        <v xml:space="preserve">  If Wert = mesU_POWERUNIT then Res = ".POWERUNIT."</v>
      </c>
      <c r="I1209" s="44" t="str">
        <f>"  If wert = ""." &amp; Tabelle7[[#This Row],[EnuRohValue]] &amp; "."" Then Res = " &amp; Tabelle7[[#This Row],[EnuValue]]</f>
        <v xml:space="preserve">  If wert = ".POWERUNIT." Then Res = mesU_POWERUNIT</v>
      </c>
    </row>
    <row r="1210" spans="2:9" x14ac:dyDescent="0.25">
      <c r="B1210" s="44">
        <v>24</v>
      </c>
      <c r="C1210" s="45" t="s">
        <v>1656</v>
      </c>
      <c r="D1210" s="44" t="s">
        <v>4628</v>
      </c>
      <c r="E1210" s="44" t="str">
        <f>VLOOKUP(Tabelle7[[#This Row],[EnumName]],Enum[[IFC-Name]:[Präfix]],5,FALSE)&amp;Tabelle7[[#This Row],[EnuRohValue]]</f>
        <v>mesU_PRESSUREUNIT</v>
      </c>
      <c r="F1210" s="44">
        <f>COUNTIF(Tabelle7[EnuValue],Tabelle7[[#This Row],[EnuValue]])</f>
        <v>1</v>
      </c>
      <c r="G1210" s="44" t="str">
        <f xml:space="preserve"> "  " &amp; Tabelle7[[#This Row],[EnuValue]] &amp; " = " &amp; Tabelle7[[#This Row],[Wert]]</f>
        <v xml:space="preserve">  mesU_PRESSUREUNIT = 24</v>
      </c>
      <c r="H1210" s="44" t="str">
        <f>"  If Wert = " &amp; Tabelle7[[#This Row],[EnuValue]] &amp; " then Res = ""." &amp; Tabelle7[[#This Row],[EnuRohValue]] &amp; "."""</f>
        <v xml:space="preserve">  If Wert = mesU_PRESSUREUNIT then Res = ".PRESSUREUNIT."</v>
      </c>
      <c r="I1210" s="44" t="str">
        <f>"  If wert = ""." &amp; Tabelle7[[#This Row],[EnuRohValue]] &amp; "."" Then Res = " &amp; Tabelle7[[#This Row],[EnuValue]]</f>
        <v xml:space="preserve">  If wert = ".PRESSUREUNIT." Then Res = mesU_PRESSUREUNIT</v>
      </c>
    </row>
    <row r="1211" spans="2:9" x14ac:dyDescent="0.25">
      <c r="B1211" s="44">
        <v>25</v>
      </c>
      <c r="C1211" s="45" t="s">
        <v>1656</v>
      </c>
      <c r="D1211" s="44" t="s">
        <v>4629</v>
      </c>
      <c r="E1211" s="44" t="str">
        <f>VLOOKUP(Tabelle7[[#This Row],[EnumName]],Enum[[IFC-Name]:[Präfix]],5,FALSE)&amp;Tabelle7[[#This Row],[EnuRohValue]]</f>
        <v>mesU_RADIOACTIVITYUNIT</v>
      </c>
      <c r="F1211" s="44">
        <f>COUNTIF(Tabelle7[EnuValue],Tabelle7[[#This Row],[EnuValue]])</f>
        <v>1</v>
      </c>
      <c r="G1211" s="44" t="str">
        <f xml:space="preserve"> "  " &amp; Tabelle7[[#This Row],[EnuValue]] &amp; " = " &amp; Tabelle7[[#This Row],[Wert]]</f>
        <v xml:space="preserve">  mesU_RADIOACTIVITYUNIT = 25</v>
      </c>
      <c r="H1211" s="44" t="str">
        <f>"  If Wert = " &amp; Tabelle7[[#This Row],[EnuValue]] &amp; " then Res = ""." &amp; Tabelle7[[#This Row],[EnuRohValue]] &amp; "."""</f>
        <v xml:space="preserve">  If Wert = mesU_RADIOACTIVITYUNIT then Res = ".RADIOACTIVITYUNIT."</v>
      </c>
      <c r="I1211" s="44" t="str">
        <f>"  If wert = ""." &amp; Tabelle7[[#This Row],[EnuRohValue]] &amp; "."" Then Res = " &amp; Tabelle7[[#This Row],[EnuValue]]</f>
        <v xml:space="preserve">  If wert = ".RADIOACTIVITYUNIT." Then Res = mesU_RADIOACTIVITYUNIT</v>
      </c>
    </row>
    <row r="1212" spans="2:9" x14ac:dyDescent="0.25">
      <c r="B1212" s="44">
        <v>26</v>
      </c>
      <c r="C1212" s="45" t="s">
        <v>1656</v>
      </c>
      <c r="D1212" s="44" t="s">
        <v>4630</v>
      </c>
      <c r="E1212" s="44" t="str">
        <f>VLOOKUP(Tabelle7[[#This Row],[EnumName]],Enum[[IFC-Name]:[Präfix]],5,FALSE)&amp;Tabelle7[[#This Row],[EnuRohValue]]</f>
        <v>mesU_SOLIDANGLEUNIT</v>
      </c>
      <c r="F1212" s="44">
        <f>COUNTIF(Tabelle7[EnuValue],Tabelle7[[#This Row],[EnuValue]])</f>
        <v>1</v>
      </c>
      <c r="G1212" s="44" t="str">
        <f xml:space="preserve"> "  " &amp; Tabelle7[[#This Row],[EnuValue]] &amp; " = " &amp; Tabelle7[[#This Row],[Wert]]</f>
        <v xml:space="preserve">  mesU_SOLIDANGLEUNIT = 26</v>
      </c>
      <c r="H1212" s="44" t="str">
        <f>"  If Wert = " &amp; Tabelle7[[#This Row],[EnuValue]] &amp; " then Res = ""." &amp; Tabelle7[[#This Row],[EnuRohValue]] &amp; "."""</f>
        <v xml:space="preserve">  If Wert = mesU_SOLIDANGLEUNIT then Res = ".SOLIDANGLEUNIT."</v>
      </c>
      <c r="I1212" s="44" t="str">
        <f>"  If wert = ""." &amp; Tabelle7[[#This Row],[EnuRohValue]] &amp; "."" Then Res = " &amp; Tabelle7[[#This Row],[EnuValue]]</f>
        <v xml:space="preserve">  If wert = ".SOLIDANGLEUNIT." Then Res = mesU_SOLIDANGLEUNIT</v>
      </c>
    </row>
    <row r="1213" spans="2:9" x14ac:dyDescent="0.25">
      <c r="B1213" s="44">
        <v>27</v>
      </c>
      <c r="C1213" s="45" t="s">
        <v>1656</v>
      </c>
      <c r="D1213" s="44" t="s">
        <v>4631</v>
      </c>
      <c r="E1213" s="44" t="str">
        <f>VLOOKUP(Tabelle7[[#This Row],[EnumName]],Enum[[IFC-Name]:[Präfix]],5,FALSE)&amp;Tabelle7[[#This Row],[EnuRohValue]]</f>
        <v>mesU_THERMODYNAMICTEMPERATUREUNIT</v>
      </c>
      <c r="F1213" s="44">
        <f>COUNTIF(Tabelle7[EnuValue],Tabelle7[[#This Row],[EnuValue]])</f>
        <v>1</v>
      </c>
      <c r="G1213" s="44" t="str">
        <f xml:space="preserve"> "  " &amp; Tabelle7[[#This Row],[EnuValue]] &amp; " = " &amp; Tabelle7[[#This Row],[Wert]]</f>
        <v xml:space="preserve">  mesU_THERMODYNAMICTEMPERATUREUNIT = 27</v>
      </c>
      <c r="H1213" s="44" t="str">
        <f>"  If Wert = " &amp; Tabelle7[[#This Row],[EnuValue]] &amp; " then Res = ""." &amp; Tabelle7[[#This Row],[EnuRohValue]] &amp; "."""</f>
        <v xml:space="preserve">  If Wert = mesU_THERMODYNAMICTEMPERATUREUNIT then Res = ".THERMODYNAMICTEMPERATUREUNIT."</v>
      </c>
      <c r="I1213" s="44" t="str">
        <f>"  If wert = ""." &amp; Tabelle7[[#This Row],[EnuRohValue]] &amp; "."" Then Res = " &amp; Tabelle7[[#This Row],[EnuValue]]</f>
        <v xml:space="preserve">  If wert = ".THERMODYNAMICTEMPERATUREUNIT." Then Res = mesU_THERMODYNAMICTEMPERATUREUNIT</v>
      </c>
    </row>
    <row r="1214" spans="2:9" x14ac:dyDescent="0.25">
      <c r="B1214" s="44">
        <v>28</v>
      </c>
      <c r="C1214" s="45" t="s">
        <v>1656</v>
      </c>
      <c r="D1214" s="44" t="s">
        <v>4632</v>
      </c>
      <c r="E1214" s="44" t="str">
        <f>VLOOKUP(Tabelle7[[#This Row],[EnumName]],Enum[[IFC-Name]:[Präfix]],5,FALSE)&amp;Tabelle7[[#This Row],[EnuRohValue]]</f>
        <v>mesU_TIMEUNIT</v>
      </c>
      <c r="F1214" s="44">
        <f>COUNTIF(Tabelle7[EnuValue],Tabelle7[[#This Row],[EnuValue]])</f>
        <v>1</v>
      </c>
      <c r="G1214" s="44" t="str">
        <f xml:space="preserve"> "  " &amp; Tabelle7[[#This Row],[EnuValue]] &amp; " = " &amp; Tabelle7[[#This Row],[Wert]]</f>
        <v xml:space="preserve">  mesU_TIMEUNIT = 28</v>
      </c>
      <c r="H1214" s="44" t="str">
        <f>"  If Wert = " &amp; Tabelle7[[#This Row],[EnuValue]] &amp; " then Res = ""." &amp; Tabelle7[[#This Row],[EnuRohValue]] &amp; "."""</f>
        <v xml:space="preserve">  If Wert = mesU_TIMEUNIT then Res = ".TIMEUNIT."</v>
      </c>
      <c r="I1214" s="44" t="str">
        <f>"  If wert = ""." &amp; Tabelle7[[#This Row],[EnuRohValue]] &amp; "."" Then Res = " &amp; Tabelle7[[#This Row],[EnuValue]]</f>
        <v xml:space="preserve">  If wert = ".TIMEUNIT." Then Res = mesU_TIMEUNIT</v>
      </c>
    </row>
    <row r="1215" spans="2:9" x14ac:dyDescent="0.25">
      <c r="B1215" s="44">
        <v>29</v>
      </c>
      <c r="C1215" s="45" t="s">
        <v>1656</v>
      </c>
      <c r="D1215" s="44" t="s">
        <v>4633</v>
      </c>
      <c r="E1215" s="44" t="str">
        <f>VLOOKUP(Tabelle7[[#This Row],[EnumName]],Enum[[IFC-Name]:[Präfix]],5,FALSE)&amp;Tabelle7[[#This Row],[EnuRohValue]]</f>
        <v>mesU_VOLUMEUNIT</v>
      </c>
      <c r="F1215" s="44">
        <f>COUNTIF(Tabelle7[EnuValue],Tabelle7[[#This Row],[EnuValue]])</f>
        <v>1</v>
      </c>
      <c r="G1215" s="44" t="str">
        <f xml:space="preserve"> "  " &amp; Tabelle7[[#This Row],[EnuValue]] &amp; " = " &amp; Tabelle7[[#This Row],[Wert]]</f>
        <v xml:space="preserve">  mesU_VOLUMEUNIT = 29</v>
      </c>
      <c r="H1215" s="44" t="str">
        <f>"  If Wert = " &amp; Tabelle7[[#This Row],[EnuValue]] &amp; " then Res = ""." &amp; Tabelle7[[#This Row],[EnuRohValue]] &amp; "."""</f>
        <v xml:space="preserve">  If Wert = mesU_VOLUMEUNIT then Res = ".VOLUMEUNIT."</v>
      </c>
      <c r="I1215" s="44" t="str">
        <f>"  If wert = ""." &amp; Tabelle7[[#This Row],[EnuRohValue]] &amp; "."" Then Res = " &amp; Tabelle7[[#This Row],[EnuValue]]</f>
        <v xml:space="preserve">  If wert = ".VOLUMEUNIT." Then Res = mesU_VOLUMEUNIT</v>
      </c>
    </row>
    <row r="1216" spans="2:9" x14ac:dyDescent="0.25">
      <c r="B1216" s="44">
        <v>30</v>
      </c>
      <c r="C1216" s="45" t="s">
        <v>1656</v>
      </c>
      <c r="D1216" s="44" t="s">
        <v>3682</v>
      </c>
      <c r="E1216" s="44" t="str">
        <f>VLOOKUP(Tabelle7[[#This Row],[EnumName]],Enum[[IFC-Name]:[Präfix]],5,FALSE)&amp;Tabelle7[[#This Row],[EnuRohValue]]</f>
        <v>mesU_USERDEFINED</v>
      </c>
      <c r="F1216" s="44">
        <f>COUNTIF(Tabelle7[EnuValue],Tabelle7[[#This Row],[EnuValue]])</f>
        <v>1</v>
      </c>
      <c r="G1216" s="44" t="str">
        <f xml:space="preserve"> "  " &amp; Tabelle7[[#This Row],[EnuValue]] &amp; " = " &amp; Tabelle7[[#This Row],[Wert]]</f>
        <v xml:space="preserve">  mesU_USERDEFINED = 30</v>
      </c>
      <c r="H1216" s="44" t="str">
        <f>"  If Wert = " &amp; Tabelle7[[#This Row],[EnuValue]] &amp; " then Res = ""." &amp; Tabelle7[[#This Row],[EnuRohValue]] &amp; "."""</f>
        <v xml:space="preserve">  If Wert = mesU_USERDEFINED then Res = ".USERDEFINED."</v>
      </c>
      <c r="I1216" s="44" t="str">
        <f>"  If wert = ""." &amp; Tabelle7[[#This Row],[EnuRohValue]] &amp; "."" Then Res = " &amp; Tabelle7[[#This Row],[EnuValue]]</f>
        <v xml:space="preserve">  If wert = ".USERDEFINED." Then Res = mesU_USERDEFINED</v>
      </c>
    </row>
    <row r="1217" spans="2:9" x14ac:dyDescent="0.25">
      <c r="B1217" s="44">
        <v>1</v>
      </c>
      <c r="C1217" s="45" t="s">
        <v>1657</v>
      </c>
      <c r="D1217" s="44" t="s">
        <v>4634</v>
      </c>
      <c r="E1217" s="44" t="str">
        <f>VLOOKUP(Tabelle7[[#This Row],[EnumName]],Enum[[IFC-Name]:[Präfix]],5,FALSE)&amp;Tabelle7[[#This Row],[EnuRohValue]]</f>
        <v>hvacUET_AIRHANDLER</v>
      </c>
      <c r="F1217" s="44">
        <f>COUNTIF(Tabelle7[EnuValue],Tabelle7[[#This Row],[EnuValue]])</f>
        <v>1</v>
      </c>
      <c r="G1217" s="44" t="str">
        <f xml:space="preserve"> "  " &amp; Tabelle7[[#This Row],[EnuValue]] &amp; " = " &amp; Tabelle7[[#This Row],[Wert]]</f>
        <v xml:space="preserve">  hvacUET_AIRHANDLER = 1</v>
      </c>
      <c r="H1217" s="44" t="str">
        <f>"  If Wert = " &amp; Tabelle7[[#This Row],[EnuValue]] &amp; " then Res = ""." &amp; Tabelle7[[#This Row],[EnuRohValue]] &amp; "."""</f>
        <v xml:space="preserve">  If Wert = hvacUET_AIRHANDLER then Res = ".AIRHANDLER."</v>
      </c>
      <c r="I1217" s="44" t="str">
        <f>"  If wert = ""." &amp; Tabelle7[[#This Row],[EnuRohValue]] &amp; "."" Then Res = " &amp; Tabelle7[[#This Row],[EnuValue]]</f>
        <v xml:space="preserve">  If wert = ".AIRHANDLER." Then Res = hvacUET_AIRHANDLER</v>
      </c>
    </row>
    <row r="1218" spans="2:9" x14ac:dyDescent="0.25">
      <c r="B1218" s="44">
        <v>2</v>
      </c>
      <c r="C1218" s="45" t="s">
        <v>1657</v>
      </c>
      <c r="D1218" s="44" t="s">
        <v>4635</v>
      </c>
      <c r="E1218" s="44" t="str">
        <f>VLOOKUP(Tabelle7[[#This Row],[EnumName]],Enum[[IFC-Name]:[Präfix]],5,FALSE)&amp;Tabelle7[[#This Row],[EnuRohValue]]</f>
        <v>hvacUET_AIRCONDITIONINGUNIT</v>
      </c>
      <c r="F1218" s="44">
        <f>COUNTIF(Tabelle7[EnuValue],Tabelle7[[#This Row],[EnuValue]])</f>
        <v>1</v>
      </c>
      <c r="G1218" s="44" t="str">
        <f xml:space="preserve"> "  " &amp; Tabelle7[[#This Row],[EnuValue]] &amp; " = " &amp; Tabelle7[[#This Row],[Wert]]</f>
        <v xml:space="preserve">  hvacUET_AIRCONDITIONINGUNIT = 2</v>
      </c>
      <c r="H1218" s="44" t="str">
        <f>"  If Wert = " &amp; Tabelle7[[#This Row],[EnuValue]] &amp; " then Res = ""." &amp; Tabelle7[[#This Row],[EnuRohValue]] &amp; "."""</f>
        <v xml:space="preserve">  If Wert = hvacUET_AIRCONDITIONINGUNIT then Res = ".AIRCONDITIONINGUNIT."</v>
      </c>
      <c r="I1218" s="44" t="str">
        <f>"  If wert = ""." &amp; Tabelle7[[#This Row],[EnuRohValue]] &amp; "."" Then Res = " &amp; Tabelle7[[#This Row],[EnuValue]]</f>
        <v xml:space="preserve">  If wert = ".AIRCONDITIONINGUNIT." Then Res = hvacUET_AIRCONDITIONINGUNIT</v>
      </c>
    </row>
    <row r="1219" spans="2:9" x14ac:dyDescent="0.25">
      <c r="B1219" s="44">
        <v>3</v>
      </c>
      <c r="C1219" s="45" t="s">
        <v>1657</v>
      </c>
      <c r="D1219" s="44" t="s">
        <v>4636</v>
      </c>
      <c r="E1219" s="44" t="str">
        <f>VLOOKUP(Tabelle7[[#This Row],[EnumName]],Enum[[IFC-Name]:[Präfix]],5,FALSE)&amp;Tabelle7[[#This Row],[EnuRohValue]]</f>
        <v>hvacUET_SPLITSYSTEM</v>
      </c>
      <c r="F1219" s="44">
        <f>COUNTIF(Tabelle7[EnuValue],Tabelle7[[#This Row],[EnuValue]])</f>
        <v>1</v>
      </c>
      <c r="G1219" s="44" t="str">
        <f xml:space="preserve"> "  " &amp; Tabelle7[[#This Row],[EnuValue]] &amp; " = " &amp; Tabelle7[[#This Row],[Wert]]</f>
        <v xml:space="preserve">  hvacUET_SPLITSYSTEM = 3</v>
      </c>
      <c r="H1219" s="44" t="str">
        <f>"  If Wert = " &amp; Tabelle7[[#This Row],[EnuValue]] &amp; " then Res = ""." &amp; Tabelle7[[#This Row],[EnuRohValue]] &amp; "."""</f>
        <v xml:space="preserve">  If Wert = hvacUET_SPLITSYSTEM then Res = ".SPLITSYSTEM."</v>
      </c>
      <c r="I1219" s="44" t="str">
        <f>"  If wert = ""." &amp; Tabelle7[[#This Row],[EnuRohValue]] &amp; "."" Then Res = " &amp; Tabelle7[[#This Row],[EnuValue]]</f>
        <v xml:space="preserve">  If wert = ".SPLITSYSTEM." Then Res = hvacUET_SPLITSYSTEM</v>
      </c>
    </row>
    <row r="1220" spans="2:9" x14ac:dyDescent="0.25">
      <c r="B1220" s="44">
        <v>4</v>
      </c>
      <c r="C1220" s="45" t="s">
        <v>1657</v>
      </c>
      <c r="D1220" s="44" t="s">
        <v>4637</v>
      </c>
      <c r="E1220" s="44" t="str">
        <f>VLOOKUP(Tabelle7[[#This Row],[EnumName]],Enum[[IFC-Name]:[Präfix]],5,FALSE)&amp;Tabelle7[[#This Row],[EnuRohValue]]</f>
        <v>hvacUET_ROOFTOPUNIT</v>
      </c>
      <c r="F1220" s="44">
        <f>COUNTIF(Tabelle7[EnuValue],Tabelle7[[#This Row],[EnuValue]])</f>
        <v>1</v>
      </c>
      <c r="G1220" s="44" t="str">
        <f xml:space="preserve"> "  " &amp; Tabelle7[[#This Row],[EnuValue]] &amp; " = " &amp; Tabelle7[[#This Row],[Wert]]</f>
        <v xml:space="preserve">  hvacUET_ROOFTOPUNIT = 4</v>
      </c>
      <c r="H1220" s="44" t="str">
        <f>"  If Wert = " &amp; Tabelle7[[#This Row],[EnuValue]] &amp; " then Res = ""." &amp; Tabelle7[[#This Row],[EnuRohValue]] &amp; "."""</f>
        <v xml:space="preserve">  If Wert = hvacUET_ROOFTOPUNIT then Res = ".ROOFTOPUNIT."</v>
      </c>
      <c r="I1220" s="44" t="str">
        <f>"  If wert = ""." &amp; Tabelle7[[#This Row],[EnuRohValue]] &amp; "."" Then Res = " &amp; Tabelle7[[#This Row],[EnuValue]]</f>
        <v xml:space="preserve">  If wert = ".ROOFTOPUNIT." Then Res = hvacUET_ROOFTOPUNIT</v>
      </c>
    </row>
    <row r="1221" spans="2:9" x14ac:dyDescent="0.25">
      <c r="B1221" s="44">
        <v>5</v>
      </c>
      <c r="C1221" s="45" t="s">
        <v>1657</v>
      </c>
      <c r="D1221" s="44" t="s">
        <v>3682</v>
      </c>
      <c r="E1221" s="44" t="str">
        <f>VLOOKUP(Tabelle7[[#This Row],[EnumName]],Enum[[IFC-Name]:[Präfix]],5,FALSE)&amp;Tabelle7[[#This Row],[EnuRohValue]]</f>
        <v>hvacUET_USERDEFINED</v>
      </c>
      <c r="F1221" s="44">
        <f>COUNTIF(Tabelle7[EnuValue],Tabelle7[[#This Row],[EnuValue]])</f>
        <v>1</v>
      </c>
      <c r="G1221" s="44" t="str">
        <f xml:space="preserve"> "  " &amp; Tabelle7[[#This Row],[EnuValue]] &amp; " = " &amp; Tabelle7[[#This Row],[Wert]]</f>
        <v xml:space="preserve">  hvacUET_USERDEFINED = 5</v>
      </c>
      <c r="H1221" s="44" t="str">
        <f>"  If Wert = " &amp; Tabelle7[[#This Row],[EnuValue]] &amp; " then Res = ""." &amp; Tabelle7[[#This Row],[EnuRohValue]] &amp; "."""</f>
        <v xml:space="preserve">  If Wert = hvacUET_USERDEFINED then Res = ".USERDEFINED."</v>
      </c>
      <c r="I1221" s="44" t="str">
        <f>"  If wert = ""." &amp; Tabelle7[[#This Row],[EnuRohValue]] &amp; "."" Then Res = " &amp; Tabelle7[[#This Row],[EnuValue]]</f>
        <v xml:space="preserve">  If wert = ".USERDEFINED." Then Res = hvacUET_USERDEFINED</v>
      </c>
    </row>
    <row r="1222" spans="2:9" x14ac:dyDescent="0.25">
      <c r="B1222" s="44">
        <v>6</v>
      </c>
      <c r="C1222" s="45" t="s">
        <v>1657</v>
      </c>
      <c r="D1222" s="44" t="s">
        <v>3683</v>
      </c>
      <c r="E1222" s="44" t="str">
        <f>VLOOKUP(Tabelle7[[#This Row],[EnumName]],Enum[[IFC-Name]:[Präfix]],5,FALSE)&amp;Tabelle7[[#This Row],[EnuRohValue]]</f>
        <v>hvacUET_NOTDEFINED</v>
      </c>
      <c r="F1222" s="44">
        <f>COUNTIF(Tabelle7[EnuValue],Tabelle7[[#This Row],[EnuValue]])</f>
        <v>1</v>
      </c>
      <c r="G1222" s="44" t="str">
        <f xml:space="preserve"> "  " &amp; Tabelle7[[#This Row],[EnuValue]] &amp; " = " &amp; Tabelle7[[#This Row],[Wert]]</f>
        <v xml:space="preserve">  hvacUET_NOTDEFINED = 6</v>
      </c>
      <c r="H1222" s="44" t="str">
        <f>"  If Wert = " &amp; Tabelle7[[#This Row],[EnuValue]] &amp; " then Res = ""." &amp; Tabelle7[[#This Row],[EnuRohValue]] &amp; "."""</f>
        <v xml:space="preserve">  If Wert = hvacUET_NOTDEFINED then Res = ".NOTDEFINED."</v>
      </c>
      <c r="I1222" s="44" t="str">
        <f>"  If wert = ""." &amp; Tabelle7[[#This Row],[EnuRohValue]] &amp; "."" Then Res = " &amp; Tabelle7[[#This Row],[EnuValue]]</f>
        <v xml:space="preserve">  If wert = ".NOTDEFINED." Then Res = hvacUET_NOTDEFINED</v>
      </c>
    </row>
    <row r="1223" spans="2:9" x14ac:dyDescent="0.25">
      <c r="B1223" s="44">
        <v>1</v>
      </c>
      <c r="C1223" s="45" t="s">
        <v>1658</v>
      </c>
      <c r="D1223" s="44" t="s">
        <v>4638</v>
      </c>
      <c r="E1223" s="44" t="str">
        <f>VLOOKUP(Tabelle7[[#This Row],[EnumName]],Enum[[IFC-Name]:[Präfix]],5,FALSE)&amp;Tabelle7[[#This Row],[EnuRohValue]]</f>
        <v>hvacVaT_AIRRELEASE</v>
      </c>
      <c r="F1223" s="44">
        <f>COUNTIF(Tabelle7[EnuValue],Tabelle7[[#This Row],[EnuValue]])</f>
        <v>1</v>
      </c>
      <c r="G1223" s="44" t="str">
        <f xml:space="preserve"> "  " &amp; Tabelle7[[#This Row],[EnuValue]] &amp; " = " &amp; Tabelle7[[#This Row],[Wert]]</f>
        <v xml:space="preserve">  hvacVaT_AIRRELEASE = 1</v>
      </c>
      <c r="H1223" s="44" t="str">
        <f>"  If Wert = " &amp; Tabelle7[[#This Row],[EnuValue]] &amp; " then Res = ""." &amp; Tabelle7[[#This Row],[EnuRohValue]] &amp; "."""</f>
        <v xml:space="preserve">  If Wert = hvacVaT_AIRRELEASE then Res = ".AIRRELEASE."</v>
      </c>
      <c r="I1223" s="44" t="str">
        <f>"  If wert = ""." &amp; Tabelle7[[#This Row],[EnuRohValue]] &amp; "."" Then Res = " &amp; Tabelle7[[#This Row],[EnuValue]]</f>
        <v xml:space="preserve">  If wert = ".AIRRELEASE." Then Res = hvacVaT_AIRRELEASE</v>
      </c>
    </row>
    <row r="1224" spans="2:9" x14ac:dyDescent="0.25">
      <c r="B1224" s="44">
        <v>2</v>
      </c>
      <c r="C1224" s="45" t="s">
        <v>1658</v>
      </c>
      <c r="D1224" s="44" t="s">
        <v>4639</v>
      </c>
      <c r="E1224" s="44" t="str">
        <f>VLOOKUP(Tabelle7[[#This Row],[EnumName]],Enum[[IFC-Name]:[Präfix]],5,FALSE)&amp;Tabelle7[[#This Row],[EnuRohValue]]</f>
        <v>hvacVaT_ANTIVACUUM</v>
      </c>
      <c r="F1224" s="44">
        <f>COUNTIF(Tabelle7[EnuValue],Tabelle7[[#This Row],[EnuValue]])</f>
        <v>1</v>
      </c>
      <c r="G1224" s="44" t="str">
        <f xml:space="preserve"> "  " &amp; Tabelle7[[#This Row],[EnuValue]] &amp; " = " &amp; Tabelle7[[#This Row],[Wert]]</f>
        <v xml:space="preserve">  hvacVaT_ANTIVACUUM = 2</v>
      </c>
      <c r="H1224" s="44" t="str">
        <f>"  If Wert = " &amp; Tabelle7[[#This Row],[EnuValue]] &amp; " then Res = ""." &amp; Tabelle7[[#This Row],[EnuRohValue]] &amp; "."""</f>
        <v xml:space="preserve">  If Wert = hvacVaT_ANTIVACUUM then Res = ".ANTIVACUUM."</v>
      </c>
      <c r="I1224" s="44" t="str">
        <f>"  If wert = ""." &amp; Tabelle7[[#This Row],[EnuRohValue]] &amp; "."" Then Res = " &amp; Tabelle7[[#This Row],[EnuValue]]</f>
        <v xml:space="preserve">  If wert = ".ANTIVACUUM." Then Res = hvacVaT_ANTIVACUUM</v>
      </c>
    </row>
    <row r="1225" spans="2:9" x14ac:dyDescent="0.25">
      <c r="B1225" s="44">
        <v>3</v>
      </c>
      <c r="C1225" s="45" t="s">
        <v>1658</v>
      </c>
      <c r="D1225" s="44" t="s">
        <v>4640</v>
      </c>
      <c r="E1225" s="44" t="str">
        <f>VLOOKUP(Tabelle7[[#This Row],[EnumName]],Enum[[IFC-Name]:[Präfix]],5,FALSE)&amp;Tabelle7[[#This Row],[EnuRohValue]]</f>
        <v>hvacVaT_CHANGEOVER</v>
      </c>
      <c r="F1225" s="44">
        <f>COUNTIF(Tabelle7[EnuValue],Tabelle7[[#This Row],[EnuValue]])</f>
        <v>1</v>
      </c>
      <c r="G1225" s="44" t="str">
        <f xml:space="preserve"> "  " &amp; Tabelle7[[#This Row],[EnuValue]] &amp; " = " &amp; Tabelle7[[#This Row],[Wert]]</f>
        <v xml:space="preserve">  hvacVaT_CHANGEOVER = 3</v>
      </c>
      <c r="H1225" s="44" t="str">
        <f>"  If Wert = " &amp; Tabelle7[[#This Row],[EnuValue]] &amp; " then Res = ""." &amp; Tabelle7[[#This Row],[EnuRohValue]] &amp; "."""</f>
        <v xml:space="preserve">  If Wert = hvacVaT_CHANGEOVER then Res = ".CHANGEOVER."</v>
      </c>
      <c r="I1225" s="44" t="str">
        <f>"  If wert = ""." &amp; Tabelle7[[#This Row],[EnuRohValue]] &amp; "."" Then Res = " &amp; Tabelle7[[#This Row],[EnuValue]]</f>
        <v xml:space="preserve">  If wert = ".CHANGEOVER." Then Res = hvacVaT_CHANGEOVER</v>
      </c>
    </row>
    <row r="1226" spans="2:9" x14ac:dyDescent="0.25">
      <c r="B1226" s="44">
        <v>4</v>
      </c>
      <c r="C1226" s="45" t="s">
        <v>1658</v>
      </c>
      <c r="D1226" s="44" t="s">
        <v>4641</v>
      </c>
      <c r="E1226" s="44" t="str">
        <f>VLOOKUP(Tabelle7[[#This Row],[EnumName]],Enum[[IFC-Name]:[Präfix]],5,FALSE)&amp;Tabelle7[[#This Row],[EnuRohValue]]</f>
        <v>hvacVaT_CHECK</v>
      </c>
      <c r="F1226" s="44">
        <f>COUNTIF(Tabelle7[EnuValue],Tabelle7[[#This Row],[EnuValue]])</f>
        <v>1</v>
      </c>
      <c r="G1226" s="44" t="str">
        <f xml:space="preserve"> "  " &amp; Tabelle7[[#This Row],[EnuValue]] &amp; " = " &amp; Tabelle7[[#This Row],[Wert]]</f>
        <v xml:space="preserve">  hvacVaT_CHECK = 4</v>
      </c>
      <c r="H1226" s="44" t="str">
        <f>"  If Wert = " &amp; Tabelle7[[#This Row],[EnuValue]] &amp; " then Res = ""." &amp; Tabelle7[[#This Row],[EnuRohValue]] &amp; "."""</f>
        <v xml:space="preserve">  If Wert = hvacVaT_CHECK then Res = ".CHECK."</v>
      </c>
      <c r="I1226" s="44" t="str">
        <f>"  If wert = ""." &amp; Tabelle7[[#This Row],[EnuRohValue]] &amp; "."" Then Res = " &amp; Tabelle7[[#This Row],[EnuValue]]</f>
        <v xml:space="preserve">  If wert = ".CHECK." Then Res = hvacVaT_CHECK</v>
      </c>
    </row>
    <row r="1227" spans="2:9" x14ac:dyDescent="0.25">
      <c r="B1227" s="44">
        <v>5</v>
      </c>
      <c r="C1227" s="45" t="s">
        <v>1658</v>
      </c>
      <c r="D1227" s="44" t="s">
        <v>4330</v>
      </c>
      <c r="E1227" s="44" t="str">
        <f>VLOOKUP(Tabelle7[[#This Row],[EnumName]],Enum[[IFC-Name]:[Präfix]],5,FALSE)&amp;Tabelle7[[#This Row],[EnuRohValue]]</f>
        <v>hvacVaT_COMMISSIONING</v>
      </c>
      <c r="F1227" s="44">
        <f>COUNTIF(Tabelle7[EnuValue],Tabelle7[[#This Row],[EnuValue]])</f>
        <v>1</v>
      </c>
      <c r="G1227" s="44" t="str">
        <f xml:space="preserve"> "  " &amp; Tabelle7[[#This Row],[EnuValue]] &amp; " = " &amp; Tabelle7[[#This Row],[Wert]]</f>
        <v xml:space="preserve">  hvacVaT_COMMISSIONING = 5</v>
      </c>
      <c r="H1227" s="44" t="str">
        <f>"  If Wert = " &amp; Tabelle7[[#This Row],[EnuValue]] &amp; " then Res = ""." &amp; Tabelle7[[#This Row],[EnuRohValue]] &amp; "."""</f>
        <v xml:space="preserve">  If Wert = hvacVaT_COMMISSIONING then Res = ".COMMISSIONING."</v>
      </c>
      <c r="I1227" s="44" t="str">
        <f>"  If wert = ""." &amp; Tabelle7[[#This Row],[EnuRohValue]] &amp; "."" Then Res = " &amp; Tabelle7[[#This Row],[EnuValue]]</f>
        <v xml:space="preserve">  If wert = ".COMMISSIONING." Then Res = hvacVaT_COMMISSIONING</v>
      </c>
    </row>
    <row r="1228" spans="2:9" x14ac:dyDescent="0.25">
      <c r="B1228" s="44">
        <v>6</v>
      </c>
      <c r="C1228" s="45" t="s">
        <v>1658</v>
      </c>
      <c r="D1228" s="44" t="s">
        <v>4642</v>
      </c>
      <c r="E1228" s="44" t="str">
        <f>VLOOKUP(Tabelle7[[#This Row],[EnumName]],Enum[[IFC-Name]:[Präfix]],5,FALSE)&amp;Tabelle7[[#This Row],[EnuRohValue]]</f>
        <v>hvacVaT_DIVERTING</v>
      </c>
      <c r="F1228" s="44">
        <f>COUNTIF(Tabelle7[EnuValue],Tabelle7[[#This Row],[EnuValue]])</f>
        <v>1</v>
      </c>
      <c r="G1228" s="44" t="str">
        <f xml:space="preserve"> "  " &amp; Tabelle7[[#This Row],[EnuValue]] &amp; " = " &amp; Tabelle7[[#This Row],[Wert]]</f>
        <v xml:space="preserve">  hvacVaT_DIVERTING = 6</v>
      </c>
      <c r="H1228" s="44" t="str">
        <f>"  If Wert = " &amp; Tabelle7[[#This Row],[EnuValue]] &amp; " then Res = ""." &amp; Tabelle7[[#This Row],[EnuRohValue]] &amp; "."""</f>
        <v xml:space="preserve">  If Wert = hvacVaT_DIVERTING then Res = ".DIVERTING."</v>
      </c>
      <c r="I1228" s="44" t="str">
        <f>"  If wert = ""." &amp; Tabelle7[[#This Row],[EnuRohValue]] &amp; "."" Then Res = " &amp; Tabelle7[[#This Row],[EnuValue]]</f>
        <v xml:space="preserve">  If wert = ".DIVERTING." Then Res = hvacVaT_DIVERTING</v>
      </c>
    </row>
    <row r="1229" spans="2:9" x14ac:dyDescent="0.25">
      <c r="B1229" s="44">
        <v>7</v>
      </c>
      <c r="C1229" s="45" t="s">
        <v>1658</v>
      </c>
      <c r="D1229" s="44" t="s">
        <v>4643</v>
      </c>
      <c r="E1229" s="44" t="str">
        <f>VLOOKUP(Tabelle7[[#This Row],[EnumName]],Enum[[IFC-Name]:[Präfix]],5,FALSE)&amp;Tabelle7[[#This Row],[EnuRohValue]]</f>
        <v>hvacVaT_DRAWOFFCOCK</v>
      </c>
      <c r="F1229" s="44">
        <f>COUNTIF(Tabelle7[EnuValue],Tabelle7[[#This Row],[EnuValue]])</f>
        <v>1</v>
      </c>
      <c r="G1229" s="44" t="str">
        <f xml:space="preserve"> "  " &amp; Tabelle7[[#This Row],[EnuValue]] &amp; " = " &amp; Tabelle7[[#This Row],[Wert]]</f>
        <v xml:space="preserve">  hvacVaT_DRAWOFFCOCK = 7</v>
      </c>
      <c r="H1229" s="44" t="str">
        <f>"  If Wert = " &amp; Tabelle7[[#This Row],[EnuValue]] &amp; " then Res = ""." &amp; Tabelle7[[#This Row],[EnuRohValue]] &amp; "."""</f>
        <v xml:space="preserve">  If Wert = hvacVaT_DRAWOFFCOCK then Res = ".DRAWOFFCOCK."</v>
      </c>
      <c r="I1229" s="44" t="str">
        <f>"  If wert = ""." &amp; Tabelle7[[#This Row],[EnuRohValue]] &amp; "."" Then Res = " &amp; Tabelle7[[#This Row],[EnuValue]]</f>
        <v xml:space="preserve">  If wert = ".DRAWOFFCOCK." Then Res = hvacVaT_DRAWOFFCOCK</v>
      </c>
    </row>
    <row r="1230" spans="2:9" x14ac:dyDescent="0.25">
      <c r="B1230" s="44">
        <v>8</v>
      </c>
      <c r="C1230" s="45" t="s">
        <v>1658</v>
      </c>
      <c r="D1230" s="44" t="s">
        <v>4644</v>
      </c>
      <c r="E1230" s="44" t="str">
        <f>VLOOKUP(Tabelle7[[#This Row],[EnumName]],Enum[[IFC-Name]:[Präfix]],5,FALSE)&amp;Tabelle7[[#This Row],[EnuRohValue]]</f>
        <v>hvacVaT_DOUBLECHECK</v>
      </c>
      <c r="F1230" s="44">
        <f>COUNTIF(Tabelle7[EnuValue],Tabelle7[[#This Row],[EnuValue]])</f>
        <v>1</v>
      </c>
      <c r="G1230" s="44" t="str">
        <f xml:space="preserve"> "  " &amp; Tabelle7[[#This Row],[EnuValue]] &amp; " = " &amp; Tabelle7[[#This Row],[Wert]]</f>
        <v xml:space="preserve">  hvacVaT_DOUBLECHECK = 8</v>
      </c>
      <c r="H1230" s="44" t="str">
        <f>"  If Wert = " &amp; Tabelle7[[#This Row],[EnuValue]] &amp; " then Res = ""." &amp; Tabelle7[[#This Row],[EnuRohValue]] &amp; "."""</f>
        <v xml:space="preserve">  If Wert = hvacVaT_DOUBLECHECK then Res = ".DOUBLECHECK."</v>
      </c>
      <c r="I1230" s="44" t="str">
        <f>"  If wert = ""." &amp; Tabelle7[[#This Row],[EnuRohValue]] &amp; "."" Then Res = " &amp; Tabelle7[[#This Row],[EnuValue]]</f>
        <v xml:space="preserve">  If wert = ".DOUBLECHECK." Then Res = hvacVaT_DOUBLECHECK</v>
      </c>
    </row>
    <row r="1231" spans="2:9" x14ac:dyDescent="0.25">
      <c r="B1231" s="44">
        <v>9</v>
      </c>
      <c r="C1231" s="45" t="s">
        <v>1658</v>
      </c>
      <c r="D1231" s="44" t="s">
        <v>4645</v>
      </c>
      <c r="E1231" s="44" t="str">
        <f>VLOOKUP(Tabelle7[[#This Row],[EnumName]],Enum[[IFC-Name]:[Präfix]],5,FALSE)&amp;Tabelle7[[#This Row],[EnuRohValue]]</f>
        <v>hvacVaT_DOUBLEREGULATING</v>
      </c>
      <c r="F1231" s="44">
        <f>COUNTIF(Tabelle7[EnuValue],Tabelle7[[#This Row],[EnuValue]])</f>
        <v>1</v>
      </c>
      <c r="G1231" s="44" t="str">
        <f xml:space="preserve"> "  " &amp; Tabelle7[[#This Row],[EnuValue]] &amp; " = " &amp; Tabelle7[[#This Row],[Wert]]</f>
        <v xml:space="preserve">  hvacVaT_DOUBLEREGULATING = 9</v>
      </c>
      <c r="H1231" s="44" t="str">
        <f>"  If Wert = " &amp; Tabelle7[[#This Row],[EnuValue]] &amp; " then Res = ""." &amp; Tabelle7[[#This Row],[EnuRohValue]] &amp; "."""</f>
        <v xml:space="preserve">  If Wert = hvacVaT_DOUBLEREGULATING then Res = ".DOUBLEREGULATING."</v>
      </c>
      <c r="I1231" s="44" t="str">
        <f>"  If wert = ""." &amp; Tabelle7[[#This Row],[EnuRohValue]] &amp; "."" Then Res = " &amp; Tabelle7[[#This Row],[EnuValue]]</f>
        <v xml:space="preserve">  If wert = ".DOUBLEREGULATING." Then Res = hvacVaT_DOUBLEREGULATING</v>
      </c>
    </row>
    <row r="1232" spans="2:9" x14ac:dyDescent="0.25">
      <c r="B1232" s="44">
        <v>10</v>
      </c>
      <c r="C1232" s="45" t="s">
        <v>1658</v>
      </c>
      <c r="D1232" s="44" t="s">
        <v>4646</v>
      </c>
      <c r="E1232" s="44" t="str">
        <f>VLOOKUP(Tabelle7[[#This Row],[EnumName]],Enum[[IFC-Name]:[Präfix]],5,FALSE)&amp;Tabelle7[[#This Row],[EnuRohValue]]</f>
        <v>hvacVaT_FAUCET</v>
      </c>
      <c r="F1232" s="44">
        <f>COUNTIF(Tabelle7[EnuValue],Tabelle7[[#This Row],[EnuValue]])</f>
        <v>1</v>
      </c>
      <c r="G1232" s="44" t="str">
        <f xml:space="preserve"> "  " &amp; Tabelle7[[#This Row],[EnuValue]] &amp; " = " &amp; Tabelle7[[#This Row],[Wert]]</f>
        <v xml:space="preserve">  hvacVaT_FAUCET = 10</v>
      </c>
      <c r="H1232" s="44" t="str">
        <f>"  If Wert = " &amp; Tabelle7[[#This Row],[EnuValue]] &amp; " then Res = ""." &amp; Tabelle7[[#This Row],[EnuRohValue]] &amp; "."""</f>
        <v xml:space="preserve">  If Wert = hvacVaT_FAUCET then Res = ".FAUCET."</v>
      </c>
      <c r="I1232" s="44" t="str">
        <f>"  If wert = ""." &amp; Tabelle7[[#This Row],[EnuRohValue]] &amp; "."" Then Res = " &amp; Tabelle7[[#This Row],[EnuValue]]</f>
        <v xml:space="preserve">  If wert = ".FAUCET." Then Res = hvacVaT_FAUCET</v>
      </c>
    </row>
    <row r="1233" spans="2:9" x14ac:dyDescent="0.25">
      <c r="B1233" s="44">
        <v>11</v>
      </c>
      <c r="C1233" s="45" t="s">
        <v>1658</v>
      </c>
      <c r="D1233" s="44" t="s">
        <v>4647</v>
      </c>
      <c r="E1233" s="44" t="str">
        <f>VLOOKUP(Tabelle7[[#This Row],[EnumName]],Enum[[IFC-Name]:[Präfix]],5,FALSE)&amp;Tabelle7[[#This Row],[EnuRohValue]]</f>
        <v>hvacVaT_FLUSHING</v>
      </c>
      <c r="F1233" s="44">
        <f>COUNTIF(Tabelle7[EnuValue],Tabelle7[[#This Row],[EnuValue]])</f>
        <v>1</v>
      </c>
      <c r="G1233" s="44" t="str">
        <f xml:space="preserve"> "  " &amp; Tabelle7[[#This Row],[EnuValue]] &amp; " = " &amp; Tabelle7[[#This Row],[Wert]]</f>
        <v xml:space="preserve">  hvacVaT_FLUSHING = 11</v>
      </c>
      <c r="H1233" s="44" t="str">
        <f>"  If Wert = " &amp; Tabelle7[[#This Row],[EnuValue]] &amp; " then Res = ""." &amp; Tabelle7[[#This Row],[EnuRohValue]] &amp; "."""</f>
        <v xml:space="preserve">  If Wert = hvacVaT_FLUSHING then Res = ".FLUSHING."</v>
      </c>
      <c r="I1233" s="44" t="str">
        <f>"  If wert = ""." &amp; Tabelle7[[#This Row],[EnuRohValue]] &amp; "."" Then Res = " &amp; Tabelle7[[#This Row],[EnuValue]]</f>
        <v xml:space="preserve">  If wert = ".FLUSHING." Then Res = hvacVaT_FLUSHING</v>
      </c>
    </row>
    <row r="1234" spans="2:9" x14ac:dyDescent="0.25">
      <c r="B1234" s="44">
        <v>12</v>
      </c>
      <c r="C1234" s="45" t="s">
        <v>1658</v>
      </c>
      <c r="D1234" s="44" t="s">
        <v>4648</v>
      </c>
      <c r="E1234" s="44" t="str">
        <f>VLOOKUP(Tabelle7[[#This Row],[EnumName]],Enum[[IFC-Name]:[Präfix]],5,FALSE)&amp;Tabelle7[[#This Row],[EnuRohValue]]</f>
        <v>hvacVaT_GASCOCK</v>
      </c>
      <c r="F1234" s="44">
        <f>COUNTIF(Tabelle7[EnuValue],Tabelle7[[#This Row],[EnuValue]])</f>
        <v>1</v>
      </c>
      <c r="G1234" s="44" t="str">
        <f xml:space="preserve"> "  " &amp; Tabelle7[[#This Row],[EnuValue]] &amp; " = " &amp; Tabelle7[[#This Row],[Wert]]</f>
        <v xml:space="preserve">  hvacVaT_GASCOCK = 12</v>
      </c>
      <c r="H1234" s="44" t="str">
        <f>"  If Wert = " &amp; Tabelle7[[#This Row],[EnuValue]] &amp; " then Res = ""." &amp; Tabelle7[[#This Row],[EnuRohValue]] &amp; "."""</f>
        <v xml:space="preserve">  If Wert = hvacVaT_GASCOCK then Res = ".GASCOCK."</v>
      </c>
      <c r="I1234" s="44" t="str">
        <f>"  If wert = ""." &amp; Tabelle7[[#This Row],[EnuRohValue]] &amp; "."" Then Res = " &amp; Tabelle7[[#This Row],[EnuValue]]</f>
        <v xml:space="preserve">  If wert = ".GASCOCK." Then Res = hvacVaT_GASCOCK</v>
      </c>
    </row>
    <row r="1235" spans="2:9" x14ac:dyDescent="0.25">
      <c r="B1235" s="44">
        <v>13</v>
      </c>
      <c r="C1235" s="45" t="s">
        <v>1658</v>
      </c>
      <c r="D1235" s="44" t="s">
        <v>4649</v>
      </c>
      <c r="E1235" s="44" t="str">
        <f>VLOOKUP(Tabelle7[[#This Row],[EnumName]],Enum[[IFC-Name]:[Präfix]],5,FALSE)&amp;Tabelle7[[#This Row],[EnuRohValue]]</f>
        <v>hvacVaT_GASTAP</v>
      </c>
      <c r="F1235" s="44">
        <f>COUNTIF(Tabelle7[EnuValue],Tabelle7[[#This Row],[EnuValue]])</f>
        <v>1</v>
      </c>
      <c r="G1235" s="44" t="str">
        <f xml:space="preserve"> "  " &amp; Tabelle7[[#This Row],[EnuValue]] &amp; " = " &amp; Tabelle7[[#This Row],[Wert]]</f>
        <v xml:space="preserve">  hvacVaT_GASTAP = 13</v>
      </c>
      <c r="H1235" s="44" t="str">
        <f>"  If Wert = " &amp; Tabelle7[[#This Row],[EnuValue]] &amp; " then Res = ""." &amp; Tabelle7[[#This Row],[EnuRohValue]] &amp; "."""</f>
        <v xml:space="preserve">  If Wert = hvacVaT_GASTAP then Res = ".GASTAP."</v>
      </c>
      <c r="I1235" s="44" t="str">
        <f>"  If wert = ""." &amp; Tabelle7[[#This Row],[EnuRohValue]] &amp; "."" Then Res = " &amp; Tabelle7[[#This Row],[EnuValue]]</f>
        <v xml:space="preserve">  If wert = ".GASTAP." Then Res = hvacVaT_GASTAP</v>
      </c>
    </row>
    <row r="1236" spans="2:9" x14ac:dyDescent="0.25">
      <c r="B1236" s="44">
        <v>14</v>
      </c>
      <c r="C1236" s="45" t="s">
        <v>1658</v>
      </c>
      <c r="D1236" s="44" t="s">
        <v>4650</v>
      </c>
      <c r="E1236" s="44" t="str">
        <f>VLOOKUP(Tabelle7[[#This Row],[EnumName]],Enum[[IFC-Name]:[Präfix]],5,FALSE)&amp;Tabelle7[[#This Row],[EnuRohValue]]</f>
        <v>hvacVaT_ISOLATING</v>
      </c>
      <c r="F1236" s="44">
        <f>COUNTIF(Tabelle7[EnuValue],Tabelle7[[#This Row],[EnuValue]])</f>
        <v>1</v>
      </c>
      <c r="G1236" s="44" t="str">
        <f xml:space="preserve"> "  " &amp; Tabelle7[[#This Row],[EnuValue]] &amp; " = " &amp; Tabelle7[[#This Row],[Wert]]</f>
        <v xml:space="preserve">  hvacVaT_ISOLATING = 14</v>
      </c>
      <c r="H1236" s="44" t="str">
        <f>"  If Wert = " &amp; Tabelle7[[#This Row],[EnuValue]] &amp; " then Res = ""." &amp; Tabelle7[[#This Row],[EnuRohValue]] &amp; "."""</f>
        <v xml:space="preserve">  If Wert = hvacVaT_ISOLATING then Res = ".ISOLATING."</v>
      </c>
      <c r="I1236" s="44" t="str">
        <f>"  If wert = ""." &amp; Tabelle7[[#This Row],[EnuRohValue]] &amp; "."" Then Res = " &amp; Tabelle7[[#This Row],[EnuValue]]</f>
        <v xml:space="preserve">  If wert = ".ISOLATING." Then Res = hvacVaT_ISOLATING</v>
      </c>
    </row>
    <row r="1237" spans="2:9" x14ac:dyDescent="0.25">
      <c r="B1237" s="44">
        <v>15</v>
      </c>
      <c r="C1237" s="45" t="s">
        <v>1658</v>
      </c>
      <c r="D1237" s="44" t="s">
        <v>4651</v>
      </c>
      <c r="E1237" s="44" t="str">
        <f>VLOOKUP(Tabelle7[[#This Row],[EnumName]],Enum[[IFC-Name]:[Präfix]],5,FALSE)&amp;Tabelle7[[#This Row],[EnuRohValue]]</f>
        <v>hvacVaT_MIXING</v>
      </c>
      <c r="F1237" s="44">
        <f>COUNTIF(Tabelle7[EnuValue],Tabelle7[[#This Row],[EnuValue]])</f>
        <v>1</v>
      </c>
      <c r="G1237" s="44" t="str">
        <f xml:space="preserve"> "  " &amp; Tabelle7[[#This Row],[EnuValue]] &amp; " = " &amp; Tabelle7[[#This Row],[Wert]]</f>
        <v xml:space="preserve">  hvacVaT_MIXING = 15</v>
      </c>
      <c r="H1237" s="44" t="str">
        <f>"  If Wert = " &amp; Tabelle7[[#This Row],[EnuValue]] &amp; " then Res = ""." &amp; Tabelle7[[#This Row],[EnuRohValue]] &amp; "."""</f>
        <v xml:space="preserve">  If Wert = hvacVaT_MIXING then Res = ".MIXING."</v>
      </c>
      <c r="I1237" s="44" t="str">
        <f>"  If wert = ""." &amp; Tabelle7[[#This Row],[EnuRohValue]] &amp; "."" Then Res = " &amp; Tabelle7[[#This Row],[EnuValue]]</f>
        <v xml:space="preserve">  If wert = ".MIXING." Then Res = hvacVaT_MIXING</v>
      </c>
    </row>
    <row r="1238" spans="2:9" x14ac:dyDescent="0.25">
      <c r="B1238" s="44">
        <v>16</v>
      </c>
      <c r="C1238" s="45" t="s">
        <v>1658</v>
      </c>
      <c r="D1238" s="44" t="s">
        <v>4652</v>
      </c>
      <c r="E1238" s="44" t="str">
        <f>VLOOKUP(Tabelle7[[#This Row],[EnumName]],Enum[[IFC-Name]:[Präfix]],5,FALSE)&amp;Tabelle7[[#This Row],[EnuRohValue]]</f>
        <v>hvacVaT_PRESSUREREDUCING</v>
      </c>
      <c r="F1238" s="44">
        <f>COUNTIF(Tabelle7[EnuValue],Tabelle7[[#This Row],[EnuValue]])</f>
        <v>1</v>
      </c>
      <c r="G1238" s="44" t="str">
        <f xml:space="preserve"> "  " &amp; Tabelle7[[#This Row],[EnuValue]] &amp; " = " &amp; Tabelle7[[#This Row],[Wert]]</f>
        <v xml:space="preserve">  hvacVaT_PRESSUREREDUCING = 16</v>
      </c>
      <c r="H1238" s="44" t="str">
        <f>"  If Wert = " &amp; Tabelle7[[#This Row],[EnuValue]] &amp; " then Res = ""." &amp; Tabelle7[[#This Row],[EnuRohValue]] &amp; "."""</f>
        <v xml:space="preserve">  If Wert = hvacVaT_PRESSUREREDUCING then Res = ".PRESSUREREDUCING."</v>
      </c>
      <c r="I1238" s="44" t="str">
        <f>"  If wert = ""." &amp; Tabelle7[[#This Row],[EnuRohValue]] &amp; "."" Then Res = " &amp; Tabelle7[[#This Row],[EnuValue]]</f>
        <v xml:space="preserve">  If wert = ".PRESSUREREDUCING." Then Res = hvacVaT_PRESSUREREDUCING</v>
      </c>
    </row>
    <row r="1239" spans="2:9" x14ac:dyDescent="0.25">
      <c r="B1239" s="44">
        <v>17</v>
      </c>
      <c r="C1239" s="45" t="s">
        <v>1658</v>
      </c>
      <c r="D1239" s="44" t="s">
        <v>4653</v>
      </c>
      <c r="E1239" s="44" t="str">
        <f>VLOOKUP(Tabelle7[[#This Row],[EnumName]],Enum[[IFC-Name]:[Präfix]],5,FALSE)&amp;Tabelle7[[#This Row],[EnuRohValue]]</f>
        <v>hvacVaT_PRESSURERELIEF</v>
      </c>
      <c r="F1239" s="44">
        <f>COUNTIF(Tabelle7[EnuValue],Tabelle7[[#This Row],[EnuValue]])</f>
        <v>1</v>
      </c>
      <c r="G1239" s="44" t="str">
        <f xml:space="preserve"> "  " &amp; Tabelle7[[#This Row],[EnuValue]] &amp; " = " &amp; Tabelle7[[#This Row],[Wert]]</f>
        <v xml:space="preserve">  hvacVaT_PRESSURERELIEF = 17</v>
      </c>
      <c r="H1239" s="44" t="str">
        <f>"  If Wert = " &amp; Tabelle7[[#This Row],[EnuValue]] &amp; " then Res = ""." &amp; Tabelle7[[#This Row],[EnuRohValue]] &amp; "."""</f>
        <v xml:space="preserve">  If Wert = hvacVaT_PRESSURERELIEF then Res = ".PRESSURERELIEF."</v>
      </c>
      <c r="I1239" s="44" t="str">
        <f>"  If wert = ""." &amp; Tabelle7[[#This Row],[EnuRohValue]] &amp; "."" Then Res = " &amp; Tabelle7[[#This Row],[EnuValue]]</f>
        <v xml:space="preserve">  If wert = ".PRESSURERELIEF." Then Res = hvacVaT_PRESSURERELIEF</v>
      </c>
    </row>
    <row r="1240" spans="2:9" x14ac:dyDescent="0.25">
      <c r="B1240" s="44">
        <v>18</v>
      </c>
      <c r="C1240" s="45" t="s">
        <v>1658</v>
      </c>
      <c r="D1240" s="44" t="s">
        <v>4654</v>
      </c>
      <c r="E1240" s="44" t="str">
        <f>VLOOKUP(Tabelle7[[#This Row],[EnumName]],Enum[[IFC-Name]:[Präfix]],5,FALSE)&amp;Tabelle7[[#This Row],[EnuRohValue]]</f>
        <v>hvacVaT_REGULATING</v>
      </c>
      <c r="F1240" s="44">
        <f>COUNTIF(Tabelle7[EnuValue],Tabelle7[[#This Row],[EnuValue]])</f>
        <v>1</v>
      </c>
      <c r="G1240" s="44" t="str">
        <f xml:space="preserve"> "  " &amp; Tabelle7[[#This Row],[EnuValue]] &amp; " = " &amp; Tabelle7[[#This Row],[Wert]]</f>
        <v xml:space="preserve">  hvacVaT_REGULATING = 18</v>
      </c>
      <c r="H1240" s="44" t="str">
        <f>"  If Wert = " &amp; Tabelle7[[#This Row],[EnuValue]] &amp; " then Res = ""." &amp; Tabelle7[[#This Row],[EnuRohValue]] &amp; "."""</f>
        <v xml:space="preserve">  If Wert = hvacVaT_REGULATING then Res = ".REGULATING."</v>
      </c>
      <c r="I1240" s="44" t="str">
        <f>"  If wert = ""." &amp; Tabelle7[[#This Row],[EnuRohValue]] &amp; "."" Then Res = " &amp; Tabelle7[[#This Row],[EnuValue]]</f>
        <v xml:space="preserve">  If wert = ".REGULATING." Then Res = hvacVaT_REGULATING</v>
      </c>
    </row>
    <row r="1241" spans="2:9" x14ac:dyDescent="0.25">
      <c r="B1241" s="44">
        <v>19</v>
      </c>
      <c r="C1241" s="45" t="s">
        <v>1658</v>
      </c>
      <c r="D1241" s="44" t="s">
        <v>4655</v>
      </c>
      <c r="E1241" s="44" t="str">
        <f>VLOOKUP(Tabelle7[[#This Row],[EnumName]],Enum[[IFC-Name]:[Präfix]],5,FALSE)&amp;Tabelle7[[#This Row],[EnuRohValue]]</f>
        <v>hvacVaT_SAFETYCUTOFF</v>
      </c>
      <c r="F1241" s="44">
        <f>COUNTIF(Tabelle7[EnuValue],Tabelle7[[#This Row],[EnuValue]])</f>
        <v>1</v>
      </c>
      <c r="G1241" s="44" t="str">
        <f xml:space="preserve"> "  " &amp; Tabelle7[[#This Row],[EnuValue]] &amp; " = " &amp; Tabelle7[[#This Row],[Wert]]</f>
        <v xml:space="preserve">  hvacVaT_SAFETYCUTOFF = 19</v>
      </c>
      <c r="H1241" s="44" t="str">
        <f>"  If Wert = " &amp; Tabelle7[[#This Row],[EnuValue]] &amp; " then Res = ""." &amp; Tabelle7[[#This Row],[EnuRohValue]] &amp; "."""</f>
        <v xml:space="preserve">  If Wert = hvacVaT_SAFETYCUTOFF then Res = ".SAFETYCUTOFF."</v>
      </c>
      <c r="I1241" s="44" t="str">
        <f>"  If wert = ""." &amp; Tabelle7[[#This Row],[EnuRohValue]] &amp; "."" Then Res = " &amp; Tabelle7[[#This Row],[EnuValue]]</f>
        <v xml:space="preserve">  If wert = ".SAFETYCUTOFF." Then Res = hvacVaT_SAFETYCUTOFF</v>
      </c>
    </row>
    <row r="1242" spans="2:9" x14ac:dyDescent="0.25">
      <c r="B1242" s="44">
        <v>20</v>
      </c>
      <c r="C1242" s="45" t="s">
        <v>1658</v>
      </c>
      <c r="D1242" s="44" t="s">
        <v>4656</v>
      </c>
      <c r="E1242" s="44" t="str">
        <f>VLOOKUP(Tabelle7[[#This Row],[EnumName]],Enum[[IFC-Name]:[Präfix]],5,FALSE)&amp;Tabelle7[[#This Row],[EnuRohValue]]</f>
        <v>hvacVaT_STEAMTRAP</v>
      </c>
      <c r="F1242" s="44">
        <f>COUNTIF(Tabelle7[EnuValue],Tabelle7[[#This Row],[EnuValue]])</f>
        <v>1</v>
      </c>
      <c r="G1242" s="44" t="str">
        <f xml:space="preserve"> "  " &amp; Tabelle7[[#This Row],[EnuValue]] &amp; " = " &amp; Tabelle7[[#This Row],[Wert]]</f>
        <v xml:space="preserve">  hvacVaT_STEAMTRAP = 20</v>
      </c>
      <c r="H1242" s="44" t="str">
        <f>"  If Wert = " &amp; Tabelle7[[#This Row],[EnuValue]] &amp; " then Res = ""." &amp; Tabelle7[[#This Row],[EnuRohValue]] &amp; "."""</f>
        <v xml:space="preserve">  If Wert = hvacVaT_STEAMTRAP then Res = ".STEAMTRAP."</v>
      </c>
      <c r="I1242" s="44" t="str">
        <f>"  If wert = ""." &amp; Tabelle7[[#This Row],[EnuRohValue]] &amp; "."" Then Res = " &amp; Tabelle7[[#This Row],[EnuValue]]</f>
        <v xml:space="preserve">  If wert = ".STEAMTRAP." Then Res = hvacVaT_STEAMTRAP</v>
      </c>
    </row>
    <row r="1243" spans="2:9" x14ac:dyDescent="0.25">
      <c r="B1243" s="44">
        <v>21</v>
      </c>
      <c r="C1243" s="45" t="s">
        <v>1658</v>
      </c>
      <c r="D1243" s="44" t="s">
        <v>4657</v>
      </c>
      <c r="E1243" s="44" t="str">
        <f>VLOOKUP(Tabelle7[[#This Row],[EnumName]],Enum[[IFC-Name]:[Präfix]],5,FALSE)&amp;Tabelle7[[#This Row],[EnuRohValue]]</f>
        <v>hvacVaT_STOPCOCK</v>
      </c>
      <c r="F1243" s="44">
        <f>COUNTIF(Tabelle7[EnuValue],Tabelle7[[#This Row],[EnuValue]])</f>
        <v>1</v>
      </c>
      <c r="G1243" s="44" t="str">
        <f xml:space="preserve"> "  " &amp; Tabelle7[[#This Row],[EnuValue]] &amp; " = " &amp; Tabelle7[[#This Row],[Wert]]</f>
        <v xml:space="preserve">  hvacVaT_STOPCOCK = 21</v>
      </c>
      <c r="H1243" s="44" t="str">
        <f>"  If Wert = " &amp; Tabelle7[[#This Row],[EnuValue]] &amp; " then Res = ""." &amp; Tabelle7[[#This Row],[EnuRohValue]] &amp; "."""</f>
        <v xml:space="preserve">  If Wert = hvacVaT_STOPCOCK then Res = ".STOPCOCK."</v>
      </c>
      <c r="I1243" s="44" t="str">
        <f>"  If wert = ""." &amp; Tabelle7[[#This Row],[EnuRohValue]] &amp; "."" Then Res = " &amp; Tabelle7[[#This Row],[EnuValue]]</f>
        <v xml:space="preserve">  If wert = ".STOPCOCK." Then Res = hvacVaT_STOPCOCK</v>
      </c>
    </row>
    <row r="1244" spans="2:9" x14ac:dyDescent="0.25">
      <c r="B1244" s="44">
        <v>22</v>
      </c>
      <c r="C1244" s="45" t="s">
        <v>1658</v>
      </c>
      <c r="D1244" s="44" t="s">
        <v>3682</v>
      </c>
      <c r="E1244" s="44" t="str">
        <f>VLOOKUP(Tabelle7[[#This Row],[EnumName]],Enum[[IFC-Name]:[Präfix]],5,FALSE)&amp;Tabelle7[[#This Row],[EnuRohValue]]</f>
        <v>hvacVaT_USERDEFINED</v>
      </c>
      <c r="F1244" s="44">
        <f>COUNTIF(Tabelle7[EnuValue],Tabelle7[[#This Row],[EnuValue]])</f>
        <v>1</v>
      </c>
      <c r="G1244" s="44" t="str">
        <f xml:space="preserve"> "  " &amp; Tabelle7[[#This Row],[EnuValue]] &amp; " = " &amp; Tabelle7[[#This Row],[Wert]]</f>
        <v xml:space="preserve">  hvacVaT_USERDEFINED = 22</v>
      </c>
      <c r="H1244" s="44" t="str">
        <f>"  If Wert = " &amp; Tabelle7[[#This Row],[EnuValue]] &amp; " then Res = ""." &amp; Tabelle7[[#This Row],[EnuRohValue]] &amp; "."""</f>
        <v xml:space="preserve">  If Wert = hvacVaT_USERDEFINED then Res = ".USERDEFINED."</v>
      </c>
      <c r="I1244" s="44" t="str">
        <f>"  If wert = ""." &amp; Tabelle7[[#This Row],[EnuRohValue]] &amp; "."" Then Res = " &amp; Tabelle7[[#This Row],[EnuValue]]</f>
        <v xml:space="preserve">  If wert = ".USERDEFINED." Then Res = hvacVaT_USERDEFINED</v>
      </c>
    </row>
    <row r="1245" spans="2:9" x14ac:dyDescent="0.25">
      <c r="B1245" s="44">
        <v>23</v>
      </c>
      <c r="C1245" s="45" t="s">
        <v>1658</v>
      </c>
      <c r="D1245" s="44" t="s">
        <v>3683</v>
      </c>
      <c r="E1245" s="44" t="str">
        <f>VLOOKUP(Tabelle7[[#This Row],[EnumName]],Enum[[IFC-Name]:[Präfix]],5,FALSE)&amp;Tabelle7[[#This Row],[EnuRohValue]]</f>
        <v>hvacVaT_NOTDEFINED</v>
      </c>
      <c r="F1245" s="44">
        <f>COUNTIF(Tabelle7[EnuValue],Tabelle7[[#This Row],[EnuValue]])</f>
        <v>1</v>
      </c>
      <c r="G1245" s="44" t="str">
        <f xml:space="preserve"> "  " &amp; Tabelle7[[#This Row],[EnuValue]] &amp; " = " &amp; Tabelle7[[#This Row],[Wert]]</f>
        <v xml:space="preserve">  hvacVaT_NOTDEFINED = 23</v>
      </c>
      <c r="H1245" s="44" t="str">
        <f>"  If Wert = " &amp; Tabelle7[[#This Row],[EnuValue]] &amp; " then Res = ""." &amp; Tabelle7[[#This Row],[EnuRohValue]] &amp; "."""</f>
        <v xml:space="preserve">  If Wert = hvacVaT_NOTDEFINED then Res = ".NOTDEFINED."</v>
      </c>
      <c r="I1245" s="44" t="str">
        <f>"  If wert = ""." &amp; Tabelle7[[#This Row],[EnuRohValue]] &amp; "."" Then Res = " &amp; Tabelle7[[#This Row],[EnuValue]]</f>
        <v xml:space="preserve">  If wert = ".NOTDEFINED." Then Res = hvacVaT_NOTDEFINED</v>
      </c>
    </row>
    <row r="1246" spans="2:9" x14ac:dyDescent="0.25">
      <c r="B1246" s="44">
        <v>1</v>
      </c>
      <c r="C1246" s="45" t="s">
        <v>1659</v>
      </c>
      <c r="D1246" s="44" t="s">
        <v>4658</v>
      </c>
      <c r="E1246" s="44" t="str">
        <f>VLOOKUP(Tabelle7[[#This Row],[EnumName]],Enum[[IFC-Name]:[Präfix]],5,FALSE)&amp;Tabelle7[[#This Row],[EnuRohValue]]</f>
        <v>hvacViT_COMPRESSION</v>
      </c>
      <c r="F1246" s="44">
        <f>COUNTIF(Tabelle7[EnuValue],Tabelle7[[#This Row],[EnuValue]])</f>
        <v>1</v>
      </c>
      <c r="G1246" s="44" t="str">
        <f xml:space="preserve"> "  " &amp; Tabelle7[[#This Row],[EnuValue]] &amp; " = " &amp; Tabelle7[[#This Row],[Wert]]</f>
        <v xml:space="preserve">  hvacViT_COMPRESSION = 1</v>
      </c>
      <c r="H1246" s="44" t="str">
        <f>"  If Wert = " &amp; Tabelle7[[#This Row],[EnuValue]] &amp; " then Res = ""." &amp; Tabelle7[[#This Row],[EnuRohValue]] &amp; "."""</f>
        <v xml:space="preserve">  If Wert = hvacViT_COMPRESSION then Res = ".COMPRESSION."</v>
      </c>
      <c r="I1246" s="44" t="str">
        <f>"  If wert = ""." &amp; Tabelle7[[#This Row],[EnuRohValue]] &amp; "."" Then Res = " &amp; Tabelle7[[#This Row],[EnuValue]]</f>
        <v xml:space="preserve">  If wert = ".COMPRESSION." Then Res = hvacViT_COMPRESSION</v>
      </c>
    </row>
    <row r="1247" spans="2:9" x14ac:dyDescent="0.25">
      <c r="B1247" s="44">
        <v>2</v>
      </c>
      <c r="C1247" s="45" t="s">
        <v>1659</v>
      </c>
      <c r="D1247" s="44" t="s">
        <v>4659</v>
      </c>
      <c r="E1247" s="44" t="str">
        <f>VLOOKUP(Tabelle7[[#This Row],[EnumName]],Enum[[IFC-Name]:[Präfix]],5,FALSE)&amp;Tabelle7[[#This Row],[EnuRohValue]]</f>
        <v>hvacViT_SPRING</v>
      </c>
      <c r="F1247" s="44">
        <f>COUNTIF(Tabelle7[EnuValue],Tabelle7[[#This Row],[EnuValue]])</f>
        <v>1</v>
      </c>
      <c r="G1247" s="44" t="str">
        <f xml:space="preserve"> "  " &amp; Tabelle7[[#This Row],[EnuValue]] &amp; " = " &amp; Tabelle7[[#This Row],[Wert]]</f>
        <v xml:space="preserve">  hvacViT_SPRING = 2</v>
      </c>
      <c r="H1247" s="44" t="str">
        <f>"  If Wert = " &amp; Tabelle7[[#This Row],[EnuValue]] &amp; " then Res = ""." &amp; Tabelle7[[#This Row],[EnuRohValue]] &amp; "."""</f>
        <v xml:space="preserve">  If Wert = hvacViT_SPRING then Res = ".SPRING."</v>
      </c>
      <c r="I1247" s="44" t="str">
        <f>"  If wert = ""." &amp; Tabelle7[[#This Row],[EnuRohValue]] &amp; "."" Then Res = " &amp; Tabelle7[[#This Row],[EnuValue]]</f>
        <v xml:space="preserve">  If wert = ".SPRING." Then Res = hvacViT_SPRING</v>
      </c>
    </row>
    <row r="1248" spans="2:9" x14ac:dyDescent="0.25">
      <c r="B1248" s="44">
        <v>3</v>
      </c>
      <c r="C1248" s="45" t="s">
        <v>1659</v>
      </c>
      <c r="D1248" s="44" t="s">
        <v>3682</v>
      </c>
      <c r="E1248" s="44" t="str">
        <f>VLOOKUP(Tabelle7[[#This Row],[EnumName]],Enum[[IFC-Name]:[Präfix]],5,FALSE)&amp;Tabelle7[[#This Row],[EnuRohValue]]</f>
        <v>hvacViT_USERDEFINED</v>
      </c>
      <c r="F1248" s="44">
        <f>COUNTIF(Tabelle7[EnuValue],Tabelle7[[#This Row],[EnuValue]])</f>
        <v>1</v>
      </c>
      <c r="G1248" s="44" t="str">
        <f xml:space="preserve"> "  " &amp; Tabelle7[[#This Row],[EnuValue]] &amp; " = " &amp; Tabelle7[[#This Row],[Wert]]</f>
        <v xml:space="preserve">  hvacViT_USERDEFINED = 3</v>
      </c>
      <c r="H1248" s="44" t="str">
        <f>"  If Wert = " &amp; Tabelle7[[#This Row],[EnuValue]] &amp; " then Res = ""." &amp; Tabelle7[[#This Row],[EnuRohValue]] &amp; "."""</f>
        <v xml:space="preserve">  If Wert = hvacViT_USERDEFINED then Res = ".USERDEFINED."</v>
      </c>
      <c r="I1248" s="44" t="str">
        <f>"  If wert = ""." &amp; Tabelle7[[#This Row],[EnuRohValue]] &amp; "."" Then Res = " &amp; Tabelle7[[#This Row],[EnuValue]]</f>
        <v xml:space="preserve">  If wert = ".USERDEFINED." Then Res = hvacViT_USERDEFINED</v>
      </c>
    </row>
    <row r="1249" spans="2:9" x14ac:dyDescent="0.25">
      <c r="B1249" s="44">
        <v>4</v>
      </c>
      <c r="C1249" s="45" t="s">
        <v>1659</v>
      </c>
      <c r="D1249" s="44" t="s">
        <v>3683</v>
      </c>
      <c r="E1249" s="44" t="str">
        <f>VLOOKUP(Tabelle7[[#This Row],[EnumName]],Enum[[IFC-Name]:[Präfix]],5,FALSE)&amp;Tabelle7[[#This Row],[EnuRohValue]]</f>
        <v>hvacViT_NOTDEFINED</v>
      </c>
      <c r="F1249" s="44">
        <f>COUNTIF(Tabelle7[EnuValue],Tabelle7[[#This Row],[EnuValue]])</f>
        <v>1</v>
      </c>
      <c r="G1249" s="44" t="str">
        <f xml:space="preserve"> "  " &amp; Tabelle7[[#This Row],[EnuValue]] &amp; " = " &amp; Tabelle7[[#This Row],[Wert]]</f>
        <v xml:space="preserve">  hvacViT_NOTDEFINED = 4</v>
      </c>
      <c r="H1249" s="44" t="str">
        <f>"  If Wert = " &amp; Tabelle7[[#This Row],[EnuValue]] &amp; " then Res = ""." &amp; Tabelle7[[#This Row],[EnuRohValue]] &amp; "."""</f>
        <v xml:space="preserve">  If Wert = hvacViT_NOTDEFINED then Res = ".NOTDEFINED."</v>
      </c>
      <c r="I1249" s="44" t="str">
        <f>"  If wert = ""." &amp; Tabelle7[[#This Row],[EnuRohValue]] &amp; "."" Then Res = " &amp; Tabelle7[[#This Row],[EnuValue]]</f>
        <v xml:space="preserve">  If wert = ".NOTDEFINED." Then Res = hvacViT_NOTDEFINED</v>
      </c>
    </row>
    <row r="1250" spans="2:9" x14ac:dyDescent="0.25">
      <c r="B1250" s="44">
        <v>1</v>
      </c>
      <c r="C1250" s="45" t="s">
        <v>1660</v>
      </c>
      <c r="D1250" s="44" t="s">
        <v>4660</v>
      </c>
      <c r="E1250" s="44" t="str">
        <f>VLOOKUP(Tabelle7[[#This Row],[EnumName]],Enum[[IFC-Name]:[Präfix]],5,FALSE)&amp;Tabelle7[[#This Row],[EnuRohValue]]</f>
        <v>sbeWS_STANDARD</v>
      </c>
      <c r="F1250" s="44">
        <f>COUNTIF(Tabelle7[EnuValue],Tabelle7[[#This Row],[EnuValue]])</f>
        <v>1</v>
      </c>
      <c r="G1250" s="44" t="str">
        <f xml:space="preserve"> "  " &amp; Tabelle7[[#This Row],[EnuValue]] &amp; " = " &amp; Tabelle7[[#This Row],[Wert]]</f>
        <v xml:space="preserve">  sbeWS_STANDARD = 1</v>
      </c>
      <c r="H1250" s="44" t="str">
        <f>"  If Wert = " &amp; Tabelle7[[#This Row],[EnuValue]] &amp; " then Res = ""." &amp; Tabelle7[[#This Row],[EnuRohValue]] &amp; "."""</f>
        <v xml:space="preserve">  If Wert = sbeWS_STANDARD then Res = ".STANDARD."</v>
      </c>
      <c r="I1250" s="44" t="str">
        <f>"  If wert = ""." &amp; Tabelle7[[#This Row],[EnuRohValue]] &amp; "."" Then Res = " &amp; Tabelle7[[#This Row],[EnuValue]]</f>
        <v xml:space="preserve">  If wert = ".STANDARD." Then Res = sbeWS_STANDARD</v>
      </c>
    </row>
    <row r="1251" spans="2:9" x14ac:dyDescent="0.25">
      <c r="B1251" s="44">
        <v>2</v>
      </c>
      <c r="C1251" s="45" t="s">
        <v>1660</v>
      </c>
      <c r="D1251" s="44" t="s">
        <v>4661</v>
      </c>
      <c r="E1251" s="44" t="str">
        <f>VLOOKUP(Tabelle7[[#This Row],[EnumName]],Enum[[IFC-Name]:[Präfix]],5,FALSE)&amp;Tabelle7[[#This Row],[EnuRohValue]]</f>
        <v>sbeWS_POLYGONAL</v>
      </c>
      <c r="F1251" s="44">
        <f>COUNTIF(Tabelle7[EnuValue],Tabelle7[[#This Row],[EnuValue]])</f>
        <v>1</v>
      </c>
      <c r="G1251" s="44" t="str">
        <f xml:space="preserve"> "  " &amp; Tabelle7[[#This Row],[EnuValue]] &amp; " = " &amp; Tabelle7[[#This Row],[Wert]]</f>
        <v xml:space="preserve">  sbeWS_POLYGONAL = 2</v>
      </c>
      <c r="H1251" s="44" t="str">
        <f>"  If Wert = " &amp; Tabelle7[[#This Row],[EnuValue]] &amp; " then Res = ""." &amp; Tabelle7[[#This Row],[EnuRohValue]] &amp; "."""</f>
        <v xml:space="preserve">  If Wert = sbeWS_POLYGONAL then Res = ".POLYGONAL."</v>
      </c>
      <c r="I1251" s="44" t="str">
        <f>"  If wert = ""." &amp; Tabelle7[[#This Row],[EnuRohValue]] &amp; "."" Then Res = " &amp; Tabelle7[[#This Row],[EnuValue]]</f>
        <v xml:space="preserve">  If wert = ".POLYGONAL." Then Res = sbeWS_POLYGONAL</v>
      </c>
    </row>
    <row r="1252" spans="2:9" x14ac:dyDescent="0.25">
      <c r="B1252" s="44">
        <v>3</v>
      </c>
      <c r="C1252" s="45" t="s">
        <v>1660</v>
      </c>
      <c r="D1252" s="44" t="s">
        <v>4363</v>
      </c>
      <c r="E1252" s="44" t="str">
        <f>VLOOKUP(Tabelle7[[#This Row],[EnumName]],Enum[[IFC-Name]:[Präfix]],5,FALSE)&amp;Tabelle7[[#This Row],[EnuRohValue]]</f>
        <v>sbeWS_SHEAR</v>
      </c>
      <c r="F1252" s="44">
        <f>COUNTIF(Tabelle7[EnuValue],Tabelle7[[#This Row],[EnuValue]])</f>
        <v>1</v>
      </c>
      <c r="G1252" s="44" t="str">
        <f xml:space="preserve"> "  " &amp; Tabelle7[[#This Row],[EnuValue]] &amp; " = " &amp; Tabelle7[[#This Row],[Wert]]</f>
        <v xml:space="preserve">  sbeWS_SHEAR = 3</v>
      </c>
      <c r="H1252" s="44" t="str">
        <f>"  If Wert = " &amp; Tabelle7[[#This Row],[EnuValue]] &amp; " then Res = ""." &amp; Tabelle7[[#This Row],[EnuRohValue]] &amp; "."""</f>
        <v xml:space="preserve">  If Wert = sbeWS_SHEAR then Res = ".SHEAR."</v>
      </c>
      <c r="I1252" s="44" t="str">
        <f>"  If wert = ""." &amp; Tabelle7[[#This Row],[EnuRohValue]] &amp; "."" Then Res = " &amp; Tabelle7[[#This Row],[EnuValue]]</f>
        <v xml:space="preserve">  If wert = ".SHEAR." Then Res = sbeWS_SHEAR</v>
      </c>
    </row>
    <row r="1253" spans="2:9" x14ac:dyDescent="0.25">
      <c r="B1253" s="44">
        <v>4</v>
      </c>
      <c r="C1253" s="45" t="s">
        <v>1660</v>
      </c>
      <c r="D1253" s="44" t="s">
        <v>4662</v>
      </c>
      <c r="E1253" s="44" t="str">
        <f>VLOOKUP(Tabelle7[[#This Row],[EnumName]],Enum[[IFC-Name]:[Präfix]],5,FALSE)&amp;Tabelle7[[#This Row],[EnuRohValue]]</f>
        <v>sbeWS_ELEMENTEDWALL</v>
      </c>
      <c r="F1253" s="44">
        <f>COUNTIF(Tabelle7[EnuValue],Tabelle7[[#This Row],[EnuValue]])</f>
        <v>1</v>
      </c>
      <c r="G1253" s="44" t="str">
        <f xml:space="preserve"> "  " &amp; Tabelle7[[#This Row],[EnuValue]] &amp; " = " &amp; Tabelle7[[#This Row],[Wert]]</f>
        <v xml:space="preserve">  sbeWS_ELEMENTEDWALL = 4</v>
      </c>
      <c r="H1253" s="44" t="str">
        <f>"  If Wert = " &amp; Tabelle7[[#This Row],[EnuValue]] &amp; " then Res = ""." &amp; Tabelle7[[#This Row],[EnuRohValue]] &amp; "."""</f>
        <v xml:space="preserve">  If Wert = sbeWS_ELEMENTEDWALL then Res = ".ELEMENTEDWALL."</v>
      </c>
      <c r="I1253" s="44" t="str">
        <f>"  If wert = ""." &amp; Tabelle7[[#This Row],[EnuRohValue]] &amp; "."" Then Res = " &amp; Tabelle7[[#This Row],[EnuValue]]</f>
        <v xml:space="preserve">  If wert = ".ELEMENTEDWALL." Then Res = sbeWS_ELEMENTEDWALL</v>
      </c>
    </row>
    <row r="1254" spans="2:9" x14ac:dyDescent="0.25">
      <c r="B1254" s="44">
        <v>5</v>
      </c>
      <c r="C1254" s="45" t="s">
        <v>1660</v>
      </c>
      <c r="D1254" s="44" t="s">
        <v>4663</v>
      </c>
      <c r="E1254" s="44" t="str">
        <f>VLOOKUP(Tabelle7[[#This Row],[EnumName]],Enum[[IFC-Name]:[Präfix]],5,FALSE)&amp;Tabelle7[[#This Row],[EnuRohValue]]</f>
        <v>sbeWS_PLUMBINGWALL</v>
      </c>
      <c r="F1254" s="44">
        <f>COUNTIF(Tabelle7[EnuValue],Tabelle7[[#This Row],[EnuValue]])</f>
        <v>1</v>
      </c>
      <c r="G1254" s="44" t="str">
        <f xml:space="preserve"> "  " &amp; Tabelle7[[#This Row],[EnuValue]] &amp; " = " &amp; Tabelle7[[#This Row],[Wert]]</f>
        <v xml:space="preserve">  sbeWS_PLUMBINGWALL = 5</v>
      </c>
      <c r="H1254" s="44" t="str">
        <f>"  If Wert = " &amp; Tabelle7[[#This Row],[EnuValue]] &amp; " then Res = ""." &amp; Tabelle7[[#This Row],[EnuRohValue]] &amp; "."""</f>
        <v xml:space="preserve">  If Wert = sbeWS_PLUMBINGWALL then Res = ".PLUMBINGWALL."</v>
      </c>
      <c r="I1254" s="44" t="str">
        <f>"  If wert = ""." &amp; Tabelle7[[#This Row],[EnuRohValue]] &amp; "."" Then Res = " &amp; Tabelle7[[#This Row],[EnuValue]]</f>
        <v xml:space="preserve">  If wert = ".PLUMBINGWALL." Then Res = sbeWS_PLUMBINGWALL</v>
      </c>
    </row>
    <row r="1255" spans="2:9" x14ac:dyDescent="0.25">
      <c r="B1255" s="44">
        <v>6</v>
      </c>
      <c r="C1255" s="45" t="s">
        <v>1660</v>
      </c>
      <c r="D1255" s="44" t="s">
        <v>3682</v>
      </c>
      <c r="E1255" s="44" t="str">
        <f>VLOOKUP(Tabelle7[[#This Row],[EnumName]],Enum[[IFC-Name]:[Präfix]],5,FALSE)&amp;Tabelle7[[#This Row],[EnuRohValue]]</f>
        <v>sbeWS_USERDEFINED</v>
      </c>
      <c r="F1255" s="44">
        <f>COUNTIF(Tabelle7[EnuValue],Tabelle7[[#This Row],[EnuValue]])</f>
        <v>1</v>
      </c>
      <c r="G1255" s="44" t="str">
        <f xml:space="preserve"> "  " &amp; Tabelle7[[#This Row],[EnuValue]] &amp; " = " &amp; Tabelle7[[#This Row],[Wert]]</f>
        <v xml:space="preserve">  sbeWS_USERDEFINED = 6</v>
      </c>
      <c r="H1255" s="44" t="str">
        <f>"  If Wert = " &amp; Tabelle7[[#This Row],[EnuValue]] &amp; " then Res = ""." &amp; Tabelle7[[#This Row],[EnuRohValue]] &amp; "."""</f>
        <v xml:space="preserve">  If Wert = sbeWS_USERDEFINED then Res = ".USERDEFINED."</v>
      </c>
      <c r="I1255" s="44" t="str">
        <f>"  If wert = ""." &amp; Tabelle7[[#This Row],[EnuRohValue]] &amp; "."" Then Res = " &amp; Tabelle7[[#This Row],[EnuValue]]</f>
        <v xml:space="preserve">  If wert = ".USERDEFINED." Then Res = sbeWS_USERDEFINED</v>
      </c>
    </row>
    <row r="1256" spans="2:9" x14ac:dyDescent="0.25">
      <c r="B1256" s="44">
        <v>7</v>
      </c>
      <c r="C1256" s="45" t="s">
        <v>1660</v>
      </c>
      <c r="D1256" s="44" t="s">
        <v>3683</v>
      </c>
      <c r="E1256" s="44" t="str">
        <f>VLOOKUP(Tabelle7[[#This Row],[EnumName]],Enum[[IFC-Name]:[Präfix]],5,FALSE)&amp;Tabelle7[[#This Row],[EnuRohValue]]</f>
        <v>sbeWS_NOTDEFINED</v>
      </c>
      <c r="F1256" s="44">
        <f>COUNTIF(Tabelle7[EnuValue],Tabelle7[[#This Row],[EnuValue]])</f>
        <v>1</v>
      </c>
      <c r="G1256" s="44" t="str">
        <f xml:space="preserve"> "  " &amp; Tabelle7[[#This Row],[EnuValue]] &amp; " = " &amp; Tabelle7[[#This Row],[Wert]]</f>
        <v xml:space="preserve">  sbeWS_NOTDEFINED = 7</v>
      </c>
      <c r="H1256" s="44" t="str">
        <f>"  If Wert = " &amp; Tabelle7[[#This Row],[EnuValue]] &amp; " then Res = ""." &amp; Tabelle7[[#This Row],[EnuRohValue]] &amp; "."""</f>
        <v xml:space="preserve">  If Wert = sbeWS_NOTDEFINED then Res = ".NOTDEFINED."</v>
      </c>
      <c r="I1256" s="44" t="str">
        <f>"  If wert = ""." &amp; Tabelle7[[#This Row],[EnuRohValue]] &amp; "."" Then Res = " &amp; Tabelle7[[#This Row],[EnuValue]]</f>
        <v xml:space="preserve">  If wert = ".NOTDEFINED." Then Res = sbeWS_NOTDEFINED</v>
      </c>
    </row>
    <row r="1257" spans="2:9" x14ac:dyDescent="0.25">
      <c r="B1257" s="44">
        <v>1</v>
      </c>
      <c r="C1257" s="45" t="s">
        <v>1661</v>
      </c>
      <c r="D1257" s="44" t="s">
        <v>4664</v>
      </c>
      <c r="E1257" s="44" t="str">
        <f>VLOOKUP(Tabelle7[[#This Row],[EnumName]],Enum[[IFC-Name]:[Präfix]],5,FALSE)&amp;Tabelle7[[#This Row],[EnuRohValue]]</f>
        <v>pfpWTT_FLOORTRAP</v>
      </c>
      <c r="F1257" s="44">
        <f>COUNTIF(Tabelle7[EnuValue],Tabelle7[[#This Row],[EnuValue]])</f>
        <v>1</v>
      </c>
      <c r="G1257" s="44" t="str">
        <f xml:space="preserve"> "  " &amp; Tabelle7[[#This Row],[EnuValue]] &amp; " = " &amp; Tabelle7[[#This Row],[Wert]]</f>
        <v xml:space="preserve">  pfpWTT_FLOORTRAP = 1</v>
      </c>
      <c r="H1257" s="44" t="str">
        <f>"  If Wert = " &amp; Tabelle7[[#This Row],[EnuValue]] &amp; " then Res = ""." &amp; Tabelle7[[#This Row],[EnuRohValue]] &amp; "."""</f>
        <v xml:space="preserve">  If Wert = pfpWTT_FLOORTRAP then Res = ".FLOORTRAP."</v>
      </c>
      <c r="I1257" s="44" t="str">
        <f>"  If wert = ""." &amp; Tabelle7[[#This Row],[EnuRohValue]] &amp; "."" Then Res = " &amp; Tabelle7[[#This Row],[EnuValue]]</f>
        <v xml:space="preserve">  If wert = ".FLOORTRAP." Then Res = pfpWTT_FLOORTRAP</v>
      </c>
    </row>
    <row r="1258" spans="2:9" x14ac:dyDescent="0.25">
      <c r="B1258" s="44">
        <v>2</v>
      </c>
      <c r="C1258" s="45" t="s">
        <v>1661</v>
      </c>
      <c r="D1258" s="44" t="s">
        <v>4665</v>
      </c>
      <c r="E1258" s="44" t="str">
        <f>VLOOKUP(Tabelle7[[#This Row],[EnumName]],Enum[[IFC-Name]:[Präfix]],5,FALSE)&amp;Tabelle7[[#This Row],[EnuRohValue]]</f>
        <v>pfpWTT_FLOORWASTE</v>
      </c>
      <c r="F1258" s="44">
        <f>COUNTIF(Tabelle7[EnuValue],Tabelle7[[#This Row],[EnuValue]])</f>
        <v>1</v>
      </c>
      <c r="G1258" s="44" t="str">
        <f xml:space="preserve"> "  " &amp; Tabelle7[[#This Row],[EnuValue]] &amp; " = " &amp; Tabelle7[[#This Row],[Wert]]</f>
        <v xml:space="preserve">  pfpWTT_FLOORWASTE = 2</v>
      </c>
      <c r="H1258" s="44" t="str">
        <f>"  If Wert = " &amp; Tabelle7[[#This Row],[EnuValue]] &amp; " then Res = ""." &amp; Tabelle7[[#This Row],[EnuRohValue]] &amp; "."""</f>
        <v xml:space="preserve">  If Wert = pfpWTT_FLOORWASTE then Res = ".FLOORWASTE."</v>
      </c>
      <c r="I1258" s="44" t="str">
        <f>"  If wert = ""." &amp; Tabelle7[[#This Row],[EnuRohValue]] &amp; "."" Then Res = " &amp; Tabelle7[[#This Row],[EnuValue]]</f>
        <v xml:space="preserve">  If wert = ".FLOORWASTE." Then Res = pfpWTT_FLOORWASTE</v>
      </c>
    </row>
    <row r="1259" spans="2:9" x14ac:dyDescent="0.25">
      <c r="B1259" s="44">
        <v>3</v>
      </c>
      <c r="C1259" s="45" t="s">
        <v>1661</v>
      </c>
      <c r="D1259" s="44" t="s">
        <v>4666</v>
      </c>
      <c r="E1259" s="44" t="str">
        <f>VLOOKUP(Tabelle7[[#This Row],[EnumName]],Enum[[IFC-Name]:[Präfix]],5,FALSE)&amp;Tabelle7[[#This Row],[EnuRohValue]]</f>
        <v>pfpWTT_GULLYSUMP</v>
      </c>
      <c r="F1259" s="44">
        <f>COUNTIF(Tabelle7[EnuValue],Tabelle7[[#This Row],[EnuValue]])</f>
        <v>1</v>
      </c>
      <c r="G1259" s="44" t="str">
        <f xml:space="preserve"> "  " &amp; Tabelle7[[#This Row],[EnuValue]] &amp; " = " &amp; Tabelle7[[#This Row],[Wert]]</f>
        <v xml:space="preserve">  pfpWTT_GULLYSUMP = 3</v>
      </c>
      <c r="H1259" s="44" t="str">
        <f>"  If Wert = " &amp; Tabelle7[[#This Row],[EnuValue]] &amp; " then Res = ""." &amp; Tabelle7[[#This Row],[EnuRohValue]] &amp; "."""</f>
        <v xml:space="preserve">  If Wert = pfpWTT_GULLYSUMP then Res = ".GULLYSUMP."</v>
      </c>
      <c r="I1259" s="44" t="str">
        <f>"  If wert = ""." &amp; Tabelle7[[#This Row],[EnuRohValue]] &amp; "."" Then Res = " &amp; Tabelle7[[#This Row],[EnuValue]]</f>
        <v xml:space="preserve">  If wert = ".GULLYSUMP." Then Res = pfpWTT_GULLYSUMP</v>
      </c>
    </row>
    <row r="1260" spans="2:9" x14ac:dyDescent="0.25">
      <c r="B1260" s="44">
        <v>4</v>
      </c>
      <c r="C1260" s="45" t="s">
        <v>1661</v>
      </c>
      <c r="D1260" s="44" t="s">
        <v>4667</v>
      </c>
      <c r="E1260" s="44" t="str">
        <f>VLOOKUP(Tabelle7[[#This Row],[EnumName]],Enum[[IFC-Name]:[Präfix]],5,FALSE)&amp;Tabelle7[[#This Row],[EnuRohValue]]</f>
        <v>pfpWTT_GULLYTRAP</v>
      </c>
      <c r="F1260" s="44">
        <f>COUNTIF(Tabelle7[EnuValue],Tabelle7[[#This Row],[EnuValue]])</f>
        <v>1</v>
      </c>
      <c r="G1260" s="44" t="str">
        <f xml:space="preserve"> "  " &amp; Tabelle7[[#This Row],[EnuValue]] &amp; " = " &amp; Tabelle7[[#This Row],[Wert]]</f>
        <v xml:space="preserve">  pfpWTT_GULLYTRAP = 4</v>
      </c>
      <c r="H1260" s="44" t="str">
        <f>"  If Wert = " &amp; Tabelle7[[#This Row],[EnuValue]] &amp; " then Res = ""." &amp; Tabelle7[[#This Row],[EnuRohValue]] &amp; "."""</f>
        <v xml:space="preserve">  If Wert = pfpWTT_GULLYTRAP then Res = ".GULLYTRAP."</v>
      </c>
      <c r="I1260" s="44" t="str">
        <f>"  If wert = ""." &amp; Tabelle7[[#This Row],[EnuRohValue]] &amp; "."" Then Res = " &amp; Tabelle7[[#This Row],[EnuValue]]</f>
        <v xml:space="preserve">  If wert = ".GULLYTRAP." Then Res = pfpWTT_GULLYTRAP</v>
      </c>
    </row>
    <row r="1261" spans="2:9" x14ac:dyDescent="0.25">
      <c r="B1261" s="44">
        <v>5</v>
      </c>
      <c r="C1261" s="45" t="s">
        <v>1661</v>
      </c>
      <c r="D1261" s="44" t="s">
        <v>4668</v>
      </c>
      <c r="E1261" s="44" t="str">
        <f>VLOOKUP(Tabelle7[[#This Row],[EnumName]],Enum[[IFC-Name]:[Präfix]],5,FALSE)&amp;Tabelle7[[#This Row],[EnuRohValue]]</f>
        <v>pfpWTT_GREASEINTERCEPTOR</v>
      </c>
      <c r="F1261" s="44">
        <f>COUNTIF(Tabelle7[EnuValue],Tabelle7[[#This Row],[EnuValue]])</f>
        <v>1</v>
      </c>
      <c r="G1261" s="44" t="str">
        <f xml:space="preserve"> "  " &amp; Tabelle7[[#This Row],[EnuValue]] &amp; " = " &amp; Tabelle7[[#This Row],[Wert]]</f>
        <v xml:space="preserve">  pfpWTT_GREASEINTERCEPTOR = 5</v>
      </c>
      <c r="H1261" s="44" t="str">
        <f>"  If Wert = " &amp; Tabelle7[[#This Row],[EnuValue]] &amp; " then Res = ""." &amp; Tabelle7[[#This Row],[EnuRohValue]] &amp; "."""</f>
        <v xml:space="preserve">  If Wert = pfpWTT_GREASEINTERCEPTOR then Res = ".GREASEINTERCEPTOR."</v>
      </c>
      <c r="I1261" s="44" t="str">
        <f>"  If wert = ""." &amp; Tabelle7[[#This Row],[EnuRohValue]] &amp; "."" Then Res = " &amp; Tabelle7[[#This Row],[EnuValue]]</f>
        <v xml:space="preserve">  If wert = ".GREASEINTERCEPTOR." Then Res = pfpWTT_GREASEINTERCEPTOR</v>
      </c>
    </row>
    <row r="1262" spans="2:9" x14ac:dyDescent="0.25">
      <c r="B1262" s="44">
        <v>6</v>
      </c>
      <c r="C1262" s="45" t="s">
        <v>1661</v>
      </c>
      <c r="D1262" s="44" t="s">
        <v>4669</v>
      </c>
      <c r="E1262" s="44" t="str">
        <f>VLOOKUP(Tabelle7[[#This Row],[EnumName]],Enum[[IFC-Name]:[Präfix]],5,FALSE)&amp;Tabelle7[[#This Row],[EnuRohValue]]</f>
        <v>pfpWTT_OILINTERCEPTOR</v>
      </c>
      <c r="F1262" s="44">
        <f>COUNTIF(Tabelle7[EnuValue],Tabelle7[[#This Row],[EnuValue]])</f>
        <v>1</v>
      </c>
      <c r="G1262" s="44" t="str">
        <f xml:space="preserve"> "  " &amp; Tabelle7[[#This Row],[EnuValue]] &amp; " = " &amp; Tabelle7[[#This Row],[Wert]]</f>
        <v xml:space="preserve">  pfpWTT_OILINTERCEPTOR = 6</v>
      </c>
      <c r="H1262" s="44" t="str">
        <f>"  If Wert = " &amp; Tabelle7[[#This Row],[EnuValue]] &amp; " then Res = ""." &amp; Tabelle7[[#This Row],[EnuRohValue]] &amp; "."""</f>
        <v xml:space="preserve">  If Wert = pfpWTT_OILINTERCEPTOR then Res = ".OILINTERCEPTOR."</v>
      </c>
      <c r="I1262" s="44" t="str">
        <f>"  If wert = ""." &amp; Tabelle7[[#This Row],[EnuRohValue]] &amp; "."" Then Res = " &amp; Tabelle7[[#This Row],[EnuValue]]</f>
        <v xml:space="preserve">  If wert = ".OILINTERCEPTOR." Then Res = pfpWTT_OILINTERCEPTOR</v>
      </c>
    </row>
    <row r="1263" spans="2:9" x14ac:dyDescent="0.25">
      <c r="B1263" s="44">
        <v>7</v>
      </c>
      <c r="C1263" s="45" t="s">
        <v>1661</v>
      </c>
      <c r="D1263" s="44" t="s">
        <v>4670</v>
      </c>
      <c r="E1263" s="44" t="str">
        <f>VLOOKUP(Tabelle7[[#This Row],[EnumName]],Enum[[IFC-Name]:[Präfix]],5,FALSE)&amp;Tabelle7[[#This Row],[EnuRohValue]]</f>
        <v>pfpWTT_PETROLINTERCEPTOR</v>
      </c>
      <c r="F1263" s="44">
        <f>COUNTIF(Tabelle7[EnuValue],Tabelle7[[#This Row],[EnuValue]])</f>
        <v>1</v>
      </c>
      <c r="G1263" s="44" t="str">
        <f xml:space="preserve"> "  " &amp; Tabelle7[[#This Row],[EnuValue]] &amp; " = " &amp; Tabelle7[[#This Row],[Wert]]</f>
        <v xml:space="preserve">  pfpWTT_PETROLINTERCEPTOR = 7</v>
      </c>
      <c r="H1263" s="44" t="str">
        <f>"  If Wert = " &amp; Tabelle7[[#This Row],[EnuValue]] &amp; " then Res = ""." &amp; Tabelle7[[#This Row],[EnuRohValue]] &amp; "."""</f>
        <v xml:space="preserve">  If Wert = pfpWTT_PETROLINTERCEPTOR then Res = ".PETROLINTERCEPTOR."</v>
      </c>
      <c r="I1263" s="44" t="str">
        <f>"  If wert = ""." &amp; Tabelle7[[#This Row],[EnuRohValue]] &amp; "."" Then Res = " &amp; Tabelle7[[#This Row],[EnuValue]]</f>
        <v xml:space="preserve">  If wert = ".PETROLINTERCEPTOR." Then Res = pfpWTT_PETROLINTERCEPTOR</v>
      </c>
    </row>
    <row r="1264" spans="2:9" x14ac:dyDescent="0.25">
      <c r="B1264" s="44">
        <v>8</v>
      </c>
      <c r="C1264" s="45" t="s">
        <v>1661</v>
      </c>
      <c r="D1264" s="44" t="s">
        <v>4671</v>
      </c>
      <c r="E1264" s="44" t="str">
        <f>VLOOKUP(Tabelle7[[#This Row],[EnumName]],Enum[[IFC-Name]:[Präfix]],5,FALSE)&amp;Tabelle7[[#This Row],[EnuRohValue]]</f>
        <v>pfpWTT_ROOFDRAIN</v>
      </c>
      <c r="F1264" s="44">
        <f>COUNTIF(Tabelle7[EnuValue],Tabelle7[[#This Row],[EnuValue]])</f>
        <v>1</v>
      </c>
      <c r="G1264" s="44" t="str">
        <f xml:space="preserve"> "  " &amp; Tabelle7[[#This Row],[EnuValue]] &amp; " = " &amp; Tabelle7[[#This Row],[Wert]]</f>
        <v xml:space="preserve">  pfpWTT_ROOFDRAIN = 8</v>
      </c>
      <c r="H1264" s="44" t="str">
        <f>"  If Wert = " &amp; Tabelle7[[#This Row],[EnuValue]] &amp; " then Res = ""." &amp; Tabelle7[[#This Row],[EnuRohValue]] &amp; "."""</f>
        <v xml:space="preserve">  If Wert = pfpWTT_ROOFDRAIN then Res = ".ROOFDRAIN."</v>
      </c>
      <c r="I1264" s="44" t="str">
        <f>"  If wert = ""." &amp; Tabelle7[[#This Row],[EnuRohValue]] &amp; "."" Then Res = " &amp; Tabelle7[[#This Row],[EnuValue]]</f>
        <v xml:space="preserve">  If wert = ".ROOFDRAIN." Then Res = pfpWTT_ROOFDRAIN</v>
      </c>
    </row>
    <row r="1265" spans="2:9" x14ac:dyDescent="0.25">
      <c r="B1265" s="44">
        <v>9</v>
      </c>
      <c r="C1265" s="45" t="s">
        <v>1661</v>
      </c>
      <c r="D1265" s="44" t="s">
        <v>4672</v>
      </c>
      <c r="E1265" s="44" t="str">
        <f>VLOOKUP(Tabelle7[[#This Row],[EnumName]],Enum[[IFC-Name]:[Präfix]],5,FALSE)&amp;Tabelle7[[#This Row],[EnuRohValue]]</f>
        <v>pfpWTT_WASTEDISPOSALUNIT</v>
      </c>
      <c r="F1265" s="44">
        <f>COUNTIF(Tabelle7[EnuValue],Tabelle7[[#This Row],[EnuValue]])</f>
        <v>1</v>
      </c>
      <c r="G1265" s="44" t="str">
        <f xml:space="preserve"> "  " &amp; Tabelle7[[#This Row],[EnuValue]] &amp; " = " &amp; Tabelle7[[#This Row],[Wert]]</f>
        <v xml:space="preserve">  pfpWTT_WASTEDISPOSALUNIT = 9</v>
      </c>
      <c r="H1265" s="44" t="str">
        <f>"  If Wert = " &amp; Tabelle7[[#This Row],[EnuValue]] &amp; " then Res = ""." &amp; Tabelle7[[#This Row],[EnuRohValue]] &amp; "."""</f>
        <v xml:space="preserve">  If Wert = pfpWTT_WASTEDISPOSALUNIT then Res = ".WASTEDISPOSALUNIT."</v>
      </c>
      <c r="I1265" s="44" t="str">
        <f>"  If wert = ""." &amp; Tabelle7[[#This Row],[EnuRohValue]] &amp; "."" Then Res = " &amp; Tabelle7[[#This Row],[EnuValue]]</f>
        <v xml:space="preserve">  If wert = ".WASTEDISPOSALUNIT." Then Res = pfpWTT_WASTEDISPOSALUNIT</v>
      </c>
    </row>
    <row r="1266" spans="2:9" x14ac:dyDescent="0.25">
      <c r="B1266" s="44">
        <v>10</v>
      </c>
      <c r="C1266" s="45" t="s">
        <v>1661</v>
      </c>
      <c r="D1266" s="44" t="s">
        <v>4673</v>
      </c>
      <c r="E1266" s="44" t="str">
        <f>VLOOKUP(Tabelle7[[#This Row],[EnumName]],Enum[[IFC-Name]:[Präfix]],5,FALSE)&amp;Tabelle7[[#This Row],[EnuRohValue]]</f>
        <v>pfpWTT_WASTETRAP</v>
      </c>
      <c r="F1266" s="44">
        <f>COUNTIF(Tabelle7[EnuValue],Tabelle7[[#This Row],[EnuValue]])</f>
        <v>1</v>
      </c>
      <c r="G1266" s="44" t="str">
        <f xml:space="preserve"> "  " &amp; Tabelle7[[#This Row],[EnuValue]] &amp; " = " &amp; Tabelle7[[#This Row],[Wert]]</f>
        <v xml:space="preserve">  pfpWTT_WASTETRAP = 10</v>
      </c>
      <c r="H1266" s="44" t="str">
        <f>"  If Wert = " &amp; Tabelle7[[#This Row],[EnuValue]] &amp; " then Res = ""." &amp; Tabelle7[[#This Row],[EnuRohValue]] &amp; "."""</f>
        <v xml:space="preserve">  If Wert = pfpWTT_WASTETRAP then Res = ".WASTETRAP."</v>
      </c>
      <c r="I1266" s="44" t="str">
        <f>"  If wert = ""." &amp; Tabelle7[[#This Row],[EnuRohValue]] &amp; "."" Then Res = " &amp; Tabelle7[[#This Row],[EnuValue]]</f>
        <v xml:space="preserve">  If wert = ".WASTETRAP." Then Res = pfpWTT_WASTETRAP</v>
      </c>
    </row>
    <row r="1267" spans="2:9" x14ac:dyDescent="0.25">
      <c r="B1267" s="44">
        <v>11</v>
      </c>
      <c r="C1267" s="45" t="s">
        <v>1661</v>
      </c>
      <c r="D1267" s="44" t="s">
        <v>3682</v>
      </c>
      <c r="E1267" s="44" t="str">
        <f>VLOOKUP(Tabelle7[[#This Row],[EnumName]],Enum[[IFC-Name]:[Präfix]],5,FALSE)&amp;Tabelle7[[#This Row],[EnuRohValue]]</f>
        <v>pfpWTT_USERDEFINED</v>
      </c>
      <c r="F1267" s="44">
        <f>COUNTIF(Tabelle7[EnuValue],Tabelle7[[#This Row],[EnuValue]])</f>
        <v>1</v>
      </c>
      <c r="G1267" s="44" t="str">
        <f xml:space="preserve"> "  " &amp; Tabelle7[[#This Row],[EnuValue]] &amp; " = " &amp; Tabelle7[[#This Row],[Wert]]</f>
        <v xml:space="preserve">  pfpWTT_USERDEFINED = 11</v>
      </c>
      <c r="H1267" s="44" t="str">
        <f>"  If Wert = " &amp; Tabelle7[[#This Row],[EnuValue]] &amp; " then Res = ""." &amp; Tabelle7[[#This Row],[EnuRohValue]] &amp; "."""</f>
        <v xml:space="preserve">  If Wert = pfpWTT_USERDEFINED then Res = ".USERDEFINED."</v>
      </c>
      <c r="I1267" s="44" t="str">
        <f>"  If wert = ""." &amp; Tabelle7[[#This Row],[EnuRohValue]] &amp; "."" Then Res = " &amp; Tabelle7[[#This Row],[EnuValue]]</f>
        <v xml:space="preserve">  If wert = ".USERDEFINED." Then Res = pfpWTT_USERDEFINED</v>
      </c>
    </row>
    <row r="1268" spans="2:9" x14ac:dyDescent="0.25">
      <c r="B1268" s="44">
        <v>12</v>
      </c>
      <c r="C1268" s="45" t="s">
        <v>1661</v>
      </c>
      <c r="D1268" s="44" t="s">
        <v>3683</v>
      </c>
      <c r="E1268" s="44" t="str">
        <f>VLOOKUP(Tabelle7[[#This Row],[EnumName]],Enum[[IFC-Name]:[Präfix]],5,FALSE)&amp;Tabelle7[[#This Row],[EnuRohValue]]</f>
        <v>pfpWTT_NOTDEFINED</v>
      </c>
      <c r="F1268" s="44">
        <f>COUNTIF(Tabelle7[EnuValue],Tabelle7[[#This Row],[EnuValue]])</f>
        <v>1</v>
      </c>
      <c r="G1268" s="44" t="str">
        <f xml:space="preserve"> "  " &amp; Tabelle7[[#This Row],[EnuValue]] &amp; " = " &amp; Tabelle7[[#This Row],[Wert]]</f>
        <v xml:space="preserve">  pfpWTT_NOTDEFINED = 12</v>
      </c>
      <c r="H1268" s="44" t="str">
        <f>"  If Wert = " &amp; Tabelle7[[#This Row],[EnuValue]] &amp; " then Res = ""." &amp; Tabelle7[[#This Row],[EnuRohValue]] &amp; "."""</f>
        <v xml:space="preserve">  If Wert = pfpWTT_NOTDEFINED then Res = ".NOTDEFINED."</v>
      </c>
      <c r="I1268" s="44" t="str">
        <f>"  If wert = ""." &amp; Tabelle7[[#This Row],[EnuRohValue]] &amp; "."" Then Res = " &amp; Tabelle7[[#This Row],[EnuValue]]</f>
        <v xml:space="preserve">  If wert = ".NOTDEFINED." Then Res = pfpWTT_NOTDEFINED</v>
      </c>
    </row>
    <row r="1269" spans="2:9" x14ac:dyDescent="0.25">
      <c r="B1269" s="44">
        <v>1</v>
      </c>
      <c r="C1269" s="45" t="s">
        <v>1662</v>
      </c>
      <c r="D1269" s="44" t="s">
        <v>4674</v>
      </c>
      <c r="E1269" s="44" t="str">
        <f>VLOOKUP(Tabelle7[[#This Row],[EnumName]],Enum[[IFC-Name]:[Präfix]],5,FALSE)&amp;Tabelle7[[#This Row],[EnuRohValue]]</f>
        <v>sbeWPO_SIDEHUNGRIGHTHAND</v>
      </c>
      <c r="F1269" s="44">
        <f>COUNTIF(Tabelle7[EnuValue],Tabelle7[[#This Row],[EnuValue]])</f>
        <v>1</v>
      </c>
      <c r="G1269" s="44" t="str">
        <f xml:space="preserve"> "  " &amp; Tabelle7[[#This Row],[EnuValue]] &amp; " = " &amp; Tabelle7[[#This Row],[Wert]]</f>
        <v xml:space="preserve">  sbeWPO_SIDEHUNGRIGHTHAND = 1</v>
      </c>
      <c r="H1269" s="44" t="str">
        <f>"  If Wert = " &amp; Tabelle7[[#This Row],[EnuValue]] &amp; " then Res = ""." &amp; Tabelle7[[#This Row],[EnuRohValue]] &amp; "."""</f>
        <v xml:space="preserve">  If Wert = sbeWPO_SIDEHUNGRIGHTHAND then Res = ".SIDEHUNGRIGHTHAND."</v>
      </c>
      <c r="I1269" s="44" t="str">
        <f>"  If wert = ""." &amp; Tabelle7[[#This Row],[EnuRohValue]] &amp; "."" Then Res = " &amp; Tabelle7[[#This Row],[EnuValue]]</f>
        <v xml:space="preserve">  If wert = ".SIDEHUNGRIGHTHAND." Then Res = sbeWPO_SIDEHUNGRIGHTHAND</v>
      </c>
    </row>
    <row r="1270" spans="2:9" x14ac:dyDescent="0.25">
      <c r="B1270" s="44">
        <v>2</v>
      </c>
      <c r="C1270" s="45" t="s">
        <v>1662</v>
      </c>
      <c r="D1270" s="44" t="s">
        <v>4675</v>
      </c>
      <c r="E1270" s="44" t="str">
        <f>VLOOKUP(Tabelle7[[#This Row],[EnumName]],Enum[[IFC-Name]:[Präfix]],5,FALSE)&amp;Tabelle7[[#This Row],[EnuRohValue]]</f>
        <v>sbeWPO_SIDEHUNGLEFTHAND</v>
      </c>
      <c r="F1270" s="44">
        <f>COUNTIF(Tabelle7[EnuValue],Tabelle7[[#This Row],[EnuValue]])</f>
        <v>1</v>
      </c>
      <c r="G1270" s="44" t="str">
        <f xml:space="preserve"> "  " &amp; Tabelle7[[#This Row],[EnuValue]] &amp; " = " &amp; Tabelle7[[#This Row],[Wert]]</f>
        <v xml:space="preserve">  sbeWPO_SIDEHUNGLEFTHAND = 2</v>
      </c>
      <c r="H1270" s="44" t="str">
        <f>"  If Wert = " &amp; Tabelle7[[#This Row],[EnuValue]] &amp; " then Res = ""." &amp; Tabelle7[[#This Row],[EnuRohValue]] &amp; "."""</f>
        <v xml:space="preserve">  If Wert = sbeWPO_SIDEHUNGLEFTHAND then Res = ".SIDEHUNGLEFTHAND."</v>
      </c>
      <c r="I1270" s="44" t="str">
        <f>"  If wert = ""." &amp; Tabelle7[[#This Row],[EnuRohValue]] &amp; "."" Then Res = " &amp; Tabelle7[[#This Row],[EnuValue]]</f>
        <v xml:space="preserve">  If wert = ".SIDEHUNGLEFTHAND." Then Res = sbeWPO_SIDEHUNGLEFTHAND</v>
      </c>
    </row>
    <row r="1271" spans="2:9" x14ac:dyDescent="0.25">
      <c r="B1271" s="44">
        <v>3</v>
      </c>
      <c r="C1271" s="45" t="s">
        <v>1662</v>
      </c>
      <c r="D1271" s="44" t="s">
        <v>4676</v>
      </c>
      <c r="E1271" s="44" t="str">
        <f>VLOOKUP(Tabelle7[[#This Row],[EnumName]],Enum[[IFC-Name]:[Präfix]],5,FALSE)&amp;Tabelle7[[#This Row],[EnuRohValue]]</f>
        <v>sbeWPO_TILTANDTURNRIGHTHAND</v>
      </c>
      <c r="F1271" s="44">
        <f>COUNTIF(Tabelle7[EnuValue],Tabelle7[[#This Row],[EnuValue]])</f>
        <v>1</v>
      </c>
      <c r="G1271" s="44" t="str">
        <f xml:space="preserve"> "  " &amp; Tabelle7[[#This Row],[EnuValue]] &amp; " = " &amp; Tabelle7[[#This Row],[Wert]]</f>
        <v xml:space="preserve">  sbeWPO_TILTANDTURNRIGHTHAND = 3</v>
      </c>
      <c r="H1271" s="44" t="str">
        <f>"  If Wert = " &amp; Tabelle7[[#This Row],[EnuValue]] &amp; " then Res = ""." &amp; Tabelle7[[#This Row],[EnuRohValue]] &amp; "."""</f>
        <v xml:space="preserve">  If Wert = sbeWPO_TILTANDTURNRIGHTHAND then Res = ".TILTANDTURNRIGHTHAND."</v>
      </c>
      <c r="I1271" s="44" t="str">
        <f>"  If wert = ""." &amp; Tabelle7[[#This Row],[EnuRohValue]] &amp; "."" Then Res = " &amp; Tabelle7[[#This Row],[EnuValue]]</f>
        <v xml:space="preserve">  If wert = ".TILTANDTURNRIGHTHAND." Then Res = sbeWPO_TILTANDTURNRIGHTHAND</v>
      </c>
    </row>
    <row r="1272" spans="2:9" x14ac:dyDescent="0.25">
      <c r="B1272" s="44">
        <v>4</v>
      </c>
      <c r="C1272" s="45" t="s">
        <v>1662</v>
      </c>
      <c r="D1272" s="44" t="s">
        <v>4677</v>
      </c>
      <c r="E1272" s="44" t="str">
        <f>VLOOKUP(Tabelle7[[#This Row],[EnumName]],Enum[[IFC-Name]:[Präfix]],5,FALSE)&amp;Tabelle7[[#This Row],[EnuRohValue]]</f>
        <v>sbeWPO_TILTANDTURNLEFTHAND</v>
      </c>
      <c r="F1272" s="44">
        <f>COUNTIF(Tabelle7[EnuValue],Tabelle7[[#This Row],[EnuValue]])</f>
        <v>1</v>
      </c>
      <c r="G1272" s="44" t="str">
        <f xml:space="preserve"> "  " &amp; Tabelle7[[#This Row],[EnuValue]] &amp; " = " &amp; Tabelle7[[#This Row],[Wert]]</f>
        <v xml:space="preserve">  sbeWPO_TILTANDTURNLEFTHAND = 4</v>
      </c>
      <c r="H1272" s="44" t="str">
        <f>"  If Wert = " &amp; Tabelle7[[#This Row],[EnuValue]] &amp; " then Res = ""." &amp; Tabelle7[[#This Row],[EnuRohValue]] &amp; "."""</f>
        <v xml:space="preserve">  If Wert = sbeWPO_TILTANDTURNLEFTHAND then Res = ".TILTANDTURNLEFTHAND."</v>
      </c>
      <c r="I1272" s="44" t="str">
        <f>"  If wert = ""." &amp; Tabelle7[[#This Row],[EnuRohValue]] &amp; "."" Then Res = " &amp; Tabelle7[[#This Row],[EnuValue]]</f>
        <v xml:space="preserve">  If wert = ".TILTANDTURNLEFTHAND." Then Res = sbeWPO_TILTANDTURNLEFTHAND</v>
      </c>
    </row>
    <row r="1273" spans="2:9" x14ac:dyDescent="0.25">
      <c r="B1273" s="44">
        <v>5</v>
      </c>
      <c r="C1273" s="45" t="s">
        <v>1662</v>
      </c>
      <c r="D1273" s="44" t="s">
        <v>4678</v>
      </c>
      <c r="E1273" s="44" t="str">
        <f>VLOOKUP(Tabelle7[[#This Row],[EnumName]],Enum[[IFC-Name]:[Präfix]],5,FALSE)&amp;Tabelle7[[#This Row],[EnuRohValue]]</f>
        <v>sbeWPO_TOPHUNG</v>
      </c>
      <c r="F1273" s="44">
        <f>COUNTIF(Tabelle7[EnuValue],Tabelle7[[#This Row],[EnuValue]])</f>
        <v>1</v>
      </c>
      <c r="G1273" s="44" t="str">
        <f xml:space="preserve"> "  " &amp; Tabelle7[[#This Row],[EnuValue]] &amp; " = " &amp; Tabelle7[[#This Row],[Wert]]</f>
        <v xml:space="preserve">  sbeWPO_TOPHUNG = 5</v>
      </c>
      <c r="H1273" s="44" t="str">
        <f>"  If Wert = " &amp; Tabelle7[[#This Row],[EnuValue]] &amp; " then Res = ""." &amp; Tabelle7[[#This Row],[EnuRohValue]] &amp; "."""</f>
        <v xml:space="preserve">  If Wert = sbeWPO_TOPHUNG then Res = ".TOPHUNG."</v>
      </c>
      <c r="I1273" s="44" t="str">
        <f>"  If wert = ""." &amp; Tabelle7[[#This Row],[EnuRohValue]] &amp; "."" Then Res = " &amp; Tabelle7[[#This Row],[EnuValue]]</f>
        <v xml:space="preserve">  If wert = ".TOPHUNG." Then Res = sbeWPO_TOPHUNG</v>
      </c>
    </row>
    <row r="1274" spans="2:9" x14ac:dyDescent="0.25">
      <c r="B1274" s="44">
        <v>6</v>
      </c>
      <c r="C1274" s="45" t="s">
        <v>1662</v>
      </c>
      <c r="D1274" s="44" t="s">
        <v>4679</v>
      </c>
      <c r="E1274" s="44" t="str">
        <f>VLOOKUP(Tabelle7[[#This Row],[EnumName]],Enum[[IFC-Name]:[Präfix]],5,FALSE)&amp;Tabelle7[[#This Row],[EnuRohValue]]</f>
        <v>sbeWPO_BOTTOMHUNG</v>
      </c>
      <c r="F1274" s="44">
        <f>COUNTIF(Tabelle7[EnuValue],Tabelle7[[#This Row],[EnuValue]])</f>
        <v>1</v>
      </c>
      <c r="G1274" s="44" t="str">
        <f xml:space="preserve"> "  " &amp; Tabelle7[[#This Row],[EnuValue]] &amp; " = " &amp; Tabelle7[[#This Row],[Wert]]</f>
        <v xml:space="preserve">  sbeWPO_BOTTOMHUNG = 6</v>
      </c>
      <c r="H1274" s="44" t="str">
        <f>"  If Wert = " &amp; Tabelle7[[#This Row],[EnuValue]] &amp; " then Res = ""." &amp; Tabelle7[[#This Row],[EnuRohValue]] &amp; "."""</f>
        <v xml:space="preserve">  If Wert = sbeWPO_BOTTOMHUNG then Res = ".BOTTOMHUNG."</v>
      </c>
      <c r="I1274" s="44" t="str">
        <f>"  If wert = ""." &amp; Tabelle7[[#This Row],[EnuRohValue]] &amp; "."" Then Res = " &amp; Tabelle7[[#This Row],[EnuValue]]</f>
        <v xml:space="preserve">  If wert = ".BOTTOMHUNG." Then Res = sbeWPO_BOTTOMHUNG</v>
      </c>
    </row>
    <row r="1275" spans="2:9" x14ac:dyDescent="0.25">
      <c r="B1275" s="44">
        <v>7</v>
      </c>
      <c r="C1275" s="45" t="s">
        <v>1662</v>
      </c>
      <c r="D1275" s="44" t="s">
        <v>4680</v>
      </c>
      <c r="E1275" s="44" t="str">
        <f>VLOOKUP(Tabelle7[[#This Row],[EnumName]],Enum[[IFC-Name]:[Präfix]],5,FALSE)&amp;Tabelle7[[#This Row],[EnuRohValue]]</f>
        <v>sbeWPO_PIVOTHORIZONTAL</v>
      </c>
      <c r="F1275" s="44">
        <f>COUNTIF(Tabelle7[EnuValue],Tabelle7[[#This Row],[EnuValue]])</f>
        <v>1</v>
      </c>
      <c r="G1275" s="44" t="str">
        <f xml:space="preserve"> "  " &amp; Tabelle7[[#This Row],[EnuValue]] &amp; " = " &amp; Tabelle7[[#This Row],[Wert]]</f>
        <v xml:space="preserve">  sbeWPO_PIVOTHORIZONTAL = 7</v>
      </c>
      <c r="H1275" s="44" t="str">
        <f>"  If Wert = " &amp; Tabelle7[[#This Row],[EnuValue]] &amp; " then Res = ""." &amp; Tabelle7[[#This Row],[EnuRohValue]] &amp; "."""</f>
        <v xml:space="preserve">  If Wert = sbeWPO_PIVOTHORIZONTAL then Res = ".PIVOTHORIZONTAL."</v>
      </c>
      <c r="I1275" s="44" t="str">
        <f>"  If wert = ""." &amp; Tabelle7[[#This Row],[EnuRohValue]] &amp; "."" Then Res = " &amp; Tabelle7[[#This Row],[EnuValue]]</f>
        <v xml:space="preserve">  If wert = ".PIVOTHORIZONTAL." Then Res = sbeWPO_PIVOTHORIZONTAL</v>
      </c>
    </row>
    <row r="1276" spans="2:9" x14ac:dyDescent="0.25">
      <c r="B1276" s="44">
        <v>8</v>
      </c>
      <c r="C1276" s="45" t="s">
        <v>1662</v>
      </c>
      <c r="D1276" s="44" t="s">
        <v>4681</v>
      </c>
      <c r="E1276" s="44" t="str">
        <f>VLOOKUP(Tabelle7[[#This Row],[EnumName]],Enum[[IFC-Name]:[Präfix]],5,FALSE)&amp;Tabelle7[[#This Row],[EnuRohValue]]</f>
        <v>sbeWPO_PIVOTVERTICAL</v>
      </c>
      <c r="F1276" s="44">
        <f>COUNTIF(Tabelle7[EnuValue],Tabelle7[[#This Row],[EnuValue]])</f>
        <v>1</v>
      </c>
      <c r="G1276" s="44" t="str">
        <f xml:space="preserve"> "  " &amp; Tabelle7[[#This Row],[EnuValue]] &amp; " = " &amp; Tabelle7[[#This Row],[Wert]]</f>
        <v xml:space="preserve">  sbeWPO_PIVOTVERTICAL = 8</v>
      </c>
      <c r="H1276" s="44" t="str">
        <f>"  If Wert = " &amp; Tabelle7[[#This Row],[EnuValue]] &amp; " then Res = ""." &amp; Tabelle7[[#This Row],[EnuRohValue]] &amp; "."""</f>
        <v xml:space="preserve">  If Wert = sbeWPO_PIVOTVERTICAL then Res = ".PIVOTVERTICAL."</v>
      </c>
      <c r="I1276" s="44" t="str">
        <f>"  If wert = ""." &amp; Tabelle7[[#This Row],[EnuRohValue]] &amp; "."" Then Res = " &amp; Tabelle7[[#This Row],[EnuValue]]</f>
        <v xml:space="preserve">  If wert = ".PIVOTVERTICAL." Then Res = sbeWPO_PIVOTVERTICAL</v>
      </c>
    </row>
    <row r="1277" spans="2:9" x14ac:dyDescent="0.25">
      <c r="B1277" s="44">
        <v>9</v>
      </c>
      <c r="C1277" s="45" t="s">
        <v>1662</v>
      </c>
      <c r="D1277" s="44" t="s">
        <v>4682</v>
      </c>
      <c r="E1277" s="44" t="str">
        <f>VLOOKUP(Tabelle7[[#This Row],[EnumName]],Enum[[IFC-Name]:[Präfix]],5,FALSE)&amp;Tabelle7[[#This Row],[EnuRohValue]]</f>
        <v>sbeWPO_SLIDINGHORIZONTAL</v>
      </c>
      <c r="F1277" s="44">
        <f>COUNTIF(Tabelle7[EnuValue],Tabelle7[[#This Row],[EnuValue]])</f>
        <v>1</v>
      </c>
      <c r="G1277" s="44" t="str">
        <f xml:space="preserve"> "  " &amp; Tabelle7[[#This Row],[EnuValue]] &amp; " = " &amp; Tabelle7[[#This Row],[Wert]]</f>
        <v xml:space="preserve">  sbeWPO_SLIDINGHORIZONTAL = 9</v>
      </c>
      <c r="H1277" s="44" t="str">
        <f>"  If Wert = " &amp; Tabelle7[[#This Row],[EnuValue]] &amp; " then Res = ""." &amp; Tabelle7[[#This Row],[EnuRohValue]] &amp; "."""</f>
        <v xml:space="preserve">  If Wert = sbeWPO_SLIDINGHORIZONTAL then Res = ".SLIDINGHORIZONTAL."</v>
      </c>
      <c r="I1277" s="44" t="str">
        <f>"  If wert = ""." &amp; Tabelle7[[#This Row],[EnuRohValue]] &amp; "."" Then Res = " &amp; Tabelle7[[#This Row],[EnuValue]]</f>
        <v xml:space="preserve">  If wert = ".SLIDINGHORIZONTAL." Then Res = sbeWPO_SLIDINGHORIZONTAL</v>
      </c>
    </row>
    <row r="1278" spans="2:9" x14ac:dyDescent="0.25">
      <c r="B1278" s="44">
        <v>10</v>
      </c>
      <c r="C1278" s="45" t="s">
        <v>1662</v>
      </c>
      <c r="D1278" s="44" t="s">
        <v>4683</v>
      </c>
      <c r="E1278" s="44" t="str">
        <f>VLOOKUP(Tabelle7[[#This Row],[EnumName]],Enum[[IFC-Name]:[Präfix]],5,FALSE)&amp;Tabelle7[[#This Row],[EnuRohValue]]</f>
        <v>sbeWPO_SLIDINGVERTICAL</v>
      </c>
      <c r="F1278" s="44">
        <f>COUNTIF(Tabelle7[EnuValue],Tabelle7[[#This Row],[EnuValue]])</f>
        <v>1</v>
      </c>
      <c r="G1278" s="44" t="str">
        <f xml:space="preserve"> "  " &amp; Tabelle7[[#This Row],[EnuValue]] &amp; " = " &amp; Tabelle7[[#This Row],[Wert]]</f>
        <v xml:space="preserve">  sbeWPO_SLIDINGVERTICAL = 10</v>
      </c>
      <c r="H1278" s="44" t="str">
        <f>"  If Wert = " &amp; Tabelle7[[#This Row],[EnuValue]] &amp; " then Res = ""." &amp; Tabelle7[[#This Row],[EnuRohValue]] &amp; "."""</f>
        <v xml:space="preserve">  If Wert = sbeWPO_SLIDINGVERTICAL then Res = ".SLIDINGVERTICAL."</v>
      </c>
      <c r="I1278" s="44" t="str">
        <f>"  If wert = ""." &amp; Tabelle7[[#This Row],[EnuRohValue]] &amp; "."" Then Res = " &amp; Tabelle7[[#This Row],[EnuValue]]</f>
        <v xml:space="preserve">  If wert = ".SLIDINGVERTICAL." Then Res = sbeWPO_SLIDINGVERTICAL</v>
      </c>
    </row>
    <row r="1279" spans="2:9" x14ac:dyDescent="0.25">
      <c r="B1279" s="44">
        <v>11</v>
      </c>
      <c r="C1279" s="45" t="s">
        <v>1662</v>
      </c>
      <c r="D1279" s="44" t="s">
        <v>4684</v>
      </c>
      <c r="E1279" s="44" t="str">
        <f>VLOOKUP(Tabelle7[[#This Row],[EnumName]],Enum[[IFC-Name]:[Präfix]],5,FALSE)&amp;Tabelle7[[#This Row],[EnuRohValue]]</f>
        <v>sbeWPO_REMOVABLECASEMENT</v>
      </c>
      <c r="F1279" s="44">
        <f>COUNTIF(Tabelle7[EnuValue],Tabelle7[[#This Row],[EnuValue]])</f>
        <v>1</v>
      </c>
      <c r="G1279" s="44" t="str">
        <f xml:space="preserve"> "  " &amp; Tabelle7[[#This Row],[EnuValue]] &amp; " = " &amp; Tabelle7[[#This Row],[Wert]]</f>
        <v xml:space="preserve">  sbeWPO_REMOVABLECASEMENT = 11</v>
      </c>
      <c r="H1279" s="44" t="str">
        <f>"  If Wert = " &amp; Tabelle7[[#This Row],[EnuValue]] &amp; " then Res = ""." &amp; Tabelle7[[#This Row],[EnuRohValue]] &amp; "."""</f>
        <v xml:space="preserve">  If Wert = sbeWPO_REMOVABLECASEMENT then Res = ".REMOVABLECASEMENT."</v>
      </c>
      <c r="I1279" s="44" t="str">
        <f>"  If wert = ""." &amp; Tabelle7[[#This Row],[EnuRohValue]] &amp; "."" Then Res = " &amp; Tabelle7[[#This Row],[EnuValue]]</f>
        <v xml:space="preserve">  If wert = ".REMOVABLECASEMENT." Then Res = sbeWPO_REMOVABLECASEMENT</v>
      </c>
    </row>
    <row r="1280" spans="2:9" x14ac:dyDescent="0.25">
      <c r="B1280" s="44">
        <v>12</v>
      </c>
      <c r="C1280" s="45" t="s">
        <v>1662</v>
      </c>
      <c r="D1280" s="44" t="s">
        <v>4685</v>
      </c>
      <c r="E1280" s="44" t="str">
        <f>VLOOKUP(Tabelle7[[#This Row],[EnumName]],Enum[[IFC-Name]:[Präfix]],5,FALSE)&amp;Tabelle7[[#This Row],[EnuRohValue]]</f>
        <v>sbeWPO_FIXEDCASEMENT</v>
      </c>
      <c r="F1280" s="44">
        <f>COUNTIF(Tabelle7[EnuValue],Tabelle7[[#This Row],[EnuValue]])</f>
        <v>1</v>
      </c>
      <c r="G1280" s="44" t="str">
        <f xml:space="preserve"> "  " &amp; Tabelle7[[#This Row],[EnuValue]] &amp; " = " &amp; Tabelle7[[#This Row],[Wert]]</f>
        <v xml:space="preserve">  sbeWPO_FIXEDCASEMENT = 12</v>
      </c>
      <c r="H1280" s="44" t="str">
        <f>"  If Wert = " &amp; Tabelle7[[#This Row],[EnuValue]] &amp; " then Res = ""." &amp; Tabelle7[[#This Row],[EnuRohValue]] &amp; "."""</f>
        <v xml:space="preserve">  If Wert = sbeWPO_FIXEDCASEMENT then Res = ".FIXEDCASEMENT."</v>
      </c>
      <c r="I1280" s="44" t="str">
        <f>"  If wert = ""." &amp; Tabelle7[[#This Row],[EnuRohValue]] &amp; "."" Then Res = " &amp; Tabelle7[[#This Row],[EnuValue]]</f>
        <v xml:space="preserve">  If wert = ".FIXEDCASEMENT." Then Res = sbeWPO_FIXEDCASEMENT</v>
      </c>
    </row>
    <row r="1281" spans="2:9" x14ac:dyDescent="0.25">
      <c r="B1281" s="44">
        <v>13</v>
      </c>
      <c r="C1281" s="45" t="s">
        <v>1662</v>
      </c>
      <c r="D1281" s="44" t="s">
        <v>4686</v>
      </c>
      <c r="E1281" s="44" t="str">
        <f>VLOOKUP(Tabelle7[[#This Row],[EnumName]],Enum[[IFC-Name]:[Präfix]],5,FALSE)&amp;Tabelle7[[#This Row],[EnuRohValue]]</f>
        <v>sbeWPO_OTHEROPERATION</v>
      </c>
      <c r="F1281" s="44">
        <f>COUNTIF(Tabelle7[EnuValue],Tabelle7[[#This Row],[EnuValue]])</f>
        <v>1</v>
      </c>
      <c r="G1281" s="44" t="str">
        <f xml:space="preserve"> "  " &amp; Tabelle7[[#This Row],[EnuValue]] &amp; " = " &amp; Tabelle7[[#This Row],[Wert]]</f>
        <v xml:space="preserve">  sbeWPO_OTHEROPERATION = 13</v>
      </c>
      <c r="H1281" s="44" t="str">
        <f>"  If Wert = " &amp; Tabelle7[[#This Row],[EnuValue]] &amp; " then Res = ""." &amp; Tabelle7[[#This Row],[EnuRohValue]] &amp; "."""</f>
        <v xml:space="preserve">  If Wert = sbeWPO_OTHEROPERATION then Res = ".OTHEROPERATION."</v>
      </c>
      <c r="I1281" s="44" t="str">
        <f>"  If wert = ""." &amp; Tabelle7[[#This Row],[EnuRohValue]] &amp; "."" Then Res = " &amp; Tabelle7[[#This Row],[EnuValue]]</f>
        <v xml:space="preserve">  If wert = ".OTHEROPERATION." Then Res = sbeWPO_OTHEROPERATION</v>
      </c>
    </row>
    <row r="1282" spans="2:9" x14ac:dyDescent="0.25">
      <c r="B1282" s="44">
        <v>14</v>
      </c>
      <c r="C1282" s="45" t="s">
        <v>1662</v>
      </c>
      <c r="D1282" s="44" t="s">
        <v>3683</v>
      </c>
      <c r="E1282" s="44" t="str">
        <f>VLOOKUP(Tabelle7[[#This Row],[EnumName]],Enum[[IFC-Name]:[Präfix]],5,FALSE)&amp;Tabelle7[[#This Row],[EnuRohValue]]</f>
        <v>sbeWPO_NOTDEFINED</v>
      </c>
      <c r="F1282" s="44">
        <f>COUNTIF(Tabelle7[EnuValue],Tabelle7[[#This Row],[EnuValue]])</f>
        <v>1</v>
      </c>
      <c r="G1282" s="44" t="str">
        <f xml:space="preserve"> "  " &amp; Tabelle7[[#This Row],[EnuValue]] &amp; " = " &amp; Tabelle7[[#This Row],[Wert]]</f>
        <v xml:space="preserve">  sbeWPO_NOTDEFINED = 14</v>
      </c>
      <c r="H1282" s="44" t="str">
        <f>"  If Wert = " &amp; Tabelle7[[#This Row],[EnuValue]] &amp; " then Res = ""." &amp; Tabelle7[[#This Row],[EnuRohValue]] &amp; "."""</f>
        <v xml:space="preserve">  If Wert = sbeWPO_NOTDEFINED then Res = ".NOTDEFINED."</v>
      </c>
      <c r="I1282" s="44" t="str">
        <f>"  If wert = ""." &amp; Tabelle7[[#This Row],[EnuRohValue]] &amp; "."" Then Res = " &amp; Tabelle7[[#This Row],[EnuValue]]</f>
        <v xml:space="preserve">  If wert = ".NOTDEFINED." Then Res = sbeWPO_NOTDEFINED</v>
      </c>
    </row>
    <row r="1283" spans="2:9" x14ac:dyDescent="0.25">
      <c r="B1283" s="44">
        <v>1</v>
      </c>
      <c r="C1283" s="45" t="s">
        <v>1663</v>
      </c>
      <c r="D1283" s="44" t="s">
        <v>4035</v>
      </c>
      <c r="E1283" s="44" t="str">
        <f>VLOOKUP(Tabelle7[[#This Row],[EnumName]],Enum[[IFC-Name]:[Präfix]],5,FALSE)&amp;Tabelle7[[#This Row],[EnuRohValue]]</f>
        <v>sbeWPP_LEFT</v>
      </c>
      <c r="F1283" s="44">
        <f>COUNTIF(Tabelle7[EnuValue],Tabelle7[[#This Row],[EnuValue]])</f>
        <v>1</v>
      </c>
      <c r="G1283" s="44" t="str">
        <f xml:space="preserve"> "  " &amp; Tabelle7[[#This Row],[EnuValue]] &amp; " = " &amp; Tabelle7[[#This Row],[Wert]]</f>
        <v xml:space="preserve">  sbeWPP_LEFT = 1</v>
      </c>
      <c r="H1283" s="44" t="str">
        <f>"  If Wert = " &amp; Tabelle7[[#This Row],[EnuValue]] &amp; " then Res = ""." &amp; Tabelle7[[#This Row],[EnuRohValue]] &amp; "."""</f>
        <v xml:space="preserve">  If Wert = sbeWPP_LEFT then Res = ".LEFT."</v>
      </c>
      <c r="I1283" s="44" t="str">
        <f>"  If wert = ""." &amp; Tabelle7[[#This Row],[EnuRohValue]] &amp; "."" Then Res = " &amp; Tabelle7[[#This Row],[EnuValue]]</f>
        <v xml:space="preserve">  If wert = ".LEFT." Then Res = sbeWPP_LEFT</v>
      </c>
    </row>
    <row r="1284" spans="2:9" x14ac:dyDescent="0.25">
      <c r="B1284" s="44">
        <v>2</v>
      </c>
      <c r="C1284" s="45" t="s">
        <v>1663</v>
      </c>
      <c r="D1284" s="44" t="s">
        <v>4036</v>
      </c>
      <c r="E1284" s="44" t="str">
        <f>VLOOKUP(Tabelle7[[#This Row],[EnumName]],Enum[[IFC-Name]:[Präfix]],5,FALSE)&amp;Tabelle7[[#This Row],[EnuRohValue]]</f>
        <v>sbeWPP_MIDDLE</v>
      </c>
      <c r="F1284" s="44">
        <f>COUNTIF(Tabelle7[EnuValue],Tabelle7[[#This Row],[EnuValue]])</f>
        <v>1</v>
      </c>
      <c r="G1284" s="44" t="str">
        <f xml:space="preserve"> "  " &amp; Tabelle7[[#This Row],[EnuValue]] &amp; " = " &amp; Tabelle7[[#This Row],[Wert]]</f>
        <v xml:space="preserve">  sbeWPP_MIDDLE = 2</v>
      </c>
      <c r="H1284" s="44" t="str">
        <f>"  If Wert = " &amp; Tabelle7[[#This Row],[EnuValue]] &amp; " then Res = ""." &amp; Tabelle7[[#This Row],[EnuRohValue]] &amp; "."""</f>
        <v xml:space="preserve">  If Wert = sbeWPP_MIDDLE then Res = ".MIDDLE."</v>
      </c>
      <c r="I1284" s="44" t="str">
        <f>"  If wert = ""." &amp; Tabelle7[[#This Row],[EnuRohValue]] &amp; "."" Then Res = " &amp; Tabelle7[[#This Row],[EnuValue]]</f>
        <v xml:space="preserve">  If wert = ".MIDDLE." Then Res = sbeWPP_MIDDLE</v>
      </c>
    </row>
    <row r="1285" spans="2:9" x14ac:dyDescent="0.25">
      <c r="B1285" s="44">
        <v>3</v>
      </c>
      <c r="C1285" s="45" t="s">
        <v>1663</v>
      </c>
      <c r="D1285" s="44" t="s">
        <v>4037</v>
      </c>
      <c r="E1285" s="44" t="str">
        <f>VLOOKUP(Tabelle7[[#This Row],[EnumName]],Enum[[IFC-Name]:[Präfix]],5,FALSE)&amp;Tabelle7[[#This Row],[EnuRohValue]]</f>
        <v>sbeWPP_RIGHT</v>
      </c>
      <c r="F1285" s="44">
        <f>COUNTIF(Tabelle7[EnuValue],Tabelle7[[#This Row],[EnuValue]])</f>
        <v>1</v>
      </c>
      <c r="G1285" s="44" t="str">
        <f xml:space="preserve"> "  " &amp; Tabelle7[[#This Row],[EnuValue]] &amp; " = " &amp; Tabelle7[[#This Row],[Wert]]</f>
        <v xml:space="preserve">  sbeWPP_RIGHT = 3</v>
      </c>
      <c r="H1285" s="44" t="str">
        <f>"  If Wert = " &amp; Tabelle7[[#This Row],[EnuValue]] &amp; " then Res = ""." &amp; Tabelle7[[#This Row],[EnuRohValue]] &amp; "."""</f>
        <v xml:space="preserve">  If Wert = sbeWPP_RIGHT then Res = ".RIGHT."</v>
      </c>
      <c r="I1285" s="44" t="str">
        <f>"  If wert = ""." &amp; Tabelle7[[#This Row],[EnuRohValue]] &amp; "."" Then Res = " &amp; Tabelle7[[#This Row],[EnuValue]]</f>
        <v xml:space="preserve">  If wert = ".RIGHT." Then Res = sbeWPP_RIGHT</v>
      </c>
    </row>
    <row r="1286" spans="2:9" x14ac:dyDescent="0.25">
      <c r="B1286" s="44">
        <v>4</v>
      </c>
      <c r="C1286" s="45" t="s">
        <v>1663</v>
      </c>
      <c r="D1286" s="44" t="s">
        <v>4687</v>
      </c>
      <c r="E1286" s="44" t="str">
        <f>VLOOKUP(Tabelle7[[#This Row],[EnumName]],Enum[[IFC-Name]:[Präfix]],5,FALSE)&amp;Tabelle7[[#This Row],[EnuRohValue]]</f>
        <v>sbeWPP_BOTTOM</v>
      </c>
      <c r="F1286" s="44">
        <f>COUNTIF(Tabelle7[EnuValue],Tabelle7[[#This Row],[EnuValue]])</f>
        <v>1</v>
      </c>
      <c r="G1286" s="44" t="str">
        <f xml:space="preserve"> "  " &amp; Tabelle7[[#This Row],[EnuValue]] &amp; " = " &amp; Tabelle7[[#This Row],[Wert]]</f>
        <v xml:space="preserve">  sbeWPP_BOTTOM = 4</v>
      </c>
      <c r="H1286" s="44" t="str">
        <f>"  If Wert = " &amp; Tabelle7[[#This Row],[EnuValue]] &amp; " then Res = ""." &amp; Tabelle7[[#This Row],[EnuRohValue]] &amp; "."""</f>
        <v xml:space="preserve">  If Wert = sbeWPP_BOTTOM then Res = ".BOTTOM."</v>
      </c>
      <c r="I1286" s="44" t="str">
        <f>"  If wert = ""." &amp; Tabelle7[[#This Row],[EnuRohValue]] &amp; "."" Then Res = " &amp; Tabelle7[[#This Row],[EnuValue]]</f>
        <v xml:space="preserve">  If wert = ".BOTTOM." Then Res = sbeWPP_BOTTOM</v>
      </c>
    </row>
    <row r="1287" spans="2:9" x14ac:dyDescent="0.25">
      <c r="B1287" s="44">
        <v>5</v>
      </c>
      <c r="C1287" s="45" t="s">
        <v>1663</v>
      </c>
      <c r="D1287" s="44" t="s">
        <v>4688</v>
      </c>
      <c r="E1287" s="44" t="str">
        <f>VLOOKUP(Tabelle7[[#This Row],[EnumName]],Enum[[IFC-Name]:[Präfix]],5,FALSE)&amp;Tabelle7[[#This Row],[EnuRohValue]]</f>
        <v>sbeWPP_TOP</v>
      </c>
      <c r="F1287" s="44">
        <f>COUNTIF(Tabelle7[EnuValue],Tabelle7[[#This Row],[EnuValue]])</f>
        <v>1</v>
      </c>
      <c r="G1287" s="44" t="str">
        <f xml:space="preserve"> "  " &amp; Tabelle7[[#This Row],[EnuValue]] &amp; " = " &amp; Tabelle7[[#This Row],[Wert]]</f>
        <v xml:space="preserve">  sbeWPP_TOP = 5</v>
      </c>
      <c r="H1287" s="44" t="str">
        <f>"  If Wert = " &amp; Tabelle7[[#This Row],[EnuValue]] &amp; " then Res = ""." &amp; Tabelle7[[#This Row],[EnuRohValue]] &amp; "."""</f>
        <v xml:space="preserve">  If Wert = sbeWPP_TOP then Res = ".TOP."</v>
      </c>
      <c r="I1287" s="44" t="str">
        <f>"  If wert = ""." &amp; Tabelle7[[#This Row],[EnuRohValue]] &amp; "."" Then Res = " &amp; Tabelle7[[#This Row],[EnuValue]]</f>
        <v xml:space="preserve">  If wert = ".TOP." Then Res = sbeWPP_TOP</v>
      </c>
    </row>
    <row r="1288" spans="2:9" x14ac:dyDescent="0.25">
      <c r="B1288" s="44">
        <v>6</v>
      </c>
      <c r="C1288" s="45" t="s">
        <v>1663</v>
      </c>
      <c r="D1288" s="44" t="s">
        <v>3683</v>
      </c>
      <c r="E1288" s="44" t="str">
        <f>VLOOKUP(Tabelle7[[#This Row],[EnumName]],Enum[[IFC-Name]:[Präfix]],5,FALSE)&amp;Tabelle7[[#This Row],[EnuRohValue]]</f>
        <v>sbeWPP_NOTDEFINED</v>
      </c>
      <c r="F1288" s="44">
        <f>COUNTIF(Tabelle7[EnuValue],Tabelle7[[#This Row],[EnuValue]])</f>
        <v>1</v>
      </c>
      <c r="G1288" s="44" t="str">
        <f xml:space="preserve"> "  " &amp; Tabelle7[[#This Row],[EnuValue]] &amp; " = " &amp; Tabelle7[[#This Row],[Wert]]</f>
        <v xml:space="preserve">  sbeWPP_NOTDEFINED = 6</v>
      </c>
      <c r="H1288" s="44" t="str">
        <f>"  If Wert = " &amp; Tabelle7[[#This Row],[EnuValue]] &amp; " then Res = ""." &amp; Tabelle7[[#This Row],[EnuRohValue]] &amp; "."""</f>
        <v xml:space="preserve">  If Wert = sbeWPP_NOTDEFINED then Res = ".NOTDEFINED."</v>
      </c>
      <c r="I1288" s="44" t="str">
        <f>"  If wert = ""." &amp; Tabelle7[[#This Row],[EnuRohValue]] &amp; "."" Then Res = " &amp; Tabelle7[[#This Row],[EnuValue]]</f>
        <v xml:space="preserve">  If wert = ".NOTDEFINED." Then Res = sbeWPP_NOTDEFINED</v>
      </c>
    </row>
    <row r="1289" spans="2:9" x14ac:dyDescent="0.25">
      <c r="B1289" s="44">
        <v>1</v>
      </c>
      <c r="C1289" s="45" t="s">
        <v>1664</v>
      </c>
      <c r="D1289" s="44" t="s">
        <v>4038</v>
      </c>
      <c r="E1289" s="44" t="str">
        <f>VLOOKUP(Tabelle7[[#This Row],[EnumName]],Enum[[IFC-Name]:[Präfix]],5,FALSE)&amp;Tabelle7[[#This Row],[EnuRohValue]]</f>
        <v>sbeWSC_ALUMINIUM</v>
      </c>
      <c r="F1289" s="44">
        <f>COUNTIF(Tabelle7[EnuValue],Tabelle7[[#This Row],[EnuValue]])</f>
        <v>1</v>
      </c>
      <c r="G1289" s="44" t="str">
        <f xml:space="preserve"> "  " &amp; Tabelle7[[#This Row],[EnuValue]] &amp; " = " &amp; Tabelle7[[#This Row],[Wert]]</f>
        <v xml:space="preserve">  sbeWSC_ALUMINIUM = 1</v>
      </c>
      <c r="H1289" s="44" t="str">
        <f>"  If Wert = " &amp; Tabelle7[[#This Row],[EnuValue]] &amp; " then Res = ""." &amp; Tabelle7[[#This Row],[EnuRohValue]] &amp; "."""</f>
        <v xml:space="preserve">  If Wert = sbeWSC_ALUMINIUM then Res = ".ALUMINIUM."</v>
      </c>
      <c r="I1289" s="44" t="str">
        <f>"  If wert = ""." &amp; Tabelle7[[#This Row],[EnuRohValue]] &amp; "."" Then Res = " &amp; Tabelle7[[#This Row],[EnuValue]]</f>
        <v xml:space="preserve">  If wert = ".ALUMINIUM." Then Res = sbeWSC_ALUMINIUM</v>
      </c>
    </row>
    <row r="1290" spans="2:9" x14ac:dyDescent="0.25">
      <c r="B1290" s="44">
        <v>2</v>
      </c>
      <c r="C1290" s="45" t="s">
        <v>1664</v>
      </c>
      <c r="D1290" s="44" t="s">
        <v>4039</v>
      </c>
      <c r="E1290" s="44" t="str">
        <f>VLOOKUP(Tabelle7[[#This Row],[EnumName]],Enum[[IFC-Name]:[Präfix]],5,FALSE)&amp;Tabelle7[[#This Row],[EnuRohValue]]</f>
        <v>sbeWSC_HIGH_GRADE_STEEL</v>
      </c>
      <c r="F1290" s="44">
        <f>COUNTIF(Tabelle7[EnuValue],Tabelle7[[#This Row],[EnuValue]])</f>
        <v>1</v>
      </c>
      <c r="G1290" s="44" t="str">
        <f xml:space="preserve"> "  " &amp; Tabelle7[[#This Row],[EnuValue]] &amp; " = " &amp; Tabelle7[[#This Row],[Wert]]</f>
        <v xml:space="preserve">  sbeWSC_HIGH_GRADE_STEEL = 2</v>
      </c>
      <c r="H1290" s="44" t="str">
        <f>"  If Wert = " &amp; Tabelle7[[#This Row],[EnuValue]] &amp; " then Res = ""." &amp; Tabelle7[[#This Row],[EnuRohValue]] &amp; "."""</f>
        <v xml:space="preserve">  If Wert = sbeWSC_HIGH_GRADE_STEEL then Res = ".HIGH_GRADE_STEEL."</v>
      </c>
      <c r="I1290" s="44" t="str">
        <f>"  If wert = ""." &amp; Tabelle7[[#This Row],[EnuRohValue]] &amp; "."" Then Res = " &amp; Tabelle7[[#This Row],[EnuValue]]</f>
        <v xml:space="preserve">  If wert = ".HIGH_GRADE_STEEL." Then Res = sbeWSC_HIGH_GRADE_STEEL</v>
      </c>
    </row>
    <row r="1291" spans="2:9" x14ac:dyDescent="0.25">
      <c r="B1291" s="44">
        <v>3</v>
      </c>
      <c r="C1291" s="45" t="s">
        <v>1664</v>
      </c>
      <c r="D1291" s="44" t="s">
        <v>4040</v>
      </c>
      <c r="E1291" s="44" t="str">
        <f>VLOOKUP(Tabelle7[[#This Row],[EnumName]],Enum[[IFC-Name]:[Präfix]],5,FALSE)&amp;Tabelle7[[#This Row],[EnuRohValue]]</f>
        <v>sbeWSC_STEEL</v>
      </c>
      <c r="F1291" s="44">
        <f>COUNTIF(Tabelle7[EnuValue],Tabelle7[[#This Row],[EnuValue]])</f>
        <v>1</v>
      </c>
      <c r="G1291" s="44" t="str">
        <f xml:space="preserve"> "  " &amp; Tabelle7[[#This Row],[EnuValue]] &amp; " = " &amp; Tabelle7[[#This Row],[Wert]]</f>
        <v xml:space="preserve">  sbeWSC_STEEL = 3</v>
      </c>
      <c r="H1291" s="44" t="str">
        <f>"  If Wert = " &amp; Tabelle7[[#This Row],[EnuValue]] &amp; " then Res = ""." &amp; Tabelle7[[#This Row],[EnuRohValue]] &amp; "."""</f>
        <v xml:space="preserve">  If Wert = sbeWSC_STEEL then Res = ".STEEL."</v>
      </c>
      <c r="I1291" s="44" t="str">
        <f>"  If wert = ""." &amp; Tabelle7[[#This Row],[EnuRohValue]] &amp; "."" Then Res = " &amp; Tabelle7[[#This Row],[EnuValue]]</f>
        <v xml:space="preserve">  If wert = ".STEEL." Then Res = sbeWSC_STEEL</v>
      </c>
    </row>
    <row r="1292" spans="2:9" x14ac:dyDescent="0.25">
      <c r="B1292" s="44">
        <v>4</v>
      </c>
      <c r="C1292" s="45" t="s">
        <v>1664</v>
      </c>
      <c r="D1292" s="44" t="s">
        <v>4041</v>
      </c>
      <c r="E1292" s="44" t="str">
        <f>VLOOKUP(Tabelle7[[#This Row],[EnumName]],Enum[[IFC-Name]:[Präfix]],5,FALSE)&amp;Tabelle7[[#This Row],[EnuRohValue]]</f>
        <v>sbeWSC_WOOD</v>
      </c>
      <c r="F1292" s="44">
        <f>COUNTIF(Tabelle7[EnuValue],Tabelle7[[#This Row],[EnuValue]])</f>
        <v>1</v>
      </c>
      <c r="G1292" s="44" t="str">
        <f xml:space="preserve"> "  " &amp; Tabelle7[[#This Row],[EnuValue]] &amp; " = " &amp; Tabelle7[[#This Row],[Wert]]</f>
        <v xml:space="preserve">  sbeWSC_WOOD = 4</v>
      </c>
      <c r="H1292" s="44" t="str">
        <f>"  If Wert = " &amp; Tabelle7[[#This Row],[EnuValue]] &amp; " then Res = ""." &amp; Tabelle7[[#This Row],[EnuRohValue]] &amp; "."""</f>
        <v xml:space="preserve">  If Wert = sbeWSC_WOOD then Res = ".WOOD."</v>
      </c>
      <c r="I1292" s="44" t="str">
        <f>"  If wert = ""." &amp; Tabelle7[[#This Row],[EnuRohValue]] &amp; "."" Then Res = " &amp; Tabelle7[[#This Row],[EnuValue]]</f>
        <v xml:space="preserve">  If wert = ".WOOD." Then Res = sbeWSC_WOOD</v>
      </c>
    </row>
    <row r="1293" spans="2:9" x14ac:dyDescent="0.25">
      <c r="B1293" s="44">
        <v>5</v>
      </c>
      <c r="C1293" s="45" t="s">
        <v>1664</v>
      </c>
      <c r="D1293" s="44" t="s">
        <v>4042</v>
      </c>
      <c r="E1293" s="44" t="str">
        <f>VLOOKUP(Tabelle7[[#This Row],[EnumName]],Enum[[IFC-Name]:[Präfix]],5,FALSE)&amp;Tabelle7[[#This Row],[EnuRohValue]]</f>
        <v>sbeWSC_ALUMINIUM_WOOD</v>
      </c>
      <c r="F1293" s="44">
        <f>COUNTIF(Tabelle7[EnuValue],Tabelle7[[#This Row],[EnuValue]])</f>
        <v>1</v>
      </c>
      <c r="G1293" s="44" t="str">
        <f xml:space="preserve"> "  " &amp; Tabelle7[[#This Row],[EnuValue]] &amp; " = " &amp; Tabelle7[[#This Row],[Wert]]</f>
        <v xml:space="preserve">  sbeWSC_ALUMINIUM_WOOD = 5</v>
      </c>
      <c r="H1293" s="44" t="str">
        <f>"  If Wert = " &amp; Tabelle7[[#This Row],[EnuValue]] &amp; " then Res = ""." &amp; Tabelle7[[#This Row],[EnuRohValue]] &amp; "."""</f>
        <v xml:space="preserve">  If Wert = sbeWSC_ALUMINIUM_WOOD then Res = ".ALUMINIUM_WOOD."</v>
      </c>
      <c r="I1293" s="44" t="str">
        <f>"  If wert = ""." &amp; Tabelle7[[#This Row],[EnuRohValue]] &amp; "."" Then Res = " &amp; Tabelle7[[#This Row],[EnuValue]]</f>
        <v xml:space="preserve">  If wert = ".ALUMINIUM_WOOD." Then Res = sbeWSC_ALUMINIUM_WOOD</v>
      </c>
    </row>
    <row r="1294" spans="2:9" x14ac:dyDescent="0.25">
      <c r="B1294" s="44">
        <v>6</v>
      </c>
      <c r="C1294" s="45" t="s">
        <v>1664</v>
      </c>
      <c r="D1294" s="44" t="s">
        <v>4044</v>
      </c>
      <c r="E1294" s="44" t="str">
        <f>VLOOKUP(Tabelle7[[#This Row],[EnumName]],Enum[[IFC-Name]:[Präfix]],5,FALSE)&amp;Tabelle7[[#This Row],[EnuRohValue]]</f>
        <v>sbeWSC_PLASTIC</v>
      </c>
      <c r="F1294" s="44">
        <f>COUNTIF(Tabelle7[EnuValue],Tabelle7[[#This Row],[EnuValue]])</f>
        <v>1</v>
      </c>
      <c r="G1294" s="44" t="str">
        <f xml:space="preserve"> "  " &amp; Tabelle7[[#This Row],[EnuValue]] &amp; " = " &amp; Tabelle7[[#This Row],[Wert]]</f>
        <v xml:space="preserve">  sbeWSC_PLASTIC = 6</v>
      </c>
      <c r="H1294" s="44" t="str">
        <f>"  If Wert = " &amp; Tabelle7[[#This Row],[EnuValue]] &amp; " then Res = ""." &amp; Tabelle7[[#This Row],[EnuRohValue]] &amp; "."""</f>
        <v xml:space="preserve">  If Wert = sbeWSC_PLASTIC then Res = ".PLASTIC."</v>
      </c>
      <c r="I1294" s="44" t="str">
        <f>"  If wert = ""." &amp; Tabelle7[[#This Row],[EnuRohValue]] &amp; "."" Then Res = " &amp; Tabelle7[[#This Row],[EnuValue]]</f>
        <v xml:space="preserve">  If wert = ".PLASTIC." Then Res = sbeWSC_PLASTIC</v>
      </c>
    </row>
    <row r="1295" spans="2:9" x14ac:dyDescent="0.25">
      <c r="B1295" s="44">
        <v>7</v>
      </c>
      <c r="C1295" s="45" t="s">
        <v>1664</v>
      </c>
      <c r="D1295" s="44" t="s">
        <v>4689</v>
      </c>
      <c r="E1295" s="44" t="str">
        <f>VLOOKUP(Tabelle7[[#This Row],[EnumName]],Enum[[IFC-Name]:[Präfix]],5,FALSE)&amp;Tabelle7[[#This Row],[EnuRohValue]]</f>
        <v>sbeWSC_OTHER_CONSTRUCTION</v>
      </c>
      <c r="F1295" s="44">
        <f>COUNTIF(Tabelle7[EnuValue],Tabelle7[[#This Row],[EnuValue]])</f>
        <v>1</v>
      </c>
      <c r="G1295" s="44" t="str">
        <f xml:space="preserve"> "  " &amp; Tabelle7[[#This Row],[EnuValue]] &amp; " = " &amp; Tabelle7[[#This Row],[Wert]]</f>
        <v xml:space="preserve">  sbeWSC_OTHER_CONSTRUCTION = 7</v>
      </c>
      <c r="H1295" s="44" t="str">
        <f>"  If Wert = " &amp; Tabelle7[[#This Row],[EnuValue]] &amp; " then Res = ""." &amp; Tabelle7[[#This Row],[EnuRohValue]] &amp; "."""</f>
        <v xml:space="preserve">  If Wert = sbeWSC_OTHER_CONSTRUCTION then Res = ".OTHER_CONSTRUCTION."</v>
      </c>
      <c r="I1295" s="44" t="str">
        <f>"  If wert = ""." &amp; Tabelle7[[#This Row],[EnuRohValue]] &amp; "."" Then Res = " &amp; Tabelle7[[#This Row],[EnuValue]]</f>
        <v xml:space="preserve">  If wert = ".OTHER_CONSTRUCTION." Then Res = sbeWSC_OTHER_CONSTRUCTION</v>
      </c>
    </row>
    <row r="1296" spans="2:9" x14ac:dyDescent="0.25">
      <c r="B1296" s="44">
        <v>8</v>
      </c>
      <c r="C1296" s="45" t="s">
        <v>1664</v>
      </c>
      <c r="D1296" s="44" t="s">
        <v>3683</v>
      </c>
      <c r="E1296" s="44" t="str">
        <f>VLOOKUP(Tabelle7[[#This Row],[EnumName]],Enum[[IFC-Name]:[Präfix]],5,FALSE)&amp;Tabelle7[[#This Row],[EnuRohValue]]</f>
        <v>sbeWSC_NOTDEFINED</v>
      </c>
      <c r="F1296" s="44">
        <f>COUNTIF(Tabelle7[EnuValue],Tabelle7[[#This Row],[EnuValue]])</f>
        <v>1</v>
      </c>
      <c r="G1296" s="44" t="str">
        <f xml:space="preserve"> "  " &amp; Tabelle7[[#This Row],[EnuValue]] &amp; " = " &amp; Tabelle7[[#This Row],[Wert]]</f>
        <v xml:space="preserve">  sbeWSC_NOTDEFINED = 8</v>
      </c>
      <c r="H1296" s="44" t="str">
        <f>"  If Wert = " &amp; Tabelle7[[#This Row],[EnuValue]] &amp; " then Res = ""." &amp; Tabelle7[[#This Row],[EnuRohValue]] &amp; "."""</f>
        <v xml:space="preserve">  If Wert = sbeWSC_NOTDEFINED then Res = ".NOTDEFINED."</v>
      </c>
      <c r="I1296" s="44" t="str">
        <f>"  If wert = ""." &amp; Tabelle7[[#This Row],[EnuRohValue]] &amp; "."" Then Res = " &amp; Tabelle7[[#This Row],[EnuValue]]</f>
        <v xml:space="preserve">  If wert = ".NOTDEFINED." Then Res = sbeWSC_NOTDEFINED</v>
      </c>
    </row>
    <row r="1297" spans="2:9" x14ac:dyDescent="0.25">
      <c r="B1297" s="44">
        <v>1</v>
      </c>
      <c r="C1297" s="45" t="s">
        <v>1665</v>
      </c>
      <c r="D1297" s="44" t="s">
        <v>4690</v>
      </c>
      <c r="E1297" s="44" t="str">
        <f>VLOOKUP(Tabelle7[[#This Row],[EnumName]],Enum[[IFC-Name]:[Präfix]],5,FALSE)&amp;Tabelle7[[#This Row],[EnuRohValue]]</f>
        <v>sbeWSO_SINGLE_PANEL</v>
      </c>
      <c r="F1297" s="44">
        <f>COUNTIF(Tabelle7[EnuValue],Tabelle7[[#This Row],[EnuValue]])</f>
        <v>1</v>
      </c>
      <c r="G1297" s="44" t="str">
        <f xml:space="preserve"> "  " &amp; Tabelle7[[#This Row],[EnuValue]] &amp; " = " &amp; Tabelle7[[#This Row],[Wert]]</f>
        <v xml:space="preserve">  sbeWSO_SINGLE_PANEL = 1</v>
      </c>
      <c r="H1297" s="44" t="str">
        <f>"  If Wert = " &amp; Tabelle7[[#This Row],[EnuValue]] &amp; " then Res = ""." &amp; Tabelle7[[#This Row],[EnuRohValue]] &amp; "."""</f>
        <v xml:space="preserve">  If Wert = sbeWSO_SINGLE_PANEL then Res = ".SINGLE_PANEL."</v>
      </c>
      <c r="I1297" s="44" t="str">
        <f>"  If wert = ""." &amp; Tabelle7[[#This Row],[EnuRohValue]] &amp; "."" Then Res = " &amp; Tabelle7[[#This Row],[EnuValue]]</f>
        <v xml:space="preserve">  If wert = ".SINGLE_PANEL." Then Res = sbeWSO_SINGLE_PANEL</v>
      </c>
    </row>
    <row r="1298" spans="2:9" x14ac:dyDescent="0.25">
      <c r="B1298" s="44">
        <v>2</v>
      </c>
      <c r="C1298" s="45" t="s">
        <v>1665</v>
      </c>
      <c r="D1298" s="44" t="s">
        <v>4691</v>
      </c>
      <c r="E1298" s="44" t="str">
        <f>VLOOKUP(Tabelle7[[#This Row],[EnumName]],Enum[[IFC-Name]:[Präfix]],5,FALSE)&amp;Tabelle7[[#This Row],[EnuRohValue]]</f>
        <v>sbeWSO_DOUBLE_PANEL_VERTICAL</v>
      </c>
      <c r="F1298" s="44">
        <f>COUNTIF(Tabelle7[EnuValue],Tabelle7[[#This Row],[EnuValue]])</f>
        <v>1</v>
      </c>
      <c r="G1298" s="44" t="str">
        <f xml:space="preserve"> "  " &amp; Tabelle7[[#This Row],[EnuValue]] &amp; " = " &amp; Tabelle7[[#This Row],[Wert]]</f>
        <v xml:space="preserve">  sbeWSO_DOUBLE_PANEL_VERTICAL = 2</v>
      </c>
      <c r="H1298" s="44" t="str">
        <f>"  If Wert = " &amp; Tabelle7[[#This Row],[EnuValue]] &amp; " then Res = ""." &amp; Tabelle7[[#This Row],[EnuRohValue]] &amp; "."""</f>
        <v xml:space="preserve">  If Wert = sbeWSO_DOUBLE_PANEL_VERTICAL then Res = ".DOUBLE_PANEL_VERTICAL."</v>
      </c>
      <c r="I1298" s="44" t="str">
        <f>"  If wert = ""." &amp; Tabelle7[[#This Row],[EnuRohValue]] &amp; "."" Then Res = " &amp; Tabelle7[[#This Row],[EnuValue]]</f>
        <v xml:space="preserve">  If wert = ".DOUBLE_PANEL_VERTICAL." Then Res = sbeWSO_DOUBLE_PANEL_VERTICAL</v>
      </c>
    </row>
    <row r="1299" spans="2:9" x14ac:dyDescent="0.25">
      <c r="B1299" s="44">
        <v>3</v>
      </c>
      <c r="C1299" s="45" t="s">
        <v>1665</v>
      </c>
      <c r="D1299" s="44" t="s">
        <v>4692</v>
      </c>
      <c r="E1299" s="44" t="str">
        <f>VLOOKUP(Tabelle7[[#This Row],[EnumName]],Enum[[IFC-Name]:[Präfix]],5,FALSE)&amp;Tabelle7[[#This Row],[EnuRohValue]]</f>
        <v>sbeWSO_DOUBLE_PANEL_HORIZONTAL</v>
      </c>
      <c r="F1299" s="44">
        <f>COUNTIF(Tabelle7[EnuValue],Tabelle7[[#This Row],[EnuValue]])</f>
        <v>1</v>
      </c>
      <c r="G1299" s="44" t="str">
        <f xml:space="preserve"> "  " &amp; Tabelle7[[#This Row],[EnuValue]] &amp; " = " &amp; Tabelle7[[#This Row],[Wert]]</f>
        <v xml:space="preserve">  sbeWSO_DOUBLE_PANEL_HORIZONTAL = 3</v>
      </c>
      <c r="H1299" s="44" t="str">
        <f>"  If Wert = " &amp; Tabelle7[[#This Row],[EnuValue]] &amp; " then Res = ""." &amp; Tabelle7[[#This Row],[EnuRohValue]] &amp; "."""</f>
        <v xml:space="preserve">  If Wert = sbeWSO_DOUBLE_PANEL_HORIZONTAL then Res = ".DOUBLE_PANEL_HORIZONTAL."</v>
      </c>
      <c r="I1299" s="44" t="str">
        <f>"  If wert = ""." &amp; Tabelle7[[#This Row],[EnuRohValue]] &amp; "."" Then Res = " &amp; Tabelle7[[#This Row],[EnuValue]]</f>
        <v xml:space="preserve">  If wert = ".DOUBLE_PANEL_HORIZONTAL." Then Res = sbeWSO_DOUBLE_PANEL_HORIZONTAL</v>
      </c>
    </row>
    <row r="1300" spans="2:9" x14ac:dyDescent="0.25">
      <c r="B1300" s="44">
        <v>4</v>
      </c>
      <c r="C1300" s="45" t="s">
        <v>1665</v>
      </c>
      <c r="D1300" s="44" t="s">
        <v>4693</v>
      </c>
      <c r="E1300" s="44" t="str">
        <f>VLOOKUP(Tabelle7[[#This Row],[EnumName]],Enum[[IFC-Name]:[Präfix]],5,FALSE)&amp;Tabelle7[[#This Row],[EnuRohValue]]</f>
        <v>sbeWSO_TRIPLE_PANEL_VERTICAL</v>
      </c>
      <c r="F1300" s="44">
        <f>COUNTIF(Tabelle7[EnuValue],Tabelle7[[#This Row],[EnuValue]])</f>
        <v>1</v>
      </c>
      <c r="G1300" s="44" t="str">
        <f xml:space="preserve"> "  " &amp; Tabelle7[[#This Row],[EnuValue]] &amp; " = " &amp; Tabelle7[[#This Row],[Wert]]</f>
        <v xml:space="preserve">  sbeWSO_TRIPLE_PANEL_VERTICAL = 4</v>
      </c>
      <c r="H1300" s="44" t="str">
        <f>"  If Wert = " &amp; Tabelle7[[#This Row],[EnuValue]] &amp; " then Res = ""." &amp; Tabelle7[[#This Row],[EnuRohValue]] &amp; "."""</f>
        <v xml:space="preserve">  If Wert = sbeWSO_TRIPLE_PANEL_VERTICAL then Res = ".TRIPLE_PANEL_VERTICAL."</v>
      </c>
      <c r="I1300" s="44" t="str">
        <f>"  If wert = ""." &amp; Tabelle7[[#This Row],[EnuRohValue]] &amp; "."" Then Res = " &amp; Tabelle7[[#This Row],[EnuValue]]</f>
        <v xml:space="preserve">  If wert = ".TRIPLE_PANEL_VERTICAL." Then Res = sbeWSO_TRIPLE_PANEL_VERTICAL</v>
      </c>
    </row>
    <row r="1301" spans="2:9" x14ac:dyDescent="0.25">
      <c r="B1301" s="44">
        <v>5</v>
      </c>
      <c r="C1301" s="45" t="s">
        <v>1665</v>
      </c>
      <c r="D1301" s="44" t="s">
        <v>4694</v>
      </c>
      <c r="E1301" s="44" t="str">
        <f>VLOOKUP(Tabelle7[[#This Row],[EnumName]],Enum[[IFC-Name]:[Präfix]],5,FALSE)&amp;Tabelle7[[#This Row],[EnuRohValue]]</f>
        <v>sbeWSO_TRIPLE_PANEL_BOTTOM</v>
      </c>
      <c r="F1301" s="44">
        <f>COUNTIF(Tabelle7[EnuValue],Tabelle7[[#This Row],[EnuValue]])</f>
        <v>1</v>
      </c>
      <c r="G1301" s="44" t="str">
        <f xml:space="preserve"> "  " &amp; Tabelle7[[#This Row],[EnuValue]] &amp; " = " &amp; Tabelle7[[#This Row],[Wert]]</f>
        <v xml:space="preserve">  sbeWSO_TRIPLE_PANEL_BOTTOM = 5</v>
      </c>
      <c r="H1301" s="44" t="str">
        <f>"  If Wert = " &amp; Tabelle7[[#This Row],[EnuValue]] &amp; " then Res = ""." &amp; Tabelle7[[#This Row],[EnuRohValue]] &amp; "."""</f>
        <v xml:space="preserve">  If Wert = sbeWSO_TRIPLE_PANEL_BOTTOM then Res = ".TRIPLE_PANEL_BOTTOM."</v>
      </c>
      <c r="I1301" s="44" t="str">
        <f>"  If wert = ""." &amp; Tabelle7[[#This Row],[EnuRohValue]] &amp; "."" Then Res = " &amp; Tabelle7[[#This Row],[EnuValue]]</f>
        <v xml:space="preserve">  If wert = ".TRIPLE_PANEL_BOTTOM." Then Res = sbeWSO_TRIPLE_PANEL_BOTTOM</v>
      </c>
    </row>
    <row r="1302" spans="2:9" x14ac:dyDescent="0.25">
      <c r="B1302" s="44">
        <v>6</v>
      </c>
      <c r="C1302" s="45" t="s">
        <v>1665</v>
      </c>
      <c r="D1302" s="44" t="s">
        <v>4695</v>
      </c>
      <c r="E1302" s="44" t="str">
        <f>VLOOKUP(Tabelle7[[#This Row],[EnumName]],Enum[[IFC-Name]:[Präfix]],5,FALSE)&amp;Tabelle7[[#This Row],[EnuRohValue]]</f>
        <v>sbeWSO_TRIPLE_PANEL_TOP</v>
      </c>
      <c r="F1302" s="44">
        <f>COUNTIF(Tabelle7[EnuValue],Tabelle7[[#This Row],[EnuValue]])</f>
        <v>1</v>
      </c>
      <c r="G1302" s="44" t="str">
        <f xml:space="preserve"> "  " &amp; Tabelle7[[#This Row],[EnuValue]] &amp; " = " &amp; Tabelle7[[#This Row],[Wert]]</f>
        <v xml:space="preserve">  sbeWSO_TRIPLE_PANEL_TOP = 6</v>
      </c>
      <c r="H1302" s="44" t="str">
        <f>"  If Wert = " &amp; Tabelle7[[#This Row],[EnuValue]] &amp; " then Res = ""." &amp; Tabelle7[[#This Row],[EnuRohValue]] &amp; "."""</f>
        <v xml:space="preserve">  If Wert = sbeWSO_TRIPLE_PANEL_TOP then Res = ".TRIPLE_PANEL_TOP."</v>
      </c>
      <c r="I1302" s="44" t="str">
        <f>"  If wert = ""." &amp; Tabelle7[[#This Row],[EnuRohValue]] &amp; "."" Then Res = " &amp; Tabelle7[[#This Row],[EnuValue]]</f>
        <v xml:space="preserve">  If wert = ".TRIPLE_PANEL_TOP." Then Res = sbeWSO_TRIPLE_PANEL_TOP</v>
      </c>
    </row>
    <row r="1303" spans="2:9" x14ac:dyDescent="0.25">
      <c r="B1303" s="44">
        <v>7</v>
      </c>
      <c r="C1303" s="45" t="s">
        <v>1665</v>
      </c>
      <c r="D1303" s="44" t="s">
        <v>4696</v>
      </c>
      <c r="E1303" s="44" t="str">
        <f>VLOOKUP(Tabelle7[[#This Row],[EnumName]],Enum[[IFC-Name]:[Präfix]],5,FALSE)&amp;Tabelle7[[#This Row],[EnuRohValue]]</f>
        <v>sbeWSO_TRIPLE_PANEL_LEFT</v>
      </c>
      <c r="F1303" s="44">
        <f>COUNTIF(Tabelle7[EnuValue],Tabelle7[[#This Row],[EnuValue]])</f>
        <v>1</v>
      </c>
      <c r="G1303" s="44" t="str">
        <f xml:space="preserve"> "  " &amp; Tabelle7[[#This Row],[EnuValue]] &amp; " = " &amp; Tabelle7[[#This Row],[Wert]]</f>
        <v xml:space="preserve">  sbeWSO_TRIPLE_PANEL_LEFT = 7</v>
      </c>
      <c r="H1303" s="44" t="str">
        <f>"  If Wert = " &amp; Tabelle7[[#This Row],[EnuValue]] &amp; " then Res = ""." &amp; Tabelle7[[#This Row],[EnuRohValue]] &amp; "."""</f>
        <v xml:space="preserve">  If Wert = sbeWSO_TRIPLE_PANEL_LEFT then Res = ".TRIPLE_PANEL_LEFT."</v>
      </c>
      <c r="I1303" s="44" t="str">
        <f>"  If wert = ""." &amp; Tabelle7[[#This Row],[EnuRohValue]] &amp; "."" Then Res = " &amp; Tabelle7[[#This Row],[EnuValue]]</f>
        <v xml:space="preserve">  If wert = ".TRIPLE_PANEL_LEFT." Then Res = sbeWSO_TRIPLE_PANEL_LEFT</v>
      </c>
    </row>
    <row r="1304" spans="2:9" x14ac:dyDescent="0.25">
      <c r="B1304" s="44">
        <v>8</v>
      </c>
      <c r="C1304" s="45" t="s">
        <v>1665</v>
      </c>
      <c r="D1304" s="44" t="s">
        <v>4697</v>
      </c>
      <c r="E1304" s="44" t="str">
        <f>VLOOKUP(Tabelle7[[#This Row],[EnumName]],Enum[[IFC-Name]:[Präfix]],5,FALSE)&amp;Tabelle7[[#This Row],[EnuRohValue]]</f>
        <v>sbeWSO_TRIPLE_PANEL_RIGHT</v>
      </c>
      <c r="F1304" s="44">
        <f>COUNTIF(Tabelle7[EnuValue],Tabelle7[[#This Row],[EnuValue]])</f>
        <v>1</v>
      </c>
      <c r="G1304" s="44" t="str">
        <f xml:space="preserve"> "  " &amp; Tabelle7[[#This Row],[EnuValue]] &amp; " = " &amp; Tabelle7[[#This Row],[Wert]]</f>
        <v xml:space="preserve">  sbeWSO_TRIPLE_PANEL_RIGHT = 8</v>
      </c>
      <c r="H1304" s="44" t="str">
        <f>"  If Wert = " &amp; Tabelle7[[#This Row],[EnuValue]] &amp; " then Res = ""." &amp; Tabelle7[[#This Row],[EnuRohValue]] &amp; "."""</f>
        <v xml:space="preserve">  If Wert = sbeWSO_TRIPLE_PANEL_RIGHT then Res = ".TRIPLE_PANEL_RIGHT."</v>
      </c>
      <c r="I1304" s="44" t="str">
        <f>"  If wert = ""." &amp; Tabelle7[[#This Row],[EnuRohValue]] &amp; "."" Then Res = " &amp; Tabelle7[[#This Row],[EnuValue]]</f>
        <v xml:space="preserve">  If wert = ".TRIPLE_PANEL_RIGHT." Then Res = sbeWSO_TRIPLE_PANEL_RIGHT</v>
      </c>
    </row>
    <row r="1305" spans="2:9" x14ac:dyDescent="0.25">
      <c r="B1305" s="44">
        <v>9</v>
      </c>
      <c r="C1305" s="45" t="s">
        <v>1665</v>
      </c>
      <c r="D1305" s="44" t="s">
        <v>4698</v>
      </c>
      <c r="E1305" s="44" t="str">
        <f>VLOOKUP(Tabelle7[[#This Row],[EnumName]],Enum[[IFC-Name]:[Präfix]],5,FALSE)&amp;Tabelle7[[#This Row],[EnuRohValue]]</f>
        <v>sbeWSO_TRIPLE_PANEL_HORIZONTAL</v>
      </c>
      <c r="F1305" s="44">
        <f>COUNTIF(Tabelle7[EnuValue],Tabelle7[[#This Row],[EnuValue]])</f>
        <v>1</v>
      </c>
      <c r="G1305" s="44" t="str">
        <f xml:space="preserve"> "  " &amp; Tabelle7[[#This Row],[EnuValue]] &amp; " = " &amp; Tabelle7[[#This Row],[Wert]]</f>
        <v xml:space="preserve">  sbeWSO_TRIPLE_PANEL_HORIZONTAL = 9</v>
      </c>
      <c r="H1305" s="44" t="str">
        <f>"  If Wert = " &amp; Tabelle7[[#This Row],[EnuValue]] &amp; " then Res = ""." &amp; Tabelle7[[#This Row],[EnuRohValue]] &amp; "."""</f>
        <v xml:space="preserve">  If Wert = sbeWSO_TRIPLE_PANEL_HORIZONTAL then Res = ".TRIPLE_PANEL_HORIZONTAL."</v>
      </c>
      <c r="I1305" s="44" t="str">
        <f>"  If wert = ""." &amp; Tabelle7[[#This Row],[EnuRohValue]] &amp; "."" Then Res = " &amp; Tabelle7[[#This Row],[EnuValue]]</f>
        <v xml:space="preserve">  If wert = ".TRIPLE_PANEL_HORIZONTAL." Then Res = sbeWSO_TRIPLE_PANEL_HORIZONTAL</v>
      </c>
    </row>
    <row r="1306" spans="2:9" x14ac:dyDescent="0.25">
      <c r="B1306" s="44">
        <v>10</v>
      </c>
      <c r="C1306" s="45" t="s">
        <v>1665</v>
      </c>
      <c r="D1306" s="44" t="s">
        <v>3682</v>
      </c>
      <c r="E1306" s="44" t="str">
        <f>VLOOKUP(Tabelle7[[#This Row],[EnumName]],Enum[[IFC-Name]:[Präfix]],5,FALSE)&amp;Tabelle7[[#This Row],[EnuRohValue]]</f>
        <v>sbeWSO_USERDEFINED</v>
      </c>
      <c r="F1306" s="44">
        <f>COUNTIF(Tabelle7[EnuValue],Tabelle7[[#This Row],[EnuValue]])</f>
        <v>1</v>
      </c>
      <c r="G1306" s="44" t="str">
        <f xml:space="preserve"> "  " &amp; Tabelle7[[#This Row],[EnuValue]] &amp; " = " &amp; Tabelle7[[#This Row],[Wert]]</f>
        <v xml:space="preserve">  sbeWSO_USERDEFINED = 10</v>
      </c>
      <c r="H1306" s="44" t="str">
        <f>"  If Wert = " &amp; Tabelle7[[#This Row],[EnuValue]] &amp; " then Res = ""." &amp; Tabelle7[[#This Row],[EnuRohValue]] &amp; "."""</f>
        <v xml:space="preserve">  If Wert = sbeWSO_USERDEFINED then Res = ".USERDEFINED."</v>
      </c>
      <c r="I1306" s="44" t="str">
        <f>"  If wert = ""." &amp; Tabelle7[[#This Row],[EnuRohValue]] &amp; "."" Then Res = " &amp; Tabelle7[[#This Row],[EnuValue]]</f>
        <v xml:space="preserve">  If wert = ".USERDEFINED." Then Res = sbeWSO_USERDEFINED</v>
      </c>
    </row>
    <row r="1307" spans="2:9" x14ac:dyDescent="0.25">
      <c r="B1307" s="44">
        <v>11</v>
      </c>
      <c r="C1307" s="45" t="s">
        <v>1665</v>
      </c>
      <c r="D1307" s="44" t="s">
        <v>3683</v>
      </c>
      <c r="E1307" s="44" t="str">
        <f>VLOOKUP(Tabelle7[[#This Row],[EnumName]],Enum[[IFC-Name]:[Präfix]],5,FALSE)&amp;Tabelle7[[#This Row],[EnuRohValue]]</f>
        <v>sbeWSO_NOTDEFINED</v>
      </c>
      <c r="F1307" s="44">
        <f>COUNTIF(Tabelle7[EnuValue],Tabelle7[[#This Row],[EnuValue]])</f>
        <v>1</v>
      </c>
      <c r="G1307" s="44" t="str">
        <f xml:space="preserve"> "  " &amp; Tabelle7[[#This Row],[EnuValue]] &amp; " = " &amp; Tabelle7[[#This Row],[Wert]]</f>
        <v xml:space="preserve">  sbeWSO_NOTDEFINED = 11</v>
      </c>
      <c r="H1307" s="44" t="str">
        <f>"  If Wert = " &amp; Tabelle7[[#This Row],[EnuValue]] &amp; " then Res = ""." &amp; Tabelle7[[#This Row],[EnuRohValue]] &amp; "."""</f>
        <v xml:space="preserve">  If Wert = sbeWSO_NOTDEFINED then Res = ".NOTDEFINED."</v>
      </c>
      <c r="I1307" s="44" t="str">
        <f>"  If wert = ""." &amp; Tabelle7[[#This Row],[EnuRohValue]] &amp; "."" Then Res = " &amp; Tabelle7[[#This Row],[EnuValue]]</f>
        <v xml:space="preserve">  If wert = ".NOTDEFINED." Then Res = sbeWSO_NOTDEFINED</v>
      </c>
    </row>
    <row r="1308" spans="2:9" x14ac:dyDescent="0.25">
      <c r="B1308" s="44">
        <v>1</v>
      </c>
      <c r="C1308" s="45" t="s">
        <v>1666</v>
      </c>
      <c r="D1308" s="44" t="s">
        <v>4699</v>
      </c>
      <c r="E1308" s="44" t="str">
        <f>VLOOKUP(Tabelle7[[#This Row],[EnumName]],Enum[[IFC-Name]:[Präfix]],5,FALSE)&amp;Tabelle7[[#This Row],[EnuRohValue]]</f>
        <v>pocWCT_ACTUAL</v>
      </c>
      <c r="F1308" s="44">
        <f>COUNTIF(Tabelle7[EnuValue],Tabelle7[[#This Row],[EnuValue]])</f>
        <v>1</v>
      </c>
      <c r="G1308" s="44" t="str">
        <f xml:space="preserve"> "  " &amp; Tabelle7[[#This Row],[EnuValue]] &amp; " = " &amp; Tabelle7[[#This Row],[Wert]]</f>
        <v xml:space="preserve">  pocWCT_ACTUAL = 1</v>
      </c>
      <c r="H1308" s="44" t="str">
        <f>"  If Wert = " &amp; Tabelle7[[#This Row],[EnuValue]] &amp; " then Res = ""." &amp; Tabelle7[[#This Row],[EnuRohValue]] &amp; "."""</f>
        <v xml:space="preserve">  If Wert = pocWCT_ACTUAL then Res = ".ACTUAL."</v>
      </c>
      <c r="I1308" s="44" t="str">
        <f>"  If wert = ""." &amp; Tabelle7[[#This Row],[EnuRohValue]] &amp; "."" Then Res = " &amp; Tabelle7[[#This Row],[EnuValue]]</f>
        <v xml:space="preserve">  If wert = ".ACTUAL." Then Res = pocWCT_ACTUAL</v>
      </c>
    </row>
    <row r="1309" spans="2:9" x14ac:dyDescent="0.25">
      <c r="B1309" s="44">
        <v>2</v>
      </c>
      <c r="C1309" s="45" t="s">
        <v>1666</v>
      </c>
      <c r="D1309" s="44" t="s">
        <v>4700</v>
      </c>
      <c r="E1309" s="44" t="str">
        <f>VLOOKUP(Tabelle7[[#This Row],[EnumName]],Enum[[IFC-Name]:[Präfix]],5,FALSE)&amp;Tabelle7[[#This Row],[EnuRohValue]]</f>
        <v>pocWCT_BASELINE</v>
      </c>
      <c r="F1309" s="44">
        <f>COUNTIF(Tabelle7[EnuValue],Tabelle7[[#This Row],[EnuValue]])</f>
        <v>1</v>
      </c>
      <c r="G1309" s="44" t="str">
        <f xml:space="preserve"> "  " &amp; Tabelle7[[#This Row],[EnuValue]] &amp; " = " &amp; Tabelle7[[#This Row],[Wert]]</f>
        <v xml:space="preserve">  pocWCT_BASELINE = 2</v>
      </c>
      <c r="H1309" s="44" t="str">
        <f>"  If Wert = " &amp; Tabelle7[[#This Row],[EnuValue]] &amp; " then Res = ""." &amp; Tabelle7[[#This Row],[EnuRohValue]] &amp; "."""</f>
        <v xml:space="preserve">  If Wert = pocWCT_BASELINE then Res = ".BASELINE."</v>
      </c>
      <c r="I1309" s="44" t="str">
        <f>"  If wert = ""." &amp; Tabelle7[[#This Row],[EnuRohValue]] &amp; "."" Then Res = " &amp; Tabelle7[[#This Row],[EnuValue]]</f>
        <v xml:space="preserve">  If wert = ".BASELINE." Then Res = pocWCT_BASELINE</v>
      </c>
    </row>
    <row r="1310" spans="2:9" x14ac:dyDescent="0.25">
      <c r="B1310" s="44">
        <v>3</v>
      </c>
      <c r="C1310" s="45" t="s">
        <v>1666</v>
      </c>
      <c r="D1310" s="44" t="s">
        <v>4701</v>
      </c>
      <c r="E1310" s="44" t="str">
        <f>VLOOKUP(Tabelle7[[#This Row],[EnumName]],Enum[[IFC-Name]:[Präfix]],5,FALSE)&amp;Tabelle7[[#This Row],[EnuRohValue]]</f>
        <v>pocWCT_PLANNED</v>
      </c>
      <c r="F1310" s="44">
        <f>COUNTIF(Tabelle7[EnuValue],Tabelle7[[#This Row],[EnuValue]])</f>
        <v>1</v>
      </c>
      <c r="G1310" s="44" t="str">
        <f xml:space="preserve"> "  " &amp; Tabelle7[[#This Row],[EnuValue]] &amp; " = " &amp; Tabelle7[[#This Row],[Wert]]</f>
        <v xml:space="preserve">  pocWCT_PLANNED = 3</v>
      </c>
      <c r="H1310" s="44" t="str">
        <f>"  If Wert = " &amp; Tabelle7[[#This Row],[EnuValue]] &amp; " then Res = ""." &amp; Tabelle7[[#This Row],[EnuRohValue]] &amp; "."""</f>
        <v xml:space="preserve">  If Wert = pocWCT_PLANNED then Res = ".PLANNED."</v>
      </c>
      <c r="I1310" s="44" t="str">
        <f>"  If wert = ""." &amp; Tabelle7[[#This Row],[EnuRohValue]] &amp; "."" Then Res = " &amp; Tabelle7[[#This Row],[EnuValue]]</f>
        <v xml:space="preserve">  If wert = ".PLANNED." Then Res = pocWCT_PLANNED</v>
      </c>
    </row>
    <row r="1311" spans="2:9" x14ac:dyDescent="0.25">
      <c r="B1311" s="44">
        <v>4</v>
      </c>
      <c r="C1311" s="45" t="s">
        <v>1666</v>
      </c>
      <c r="D1311" s="44" t="s">
        <v>3682</v>
      </c>
      <c r="E1311" s="44" t="str">
        <f>VLOOKUP(Tabelle7[[#This Row],[EnumName]],Enum[[IFC-Name]:[Präfix]],5,FALSE)&amp;Tabelle7[[#This Row],[EnuRohValue]]</f>
        <v>pocWCT_USERDEFINED</v>
      </c>
      <c r="F1311" s="44">
        <f>COUNTIF(Tabelle7[EnuValue],Tabelle7[[#This Row],[EnuValue]])</f>
        <v>1</v>
      </c>
      <c r="G1311" s="44" t="str">
        <f xml:space="preserve"> "  " &amp; Tabelle7[[#This Row],[EnuValue]] &amp; " = " &amp; Tabelle7[[#This Row],[Wert]]</f>
        <v xml:space="preserve">  pocWCT_USERDEFINED = 4</v>
      </c>
      <c r="H1311" s="44" t="str">
        <f>"  If Wert = " &amp; Tabelle7[[#This Row],[EnuValue]] &amp; " then Res = ""." &amp; Tabelle7[[#This Row],[EnuRohValue]] &amp; "."""</f>
        <v xml:space="preserve">  If Wert = pocWCT_USERDEFINED then Res = ".USERDEFINED."</v>
      </c>
      <c r="I1311" s="44" t="str">
        <f>"  If wert = ""." &amp; Tabelle7[[#This Row],[EnuRohValue]] &amp; "."" Then Res = " &amp; Tabelle7[[#This Row],[EnuValue]]</f>
        <v xml:space="preserve">  If wert = ".USERDEFINED." Then Res = pocWCT_USERDEFINED</v>
      </c>
    </row>
    <row r="1312" spans="2:9" x14ac:dyDescent="0.25">
      <c r="B1312" s="44">
        <v>5</v>
      </c>
      <c r="C1312" s="45" t="s">
        <v>1666</v>
      </c>
      <c r="D1312" s="44" t="s">
        <v>3683</v>
      </c>
      <c r="E1312" s="44" t="str">
        <f>VLOOKUP(Tabelle7[[#This Row],[EnumName]],Enum[[IFC-Name]:[Präfix]],5,FALSE)&amp;Tabelle7[[#This Row],[EnuRohValue]]</f>
        <v>pocWCT_NOTDEFINED</v>
      </c>
      <c r="F1312" s="44">
        <f>COUNTIF(Tabelle7[EnuValue],Tabelle7[[#This Row],[EnuValue]])</f>
        <v>1</v>
      </c>
      <c r="G1312" s="44" t="str">
        <f xml:space="preserve"> "  " &amp; Tabelle7[[#This Row],[EnuValue]] &amp; " = " &amp; Tabelle7[[#This Row],[Wert]]</f>
        <v xml:space="preserve">  pocWCT_NOTDEFINED = 5</v>
      </c>
      <c r="H1312" s="44" t="str">
        <f>"  If Wert = " &amp; Tabelle7[[#This Row],[EnuValue]] &amp; " then Res = ""." &amp; Tabelle7[[#This Row],[EnuRohValue]] &amp; "."""</f>
        <v xml:space="preserve">  If Wert = pocWCT_NOTDEFINED then Res = ".NOTDEFINED."</v>
      </c>
      <c r="I1312" s="44" t="str">
        <f>"  If wert = ""." &amp; Tabelle7[[#This Row],[EnuRohValue]] &amp; "."" Then Res = " &amp; Tabelle7[[#This Row],[EnuValue]]</f>
        <v xml:space="preserve">  If wert = ".NOTDEFINED." Then Res = pocWCT_NOTDEFINED</v>
      </c>
    </row>
    <row r="1313" spans="2:9" x14ac:dyDescent="0.25">
      <c r="B1313" s="44"/>
      <c r="C1313" s="45"/>
      <c r="D1313" s="44"/>
      <c r="E1313" s="44" t="e">
        <f>VLOOKUP(Tabelle7[[#This Row],[EnumName]],Enum[[IFC-Name]:[Präfix]],5,FALSE)&amp;Tabelle7[[#This Row],[EnuRohValue]]</f>
        <v>#N/A</v>
      </c>
      <c r="F1313" s="44">
        <f>COUNTIF(Tabelle7[EnuValue],Tabelle7[[#This Row],[EnuValue]])</f>
        <v>1</v>
      </c>
      <c r="G1313" s="44" t="e">
        <f xml:space="preserve"> "  " &amp; Tabelle7[[#This Row],[EnuValue]] &amp; " = " &amp; Tabelle7[[#This Row],[Wert]]</f>
        <v>#N/A</v>
      </c>
      <c r="H1313" s="44" t="e">
        <f>"  If Wert = " &amp; Tabelle7[[#This Row],[EnuValue]] &amp; " then Res = ""." &amp; Tabelle7[[#This Row],[EnuRohValue]] &amp; "."""</f>
        <v>#N/A</v>
      </c>
      <c r="I1313" s="44" t="e">
        <f>"  If wert = ""." &amp; Tabelle7[[#This Row],[EnuRohValue]] &amp; "."" Then Res = " &amp; Tabelle7[[#This Row],[EnuValue]]</f>
        <v>#N/A</v>
      </c>
    </row>
  </sheetData>
  <pageMargins left="0.7" right="0.7" top="0.78740157499999996" bottom="0.78740157499999996"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B2:C2"/>
  <sheetViews>
    <sheetView workbookViewId="0">
      <selection activeCell="E14" sqref="E14"/>
    </sheetView>
  </sheetViews>
  <sheetFormatPr baseColWidth="10" defaultRowHeight="11.25" x14ac:dyDescent="0.25"/>
  <cols>
    <col min="1" max="16384" width="11.42578125" style="55"/>
  </cols>
  <sheetData>
    <row r="2" spans="2:3" x14ac:dyDescent="0.25">
      <c r="B2" s="55" t="s">
        <v>5033</v>
      </c>
      <c r="C2" s="55" t="s">
        <v>5034</v>
      </c>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8</vt:i4>
      </vt:variant>
    </vt:vector>
  </HeadingPairs>
  <TitlesOfParts>
    <vt:vector size="18" baseType="lpstr">
      <vt:lpstr>Module</vt:lpstr>
      <vt:lpstr>Entities</vt:lpstr>
      <vt:lpstr>DefinedTypes</vt:lpstr>
      <vt:lpstr>Select Types</vt:lpstr>
      <vt:lpstr>Enums</vt:lpstr>
      <vt:lpstr>Functions</vt:lpstr>
      <vt:lpstr>Einstellungen</vt:lpstr>
      <vt:lpstr>Tabelle1</vt:lpstr>
      <vt:lpstr>EnuMember</vt:lpstr>
      <vt:lpstr>Klassen</vt:lpstr>
      <vt:lpstr>CreateModulSubPath</vt:lpstr>
      <vt:lpstr>DebugCodePart</vt:lpstr>
      <vt:lpstr>DebugInfo</vt:lpstr>
      <vt:lpstr>DebugInfoTyp</vt:lpstr>
      <vt:lpstr>ExpressFile</vt:lpstr>
      <vt:lpstr>HTMLDokuPath</vt:lpstr>
      <vt:lpstr>OutputPath</vt:lpstr>
      <vt:lpstr>Snip</vt:lpstr>
    </vt:vector>
  </TitlesOfParts>
  <Company>SIB</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Franke, Jan - SIB-L2</dc:creator>
  <cp:lastModifiedBy>Franke, Jan - SIB-L2</cp:lastModifiedBy>
  <dcterms:created xsi:type="dcterms:W3CDTF">2017-02-28T07:14:39Z</dcterms:created>
  <dcterms:modified xsi:type="dcterms:W3CDTF">2017-11-09T15:23:33Z</dcterms:modified>
</cp:coreProperties>
</file>